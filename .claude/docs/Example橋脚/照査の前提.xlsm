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h-emoto.NJC-D82\Desktop\"/>
    </mc:Choice>
  </mc:AlternateContent>
  <xr:revisionPtr revIDLastSave="0" documentId="13_ncr:1_{B7F9D9E2-4559-4A51-B36C-0A5DFD52296C}" xr6:coauthVersionLast="47" xr6:coauthVersionMax="47" xr10:uidLastSave="{00000000-0000-0000-0000-000000000000}"/>
  <bookViews>
    <workbookView xWindow="-28920" yWindow="-120" windowWidth="29040" windowHeight="15720" tabRatio="887" activeTab="6" xr2:uid="{70BACF20-5D96-4663-B307-A11139748303}"/>
  </bookViews>
  <sheets>
    <sheet name="躯体（線路）" sheetId="21" r:id="rId1"/>
    <sheet name="躯体（直角）" sheetId="26" r:id="rId2"/>
    <sheet name="Myd（躯体最小）上端" sheetId="16" r:id="rId3"/>
    <sheet name="基礎" sheetId="24" r:id="rId4"/>
    <sheet name="Myd（基礎最小）" sheetId="25" r:id="rId5"/>
    <sheet name="杭の計算" sheetId="35" r:id="rId6"/>
    <sheet name="基本定着長D16" sheetId="37" r:id="rId7"/>
    <sheet name="Ａ４縦" sheetId="22" r:id="rId8"/>
    <sheet name="Ａ３横" sheetId="23" r:id="rId9"/>
    <sheet name="印刷設定" sheetId="36" r:id="rId10"/>
    <sheet name="AS" sheetId="18" state="hidden" r:id="rId11"/>
  </sheets>
  <functionGroups builtInGroupCount="19"/>
  <definedNames>
    <definedName name="_xlnm.Print_Area" localSheetId="8">Ａ３横!$A$1:$BZ$50</definedName>
    <definedName name="_xlnm.Print_Area" localSheetId="7">Ａ４縦!$A$1:$AI$50</definedName>
    <definedName name="_xlnm.Print_Area" localSheetId="10">AS!$A$1:$AE$50</definedName>
    <definedName name="_xlnm.Print_Area" localSheetId="4">'Myd（基礎最小）'!$A$1:$AI$50</definedName>
    <definedName name="_xlnm.Print_Area" localSheetId="2">'Myd（躯体最小）上端'!$A$1:$AI$50</definedName>
    <definedName name="_xlnm.Print_Area" localSheetId="3">基礎!$A$1:$AI$400</definedName>
    <definedName name="_xlnm.Print_Area" localSheetId="6">基本定着長D16!$A$1:$AI$50</definedName>
    <definedName name="_xlnm.Print_Area" localSheetId="0">'躯体（線路）'!$A$1:$AI$400</definedName>
    <definedName name="_xlnm.Print_Area" localSheetId="1">'躯体（直角）'!$A$1:$AI$300</definedName>
    <definedName name="_xlnm.Print_Area" localSheetId="5">杭の計算!$A$1:$AI$100</definedName>
    <definedName name="_xlnm.Print_Are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37" l="1"/>
  <c r="B2" i="35"/>
  <c r="Z5" i="25"/>
  <c r="Z4" i="25"/>
  <c r="T29" i="25"/>
  <c r="P29" i="25"/>
  <c r="N29" i="25"/>
  <c r="J29" i="25"/>
  <c r="T24" i="25"/>
  <c r="P24" i="25"/>
  <c r="N24" i="25"/>
  <c r="J24" i="25"/>
  <c r="L391" i="24"/>
  <c r="I391" i="24"/>
  <c r="L390" i="24"/>
  <c r="I390" i="24"/>
  <c r="N390" i="24" s="1"/>
  <c r="R390" i="24" s="1"/>
  <c r="N393" i="24"/>
  <c r="R393" i="24" s="1"/>
  <c r="N392" i="24"/>
  <c r="R392" i="24" s="1"/>
  <c r="AX20" i="24"/>
  <c r="T359" i="24" s="1"/>
  <c r="I362" i="24" s="1"/>
  <c r="E337" i="24"/>
  <c r="E338" i="24"/>
  <c r="L312" i="24"/>
  <c r="Z175" i="24"/>
  <c r="O185" i="24" s="1"/>
  <c r="X113" i="24"/>
  <c r="L122" i="24" s="1"/>
  <c r="W175" i="24"/>
  <c r="L185" i="24" s="1"/>
  <c r="W173" i="24"/>
  <c r="J16" i="25"/>
  <c r="J14" i="25"/>
  <c r="J39" i="25" s="1"/>
  <c r="M92" i="24"/>
  <c r="AJ70" i="21"/>
  <c r="Z6" i="25"/>
  <c r="D48" i="25" s="1"/>
  <c r="AK17" i="24"/>
  <c r="S17" i="24" s="1"/>
  <c r="AK16" i="24"/>
  <c r="I313" i="24" s="1"/>
  <c r="I380" i="24"/>
  <c r="S378" i="24"/>
  <c r="O380" i="24" s="1"/>
  <c r="Y377" i="24"/>
  <c r="L380" i="24" s="1"/>
  <c r="P362" i="24"/>
  <c r="E362" i="24"/>
  <c r="T360" i="24"/>
  <c r="S370" i="24" s="1"/>
  <c r="X359" i="24"/>
  <c r="E336" i="24"/>
  <c r="Q327" i="24"/>
  <c r="X327" i="24" s="1"/>
  <c r="Q326" i="24"/>
  <c r="X326" i="24" s="1"/>
  <c r="D322" i="24"/>
  <c r="M313" i="24"/>
  <c r="I312" i="24"/>
  <c r="U271" i="24"/>
  <c r="AA271" i="24" s="1"/>
  <c r="F269" i="24"/>
  <c r="R264" i="24"/>
  <c r="R263" i="24"/>
  <c r="U264" i="24" s="1"/>
  <c r="U265" i="24" s="1"/>
  <c r="U270" i="24" s="1"/>
  <c r="AA270" i="24" s="1"/>
  <c r="R262" i="24"/>
  <c r="R265" i="24" s="1"/>
  <c r="V232" i="24"/>
  <c r="AC227" i="24"/>
  <c r="Z227" i="24"/>
  <c r="Y222" i="24"/>
  <c r="Z214" i="24"/>
  <c r="K232" i="24" s="1"/>
  <c r="AB167" i="24"/>
  <c r="P179" i="24" s="1"/>
  <c r="R172" i="24"/>
  <c r="S163" i="24" s="1"/>
  <c r="W170" i="24"/>
  <c r="X229" i="24" s="1"/>
  <c r="W169" i="24"/>
  <c r="T179" i="24" s="1"/>
  <c r="H181" i="24" s="1"/>
  <c r="W168" i="24"/>
  <c r="N121" i="24"/>
  <c r="U178" i="24" s="1"/>
  <c r="K121" i="24"/>
  <c r="S112" i="24"/>
  <c r="S119" i="24" s="1"/>
  <c r="V119" i="24" s="1"/>
  <c r="Q85" i="24"/>
  <c r="R83" i="24"/>
  <c r="Q74" i="24"/>
  <c r="AE73" i="24"/>
  <c r="U78" i="24" s="1"/>
  <c r="Y78" i="24" s="1"/>
  <c r="W79" i="24" s="1"/>
  <c r="V68" i="24"/>
  <c r="V81" i="24" s="1"/>
  <c r="V63" i="24"/>
  <c r="U86" i="24" s="1"/>
  <c r="V62" i="24"/>
  <c r="AC85" i="24" s="1"/>
  <c r="S20" i="24"/>
  <c r="S215" i="24" s="1"/>
  <c r="K233" i="24" s="1"/>
  <c r="A2" i="24"/>
  <c r="Y277" i="26"/>
  <c r="L280" i="26" s="1"/>
  <c r="X259" i="26"/>
  <c r="I280" i="26" s="1"/>
  <c r="T259" i="26"/>
  <c r="I262" i="26" s="1"/>
  <c r="P262" i="26"/>
  <c r="E262" i="26"/>
  <c r="U226" i="26"/>
  <c r="U225" i="26"/>
  <c r="U224" i="26"/>
  <c r="S208" i="26"/>
  <c r="M212" i="26" s="1"/>
  <c r="K208" i="26"/>
  <c r="U171" i="26"/>
  <c r="AA171" i="26" s="1"/>
  <c r="F169" i="26"/>
  <c r="N226" i="21"/>
  <c r="K232" i="21"/>
  <c r="Z114" i="26"/>
  <c r="K132" i="26" s="1"/>
  <c r="R164" i="26"/>
  <c r="V132" i="26"/>
  <c r="Y122" i="26"/>
  <c r="Z75" i="26"/>
  <c r="W75" i="26"/>
  <c r="S66" i="26"/>
  <c r="R65" i="26"/>
  <c r="O63" i="26"/>
  <c r="L63" i="26"/>
  <c r="M34" i="26"/>
  <c r="P35" i="16"/>
  <c r="P37" i="16" s="1"/>
  <c r="J35" i="16"/>
  <c r="R33" i="16"/>
  <c r="P32" i="16"/>
  <c r="L33" i="16"/>
  <c r="N33" i="16" s="1"/>
  <c r="J32" i="16"/>
  <c r="O32" i="16" s="1"/>
  <c r="T24" i="16"/>
  <c r="T29" i="16" s="1"/>
  <c r="P24" i="16"/>
  <c r="Z127" i="26" s="1"/>
  <c r="N24" i="16"/>
  <c r="N29" i="16" s="1"/>
  <c r="Z175" i="21" s="1"/>
  <c r="J24" i="16"/>
  <c r="J29" i="16" s="1"/>
  <c r="P14" i="16"/>
  <c r="AK14" i="26" s="1"/>
  <c r="J16" i="16"/>
  <c r="J14" i="16"/>
  <c r="P16" i="16" s="1"/>
  <c r="AK15" i="26" s="1"/>
  <c r="V16" i="26" s="1"/>
  <c r="Z5" i="16"/>
  <c r="Z6" i="16" s="1"/>
  <c r="M32" i="16" s="1"/>
  <c r="Z4" i="16"/>
  <c r="J37" i="16"/>
  <c r="I380" i="21"/>
  <c r="S378" i="21"/>
  <c r="O380" i="21" s="1"/>
  <c r="Y377" i="21"/>
  <c r="L380" i="21" s="1"/>
  <c r="P362" i="21"/>
  <c r="K311" i="21"/>
  <c r="S313" i="21" s="1"/>
  <c r="S311" i="21"/>
  <c r="T314" i="21" s="1"/>
  <c r="T360" i="21"/>
  <c r="S370" i="21" s="1"/>
  <c r="X359" i="21"/>
  <c r="AS19" i="21"/>
  <c r="T359" i="21" s="1"/>
  <c r="I362" i="21" s="1"/>
  <c r="E362" i="21"/>
  <c r="D323" i="21"/>
  <c r="U271" i="21"/>
  <c r="AA271" i="21" s="1"/>
  <c r="F269" i="21"/>
  <c r="R264" i="21"/>
  <c r="R263" i="21"/>
  <c r="U264" i="21" s="1"/>
  <c r="U265" i="21" s="1"/>
  <c r="U270" i="21" s="1"/>
  <c r="AA270" i="21" s="1"/>
  <c r="R262" i="21"/>
  <c r="R265" i="21" s="1"/>
  <c r="V232" i="21"/>
  <c r="AC227" i="21"/>
  <c r="Z227" i="21"/>
  <c r="Y222" i="21"/>
  <c r="AK18" i="21"/>
  <c r="S18" i="21" s="1"/>
  <c r="S227" i="21" s="1"/>
  <c r="Z214" i="21"/>
  <c r="W169" i="21"/>
  <c r="X228" i="21" s="1"/>
  <c r="T226" i="21" s="1"/>
  <c r="K121" i="21"/>
  <c r="Q85" i="21"/>
  <c r="R83" i="21"/>
  <c r="Q74" i="21"/>
  <c r="V68" i="21"/>
  <c r="V81" i="21" s="1"/>
  <c r="V63" i="21"/>
  <c r="U86" i="21" s="1"/>
  <c r="V62" i="21"/>
  <c r="AC85" i="21" s="1"/>
  <c r="AK19" i="21"/>
  <c r="S19" i="21" s="1"/>
  <c r="S22" i="21"/>
  <c r="M24" i="21" s="1"/>
  <c r="B4" i="21"/>
  <c r="A2" i="21"/>
  <c r="R37" i="37"/>
  <c r="X39" i="37" s="1"/>
  <c r="V31" i="37"/>
  <c r="S31" i="37"/>
  <c r="U29" i="37"/>
  <c r="R29" i="37"/>
  <c r="AZ28" i="37"/>
  <c r="BB28" i="37" s="1"/>
  <c r="R27" i="37"/>
  <c r="W44" i="37" s="1"/>
  <c r="AE45" i="37" s="1"/>
  <c r="BW25" i="37"/>
  <c r="BT25" i="37"/>
  <c r="BQ25" i="37"/>
  <c r="BN25" i="37"/>
  <c r="BK25" i="37"/>
  <c r="BH25" i="37"/>
  <c r="BE25" i="37"/>
  <c r="BB25" i="37"/>
  <c r="BZ23" i="37"/>
  <c r="BZ24" i="37" s="1"/>
  <c r="R23" i="37"/>
  <c r="L44" i="37" s="1"/>
  <c r="O14" i="35"/>
  <c r="X14" i="35" s="1"/>
  <c r="V17" i="35" s="1"/>
  <c r="O17" i="35"/>
  <c r="S29" i="35" s="1"/>
  <c r="AA29" i="35" s="1"/>
  <c r="K35" i="35" s="1"/>
  <c r="N30" i="35"/>
  <c r="P35" i="35" s="1"/>
  <c r="N32" i="35"/>
  <c r="T35" i="35" s="1"/>
  <c r="AD35" i="35"/>
  <c r="N63" i="35"/>
  <c r="P64" i="35"/>
  <c r="H72" i="35"/>
  <c r="H73" i="35"/>
  <c r="H80" i="35" s="1"/>
  <c r="L73" i="35"/>
  <c r="H79" i="35"/>
  <c r="R79" i="35" s="1"/>
  <c r="V79" i="35" s="1"/>
  <c r="L80" i="35"/>
  <c r="E237" i="26"/>
  <c r="V14" i="26"/>
  <c r="W37" i="26" s="1"/>
  <c r="N121" i="21"/>
  <c r="U178" i="21" s="1"/>
  <c r="E339" i="21"/>
  <c r="V18" i="25"/>
  <c r="AB18" i="25"/>
  <c r="J19" i="25"/>
  <c r="P19" i="25"/>
  <c r="V19" i="25"/>
  <c r="AB19" i="25"/>
  <c r="J21" i="25"/>
  <c r="P21" i="25"/>
  <c r="V21" i="25"/>
  <c r="AB21" i="25"/>
  <c r="M24" i="25"/>
  <c r="S24" i="25"/>
  <c r="Y24" i="25"/>
  <c r="AE24" i="25"/>
  <c r="V26" i="25"/>
  <c r="AB26" i="25"/>
  <c r="AB27" i="25" s="1"/>
  <c r="AF26" i="25"/>
  <c r="M29" i="25"/>
  <c r="S29" i="25"/>
  <c r="Y29" i="25"/>
  <c r="AE29" i="25"/>
  <c r="J31" i="25"/>
  <c r="N31" i="25" s="1"/>
  <c r="P31" i="25"/>
  <c r="T31" i="25" s="1"/>
  <c r="V31" i="25"/>
  <c r="Z31" i="25" s="1"/>
  <c r="AB31" i="25"/>
  <c r="AF31" i="25"/>
  <c r="M32" i="25"/>
  <c r="O32" i="25"/>
  <c r="S32" i="25"/>
  <c r="U32" i="25"/>
  <c r="Y32" i="25"/>
  <c r="AA32" i="25"/>
  <c r="AE32" i="25"/>
  <c r="AG32" i="25"/>
  <c r="N33" i="25"/>
  <c r="T33" i="25"/>
  <c r="Z33" i="25"/>
  <c r="AF33" i="25"/>
  <c r="V36" i="25"/>
  <c r="AB36" i="25"/>
  <c r="J37" i="25"/>
  <c r="P37" i="25"/>
  <c r="V37" i="25"/>
  <c r="AB37" i="25"/>
  <c r="J38" i="25"/>
  <c r="N38" i="25" s="1"/>
  <c r="P38" i="25"/>
  <c r="T38" i="25" s="1"/>
  <c r="S38" i="25"/>
  <c r="V38" i="25"/>
  <c r="Z38" i="25" s="1"/>
  <c r="AB38" i="25"/>
  <c r="AE38" i="25" s="1"/>
  <c r="V39" i="25"/>
  <c r="AB39" i="25"/>
  <c r="V40" i="25"/>
  <c r="AB40" i="25"/>
  <c r="V41" i="25"/>
  <c r="AB41" i="25"/>
  <c r="V18" i="16"/>
  <c r="AB18" i="16"/>
  <c r="J19" i="16"/>
  <c r="P19" i="16"/>
  <c r="V19" i="16"/>
  <c r="AB19" i="16"/>
  <c r="J21" i="16"/>
  <c r="P21" i="16"/>
  <c r="V21" i="16"/>
  <c r="AB21" i="16"/>
  <c r="Y24" i="16"/>
  <c r="AE24" i="16"/>
  <c r="V26" i="16"/>
  <c r="AB26" i="16"/>
  <c r="AF26" i="16"/>
  <c r="AB27" i="16"/>
  <c r="Y29" i="16"/>
  <c r="AE29" i="16"/>
  <c r="V31" i="16"/>
  <c r="Z31" i="16" s="1"/>
  <c r="AB31" i="16"/>
  <c r="AF31" i="16" s="1"/>
  <c r="U32" i="16"/>
  <c r="Y32" i="16"/>
  <c r="AA32" i="16"/>
  <c r="AE32" i="16"/>
  <c r="AG32" i="16"/>
  <c r="T33" i="16"/>
  <c r="Z33" i="16"/>
  <c r="AF33" i="16"/>
  <c r="V36" i="16"/>
  <c r="AB36" i="16"/>
  <c r="V37" i="16"/>
  <c r="AB37" i="16"/>
  <c r="J38" i="16"/>
  <c r="N38" i="16" s="1"/>
  <c r="P38" i="16"/>
  <c r="T38" i="16" s="1"/>
  <c r="V38" i="16"/>
  <c r="Z38" i="16" s="1"/>
  <c r="AB38" i="16"/>
  <c r="AE38" i="16" s="1"/>
  <c r="V39" i="16"/>
  <c r="AB39" i="16"/>
  <c r="V40" i="16"/>
  <c r="AB40" i="16"/>
  <c r="V41" i="16"/>
  <c r="AB41" i="16"/>
  <c r="V25" i="26"/>
  <c r="Q27" i="26" s="1"/>
  <c r="Y26" i="26"/>
  <c r="AB26" i="26"/>
  <c r="R35" i="26"/>
  <c r="M44" i="26"/>
  <c r="W74" i="26"/>
  <c r="U72" i="26"/>
  <c r="S278" i="26" s="1"/>
  <c r="O280" i="26" s="1"/>
  <c r="I211" i="26"/>
  <c r="P211" i="26"/>
  <c r="I308" i="26"/>
  <c r="L308" i="26"/>
  <c r="P308" i="26"/>
  <c r="S308" i="26"/>
  <c r="M309" i="26"/>
  <c r="T309" i="26"/>
  <c r="Q327" i="21"/>
  <c r="X327" i="21" s="1"/>
  <c r="AE73" i="21"/>
  <c r="U74" i="21" s="1"/>
  <c r="M92" i="21"/>
  <c r="S112" i="21"/>
  <c r="R172" i="21"/>
  <c r="S163" i="21" s="1"/>
  <c r="I313" i="21"/>
  <c r="L313" i="21"/>
  <c r="P313" i="21"/>
  <c r="M314" i="21"/>
  <c r="Q328" i="21"/>
  <c r="X328" i="21" s="1"/>
  <c r="E337" i="21"/>
  <c r="E338" i="21"/>
  <c r="W68" i="26"/>
  <c r="V78" i="26" s="1"/>
  <c r="Q37" i="26"/>
  <c r="M38" i="16"/>
  <c r="Z26" i="25"/>
  <c r="V27" i="25"/>
  <c r="Z29" i="37" l="1"/>
  <c r="AB31" i="37"/>
  <c r="BZ25" i="37"/>
  <c r="R25" i="37" s="1"/>
  <c r="S44" i="37" s="1"/>
  <c r="S63" i="35"/>
  <c r="Y35" i="35"/>
  <c r="AC35" i="35" s="1"/>
  <c r="R72" i="35"/>
  <c r="AB392" i="24"/>
  <c r="AF392" i="24" s="1"/>
  <c r="AB393" i="24"/>
  <c r="X172" i="24"/>
  <c r="U234" i="24" s="1"/>
  <c r="Y234" i="24" s="1"/>
  <c r="V390" i="24"/>
  <c r="V391" i="24"/>
  <c r="N391" i="24"/>
  <c r="R391" i="24" s="1"/>
  <c r="Z390" i="24"/>
  <c r="AF393" i="24"/>
  <c r="AB391" i="24"/>
  <c r="V392" i="24"/>
  <c r="Z392" i="24" s="1"/>
  <c r="H314" i="24"/>
  <c r="AL312" i="24"/>
  <c r="K360" i="24" s="1"/>
  <c r="K370" i="24" s="1"/>
  <c r="AD175" i="24"/>
  <c r="I180" i="24" s="1"/>
  <c r="S185" i="24"/>
  <c r="L186" i="24" s="1"/>
  <c r="J18" i="25"/>
  <c r="P14" i="25"/>
  <c r="P39" i="25" s="1"/>
  <c r="AJ70" i="24"/>
  <c r="AK70" i="24" s="1"/>
  <c r="P16" i="25"/>
  <c r="J26" i="25"/>
  <c r="S16" i="24"/>
  <c r="U15" i="24" s="1"/>
  <c r="M91" i="24"/>
  <c r="AB179" i="24"/>
  <c r="U74" i="24"/>
  <c r="Y74" i="24" s="1"/>
  <c r="P79" i="24" s="1"/>
  <c r="M38" i="25"/>
  <c r="X228" i="24"/>
  <c r="X233" i="24" s="1"/>
  <c r="R186" i="24"/>
  <c r="M22" i="24"/>
  <c r="AK232" i="24"/>
  <c r="V61" i="24"/>
  <c r="W85" i="24" s="1"/>
  <c r="AB233" i="24"/>
  <c r="X226" i="24"/>
  <c r="X265" i="24"/>
  <c r="Y119" i="24"/>
  <c r="O122" i="24"/>
  <c r="U165" i="24"/>
  <c r="X165" i="24" s="1"/>
  <c r="V163" i="24"/>
  <c r="X264" i="24"/>
  <c r="Y112" i="24"/>
  <c r="S122" i="24" s="1"/>
  <c r="U83" i="24"/>
  <c r="W176" i="24"/>
  <c r="P180" i="24" s="1"/>
  <c r="X179" i="24"/>
  <c r="L181" i="24" s="1"/>
  <c r="P181" i="24"/>
  <c r="V186" i="24"/>
  <c r="Q325" i="24" s="1"/>
  <c r="X325" i="24" s="1"/>
  <c r="J330" i="24" s="1"/>
  <c r="AF179" i="24"/>
  <c r="V15" i="26"/>
  <c r="AC37" i="26" s="1"/>
  <c r="M29" i="16"/>
  <c r="J31" i="16"/>
  <c r="N31" i="16" s="1"/>
  <c r="W175" i="21"/>
  <c r="J26" i="16"/>
  <c r="N26" i="16" s="1"/>
  <c r="AC127" i="26"/>
  <c r="O85" i="26"/>
  <c r="S24" i="16"/>
  <c r="O185" i="21"/>
  <c r="L85" i="26"/>
  <c r="R163" i="26" s="1"/>
  <c r="U164" i="26" s="1"/>
  <c r="U165" i="26" s="1"/>
  <c r="U170" i="26" s="1"/>
  <c r="AA170" i="26" s="1"/>
  <c r="P29" i="16"/>
  <c r="S29" i="16" s="1"/>
  <c r="S115" i="26"/>
  <c r="K133" i="26" s="1"/>
  <c r="AK132" i="26" s="1"/>
  <c r="S209" i="26"/>
  <c r="L211" i="26"/>
  <c r="AL210" i="26" s="1"/>
  <c r="K260" i="26" s="1"/>
  <c r="K270" i="26" s="1"/>
  <c r="K209" i="26"/>
  <c r="S211" i="26" s="1"/>
  <c r="Q226" i="26"/>
  <c r="X226" i="26" s="1"/>
  <c r="E235" i="26"/>
  <c r="E236" i="26"/>
  <c r="P31" i="16"/>
  <c r="T31" i="16" s="1"/>
  <c r="AD75" i="26"/>
  <c r="I80" i="26" s="1"/>
  <c r="L185" i="21"/>
  <c r="S185" i="21" s="1"/>
  <c r="L186" i="21" s="1"/>
  <c r="M24" i="16"/>
  <c r="P18" i="16"/>
  <c r="W70" i="26" s="1"/>
  <c r="P26" i="16"/>
  <c r="S127" i="26" s="1"/>
  <c r="N126" i="26" s="1"/>
  <c r="J18" i="16"/>
  <c r="W170" i="21" s="1"/>
  <c r="X229" i="21" s="1"/>
  <c r="AF38" i="16"/>
  <c r="S32" i="16"/>
  <c r="J39" i="16"/>
  <c r="D48" i="16"/>
  <c r="X113" i="21"/>
  <c r="L122" i="21" s="1"/>
  <c r="P39" i="16"/>
  <c r="W73" i="26"/>
  <c r="AB67" i="26" s="1"/>
  <c r="P79" i="26" s="1"/>
  <c r="W173" i="21"/>
  <c r="W176" i="21" s="1"/>
  <c r="P180" i="21" s="1"/>
  <c r="P360" i="21"/>
  <c r="O370" i="21" s="1"/>
  <c r="AL313" i="21"/>
  <c r="K360" i="21" s="1"/>
  <c r="K370" i="21" s="1"/>
  <c r="Y38" i="25"/>
  <c r="X264" i="21"/>
  <c r="X265" i="21"/>
  <c r="X233" i="21"/>
  <c r="S215" i="21"/>
  <c r="K233" i="21" s="1"/>
  <c r="AK232" i="21" s="1"/>
  <c r="V61" i="21"/>
  <c r="W85" i="21" s="1"/>
  <c r="Y74" i="21"/>
  <c r="P79" i="21" s="1"/>
  <c r="U17" i="21"/>
  <c r="U78" i="21"/>
  <c r="Y78" i="21" s="1"/>
  <c r="X172" i="21"/>
  <c r="V163" i="21"/>
  <c r="Y163" i="21" s="1"/>
  <c r="U165" i="21"/>
  <c r="X165" i="21" s="1"/>
  <c r="N178" i="21" s="1"/>
  <c r="L179" i="21" s="1"/>
  <c r="AD175" i="21"/>
  <c r="I180" i="21" s="1"/>
  <c r="W168" i="21"/>
  <c r="Q225" i="26"/>
  <c r="X225" i="26" s="1"/>
  <c r="AZ29" i="37"/>
  <c r="BB29" i="37" s="1"/>
  <c r="AF38" i="25"/>
  <c r="L39" i="37"/>
  <c r="AA39" i="37" s="1"/>
  <c r="Z26" i="16"/>
  <c r="V27" i="16"/>
  <c r="M91" i="21"/>
  <c r="I314" i="21"/>
  <c r="S119" i="21"/>
  <c r="V119" i="21" s="1"/>
  <c r="Y112" i="21"/>
  <c r="S122" i="21" s="1"/>
  <c r="V21" i="26"/>
  <c r="V33" i="26" s="1"/>
  <c r="U38" i="26"/>
  <c r="E66" i="35"/>
  <c r="W72" i="35"/>
  <c r="V72" i="35" s="1"/>
  <c r="U63" i="35"/>
  <c r="I212" i="26"/>
  <c r="W69" i="26"/>
  <c r="X128" i="26" s="1"/>
  <c r="P260" i="26" s="1"/>
  <c r="O270" i="26" s="1"/>
  <c r="AE26" i="26"/>
  <c r="R72" i="26"/>
  <c r="S38" i="16"/>
  <c r="U17" i="35"/>
  <c r="Y38" i="16"/>
  <c r="J41" i="25"/>
  <c r="P41" i="16"/>
  <c r="J41" i="16"/>
  <c r="R33" i="37" l="1"/>
  <c r="I39" i="37" s="1"/>
  <c r="R35" i="37"/>
  <c r="T39" i="37" s="1"/>
  <c r="J40" i="25"/>
  <c r="AF178" i="24"/>
  <c r="AF391" i="24"/>
  <c r="AB390" i="24"/>
  <c r="AF390" i="24" s="1"/>
  <c r="T226" i="24"/>
  <c r="Z391" i="24"/>
  <c r="V393" i="24"/>
  <c r="Z393" i="24" s="1"/>
  <c r="AJ71" i="24"/>
  <c r="AK71" i="24" s="1"/>
  <c r="J27" i="25"/>
  <c r="N26" i="25"/>
  <c r="P26" i="25"/>
  <c r="P18" i="25"/>
  <c r="AL70" i="24"/>
  <c r="H22" i="24"/>
  <c r="H23" i="24" s="1"/>
  <c r="L23" i="24" s="1"/>
  <c r="T126" i="24"/>
  <c r="S227" i="24"/>
  <c r="N226" i="24" s="1"/>
  <c r="AC226" i="24" s="1"/>
  <c r="U219" i="24" s="1"/>
  <c r="AC219" i="24" s="1"/>
  <c r="P360" i="24"/>
  <c r="O370" i="24" s="1"/>
  <c r="R269" i="24"/>
  <c r="T269" i="24" s="1"/>
  <c r="V121" i="24"/>
  <c r="N124" i="24" s="1"/>
  <c r="S124" i="24" s="1"/>
  <c r="J126" i="24" s="1"/>
  <c r="L187" i="24"/>
  <c r="T314" i="24"/>
  <c r="L314" i="24"/>
  <c r="H178" i="24"/>
  <c r="Y163" i="24"/>
  <c r="AA165" i="24"/>
  <c r="N178" i="24"/>
  <c r="L179" i="24" s="1"/>
  <c r="Z370" i="24"/>
  <c r="E380" i="24" s="1"/>
  <c r="S380" i="24" s="1"/>
  <c r="V380" i="24" s="1"/>
  <c r="R162" i="26"/>
  <c r="R165" i="26" s="1"/>
  <c r="X165" i="26" s="1"/>
  <c r="X164" i="26"/>
  <c r="T212" i="26"/>
  <c r="T260" i="26"/>
  <c r="S270" i="26" s="1"/>
  <c r="Z270" i="26" s="1"/>
  <c r="E280" i="26" s="1"/>
  <c r="S280" i="26" s="1"/>
  <c r="V280" i="26" s="1"/>
  <c r="S85" i="26"/>
  <c r="L86" i="26" s="1"/>
  <c r="R169" i="26"/>
  <c r="T170" i="26" s="1"/>
  <c r="V86" i="26"/>
  <c r="Q224" i="26" s="1"/>
  <c r="X224" i="26" s="1"/>
  <c r="X129" i="26"/>
  <c r="W76" i="26"/>
  <c r="P80" i="26" s="1"/>
  <c r="T169" i="26"/>
  <c r="X133" i="26"/>
  <c r="T126" i="26"/>
  <c r="X79" i="26"/>
  <c r="L81" i="26" s="1"/>
  <c r="J229" i="26"/>
  <c r="T26" i="16"/>
  <c r="P27" i="16"/>
  <c r="J27" i="16"/>
  <c r="J40" i="16"/>
  <c r="P40" i="16"/>
  <c r="AF179" i="21"/>
  <c r="AB167" i="21"/>
  <c r="P179" i="21" s="1"/>
  <c r="P181" i="21"/>
  <c r="AF79" i="26"/>
  <c r="P81" i="26"/>
  <c r="Z370" i="21"/>
  <c r="E380" i="21" s="1"/>
  <c r="S380" i="21" s="1"/>
  <c r="AA360" i="21"/>
  <c r="L362" i="21" s="1"/>
  <c r="R269" i="21"/>
  <c r="X226" i="21"/>
  <c r="AC226" i="21" s="1"/>
  <c r="U219" i="21" s="1"/>
  <c r="AB233" i="21"/>
  <c r="AF178" i="21"/>
  <c r="U234" i="21"/>
  <c r="Y234" i="21" s="1"/>
  <c r="AK70" i="21"/>
  <c r="AJ71" i="21"/>
  <c r="AB179" i="21"/>
  <c r="U83" i="21"/>
  <c r="W79" i="21"/>
  <c r="AA165" i="21"/>
  <c r="H178" i="21"/>
  <c r="O122" i="21"/>
  <c r="V121" i="21" s="1"/>
  <c r="N124" i="21" s="1"/>
  <c r="S124" i="21" s="1"/>
  <c r="J126" i="21" s="1"/>
  <c r="Y119" i="21"/>
  <c r="P314" i="21"/>
  <c r="H315" i="21" s="1"/>
  <c r="H24" i="21"/>
  <c r="H25" i="21" s="1"/>
  <c r="T126" i="21"/>
  <c r="X72" i="26"/>
  <c r="U134" i="26" s="1"/>
  <c r="Y134" i="26" s="1"/>
  <c r="S63" i="26"/>
  <c r="R186" i="21"/>
  <c r="T179" i="21"/>
  <c r="H181" i="21" s="1"/>
  <c r="X179" i="21"/>
  <c r="L181" i="21" s="1"/>
  <c r="V186" i="21"/>
  <c r="Q326" i="21" s="1"/>
  <c r="X326" i="21" s="1"/>
  <c r="J331" i="21" s="1"/>
  <c r="R86" i="26"/>
  <c r="L87" i="26" s="1"/>
  <c r="G96" i="26" s="1"/>
  <c r="T79" i="26"/>
  <c r="H81" i="26" s="1"/>
  <c r="I309" i="26"/>
  <c r="P212" i="26"/>
  <c r="H213" i="26" s="1"/>
  <c r="U27" i="26"/>
  <c r="Y27" i="26" s="1"/>
  <c r="P31" i="26" s="1"/>
  <c r="M43" i="26"/>
  <c r="U30" i="26"/>
  <c r="Y30" i="26" s="1"/>
  <c r="AJ26" i="26"/>
  <c r="AL70" i="21"/>
  <c r="P41" i="25"/>
  <c r="AE39" i="37" l="1"/>
  <c r="L40" i="37" s="1"/>
  <c r="T40" i="37" s="1"/>
  <c r="Z40" i="37" s="1"/>
  <c r="H44" i="37" s="1"/>
  <c r="Z44" i="37" s="1"/>
  <c r="AD44" i="37" s="1"/>
  <c r="AL71" i="24"/>
  <c r="AA360" i="24"/>
  <c r="L362" i="24" s="1"/>
  <c r="T362" i="24" s="1"/>
  <c r="W362" i="24" s="1"/>
  <c r="P40" i="25"/>
  <c r="T271" i="24"/>
  <c r="T270" i="24"/>
  <c r="T26" i="25"/>
  <c r="P27" i="25"/>
  <c r="AB126" i="24"/>
  <c r="T23" i="24"/>
  <c r="G196" i="24"/>
  <c r="K196" i="24" s="1"/>
  <c r="P126" i="24"/>
  <c r="AG220" i="24"/>
  <c r="V75" i="24"/>
  <c r="S196" i="24"/>
  <c r="X180" i="24"/>
  <c r="O183" i="24" s="1"/>
  <c r="S183" i="24" s="1"/>
  <c r="Q187" i="24" s="1"/>
  <c r="X187" i="24" s="1"/>
  <c r="T171" i="26"/>
  <c r="AA260" i="26"/>
  <c r="L262" i="26" s="1"/>
  <c r="T262" i="26" s="1"/>
  <c r="W262" i="26" s="1"/>
  <c r="S96" i="26"/>
  <c r="K96" i="26"/>
  <c r="AB133" i="26"/>
  <c r="X126" i="26"/>
  <c r="AC126" i="26" s="1"/>
  <c r="U119" i="26" s="1"/>
  <c r="T362" i="21"/>
  <c r="W362" i="21" s="1"/>
  <c r="T271" i="21"/>
  <c r="T270" i="21"/>
  <c r="T269" i="21"/>
  <c r="AG220" i="21"/>
  <c r="AC219" i="21"/>
  <c r="L187" i="21"/>
  <c r="X180" i="21"/>
  <c r="O183" i="21" s="1"/>
  <c r="S183" i="21" s="1"/>
  <c r="Q187" i="21" s="1"/>
  <c r="T315" i="21"/>
  <c r="L315" i="21"/>
  <c r="V63" i="26"/>
  <c r="H78" i="26" s="1"/>
  <c r="U65" i="26"/>
  <c r="X65" i="26" s="1"/>
  <c r="N78" i="26" s="1"/>
  <c r="AB126" i="21"/>
  <c r="P126" i="21"/>
  <c r="U35" i="26"/>
  <c r="W31" i="26"/>
  <c r="G196" i="21"/>
  <c r="L25" i="21"/>
  <c r="T25" i="21"/>
  <c r="L213" i="26"/>
  <c r="T213" i="26"/>
  <c r="AB79" i="26"/>
  <c r="AF78" i="26"/>
  <c r="AL71" i="21"/>
  <c r="AK71" i="21"/>
  <c r="AK26" i="26"/>
  <c r="AL26" i="26"/>
  <c r="AJ27" i="26"/>
  <c r="P309" i="26"/>
  <c r="H310" i="26" s="1"/>
  <c r="E47" i="37" l="1"/>
  <c r="AA45" i="37"/>
  <c r="T79" i="24"/>
  <c r="AA79" i="24" s="1"/>
  <c r="Z81" i="24" s="1"/>
  <c r="AD80" i="24" s="1"/>
  <c r="O83" i="24" s="1"/>
  <c r="X83" i="24" s="1"/>
  <c r="N85" i="24" s="1"/>
  <c r="M87" i="24" s="1"/>
  <c r="T87" i="24" s="1"/>
  <c r="W92" i="24" s="1"/>
  <c r="Y224" i="24"/>
  <c r="AB222" i="24" s="1"/>
  <c r="AE222" i="24" s="1"/>
  <c r="R219" i="24" s="1"/>
  <c r="P187" i="24"/>
  <c r="AC119" i="26"/>
  <c r="AG120" i="26"/>
  <c r="V380" i="21"/>
  <c r="V75" i="21"/>
  <c r="X187" i="21"/>
  <c r="P187" i="21"/>
  <c r="T310" i="26"/>
  <c r="L310" i="26"/>
  <c r="L79" i="26"/>
  <c r="AA65" i="26"/>
  <c r="Y63" i="26"/>
  <c r="AL27" i="26"/>
  <c r="AK27" i="26"/>
  <c r="K196" i="21"/>
  <c r="S196" i="21"/>
  <c r="AD220" i="24" l="1"/>
  <c r="Z219" i="24"/>
  <c r="S92" i="24"/>
  <c r="AF92" i="24"/>
  <c r="T79" i="21"/>
  <c r="AA79" i="21" s="1"/>
  <c r="Z81" i="21" s="1"/>
  <c r="AD80" i="21" s="1"/>
  <c r="O83" i="21" s="1"/>
  <c r="X83" i="21" s="1"/>
  <c r="N85" i="21" s="1"/>
  <c r="M87" i="21" s="1"/>
  <c r="T87" i="21" s="1"/>
  <c r="W92" i="21" s="1"/>
  <c r="S92" i="21" s="1"/>
  <c r="Y224" i="21"/>
  <c r="X80" i="26"/>
  <c r="O83" i="26" s="1"/>
  <c r="S83" i="26" s="1"/>
  <c r="Q87" i="26" s="1"/>
  <c r="X87" i="26" s="1"/>
  <c r="V28" i="26"/>
  <c r="T31" i="26" s="1"/>
  <c r="AA31" i="26" s="1"/>
  <c r="Z33" i="26" s="1"/>
  <c r="AD32" i="26" s="1"/>
  <c r="O35" i="26" s="1"/>
  <c r="X35" i="26" s="1"/>
  <c r="N37" i="26" s="1"/>
  <c r="M39" i="26" s="1"/>
  <c r="T39" i="26" s="1"/>
  <c r="W44" i="26" s="1"/>
  <c r="AB222" i="21" l="1"/>
  <c r="AE222" i="21" s="1"/>
  <c r="R219" i="21" s="1"/>
  <c r="Y124" i="26"/>
  <c r="AB122" i="26" s="1"/>
  <c r="AE122" i="26" s="1"/>
  <c r="R119" i="26" s="1"/>
  <c r="O221" i="24"/>
  <c r="AD220" i="21"/>
  <c r="Z219" i="21"/>
  <c r="AF92" i="21"/>
  <c r="P87" i="26"/>
  <c r="AF44" i="26"/>
  <c r="S44" i="26"/>
  <c r="Z119" i="26" l="1"/>
  <c r="AD120" i="26"/>
  <c r="O121" i="26" s="1"/>
  <c r="V230" i="24"/>
  <c r="AA230" i="24" s="1"/>
  <c r="U233" i="24" s="1"/>
  <c r="R233" i="24"/>
  <c r="O221" i="21"/>
  <c r="R233" i="21" s="1"/>
  <c r="V130" i="26" l="1"/>
  <c r="AA130" i="26" s="1"/>
  <c r="U133" i="26" s="1"/>
  <c r="R133" i="26"/>
  <c r="AK133" i="26" s="1"/>
  <c r="K134" i="26" s="1"/>
  <c r="M134" i="26" s="1"/>
  <c r="AK233" i="24"/>
  <c r="K234" i="24" s="1"/>
  <c r="M234" i="24" s="1"/>
  <c r="V230" i="21"/>
  <c r="AA230" i="21" s="1"/>
  <c r="U233" i="21" s="1"/>
  <c r="AK233" i="21" s="1"/>
  <c r="K234" i="21" s="1"/>
  <c r="M234"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t-yashima-0113</author>
  </authors>
  <commentList>
    <comment ref="AK176" authorId="0" shapeId="0" xr:uid="{1265BDBF-7CBA-43F9-A05D-6DC30FCC0745}">
      <text>
        <r>
          <rPr>
            <b/>
            <sz val="8"/>
            <color indexed="10"/>
            <rFont val="ＭＳ Ｐゴシック"/>
            <family val="3"/>
            <charset val="128"/>
          </rPr>
          <t>圧縮鉄筋のひずみを入力！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t-yashima-0113</author>
  </authors>
  <commentList>
    <comment ref="AK74" authorId="0" shapeId="0" xr:uid="{4D517AE1-363D-4EDC-A57D-F5534FEDA44D}">
      <text>
        <r>
          <rPr>
            <b/>
            <sz val="8"/>
            <color indexed="10"/>
            <rFont val="ＭＳ Ｐゴシック"/>
            <family val="3"/>
            <charset val="128"/>
          </rPr>
          <t>圧縮鉄筋のひずみを入力！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t-yashima-0113</author>
  </authors>
  <commentList>
    <comment ref="AK176" authorId="0" shapeId="0" xr:uid="{13FABF6E-CE01-46F5-83AD-D7FC52BB12BB}">
      <text>
        <r>
          <rPr>
            <b/>
            <sz val="8"/>
            <color indexed="10"/>
            <rFont val="ＭＳ Ｐゴシック"/>
            <family val="3"/>
            <charset val="128"/>
          </rPr>
          <t>圧縮鉄筋のひずみを入力！</t>
        </r>
      </text>
    </comment>
  </commentList>
</comments>
</file>

<file path=xl/sharedStrings.xml><?xml version="1.0" encoding="utf-8"?>
<sst xmlns="http://schemas.openxmlformats.org/spreadsheetml/2006/main" count="2705" uniqueCount="679">
  <si>
    <t>材料強度の特性値</t>
    <rPh sb="0" eb="2">
      <t>ザイリョウ</t>
    </rPh>
    <rPh sb="2" eb="4">
      <t>キョウド</t>
    </rPh>
    <rPh sb="5" eb="7">
      <t>トクセイ</t>
    </rPh>
    <rPh sb="7" eb="8">
      <t>チ</t>
    </rPh>
    <phoneticPr fontId="3"/>
  </si>
  <si>
    <t>引 張 鉄 筋</t>
    <rPh sb="0" eb="1">
      <t>ヒ</t>
    </rPh>
    <rPh sb="2" eb="3">
      <t>パ</t>
    </rPh>
    <rPh sb="4" eb="5">
      <t>テツ</t>
    </rPh>
    <rPh sb="6" eb="7">
      <t>スジ</t>
    </rPh>
    <phoneticPr fontId="3"/>
  </si>
  <si>
    <t>材料係数</t>
    <rPh sb="0" eb="2">
      <t>ザイリョウ</t>
    </rPh>
    <rPh sb="2" eb="4">
      <t>ケイスウ</t>
    </rPh>
    <phoneticPr fontId="3"/>
  </si>
  <si>
    <t>部材係数</t>
    <rPh sb="0" eb="2">
      <t>ブザイ</t>
    </rPh>
    <rPh sb="2" eb="4">
      <t>ケイスウ</t>
    </rPh>
    <phoneticPr fontId="3"/>
  </si>
  <si>
    <t>部　   　材</t>
    <rPh sb="0" eb="1">
      <t>ブ</t>
    </rPh>
    <rPh sb="6" eb="7">
      <t>ザイ</t>
    </rPh>
    <phoneticPr fontId="3"/>
  </si>
  <si>
    <t>計 算 箇 所</t>
    <rPh sb="0" eb="1">
      <t>ケイ</t>
    </rPh>
    <rPh sb="2" eb="3">
      <t>サン</t>
    </rPh>
    <rPh sb="4" eb="5">
      <t>カ</t>
    </rPh>
    <rPh sb="6" eb="7">
      <t>トコロ</t>
    </rPh>
    <phoneticPr fontId="3"/>
  </si>
  <si>
    <t>備　　　　考</t>
    <rPh sb="0" eb="1">
      <t>ビ</t>
    </rPh>
    <rPh sb="5" eb="6">
      <t>コウ</t>
    </rPh>
    <phoneticPr fontId="3"/>
  </si>
  <si>
    <t>側  鉄  筋</t>
    <rPh sb="0" eb="1">
      <t>ソク</t>
    </rPh>
    <rPh sb="3" eb="4">
      <t>テツ</t>
    </rPh>
    <rPh sb="6" eb="7">
      <t>スジ</t>
    </rPh>
    <phoneticPr fontId="3"/>
  </si>
  <si>
    <t>構造物係数</t>
    <rPh sb="0" eb="3">
      <t>コウゾウブツ</t>
    </rPh>
    <rPh sb="3" eb="5">
      <t>ケイスウ</t>
    </rPh>
    <phoneticPr fontId="3"/>
  </si>
  <si>
    <t>(本)</t>
    <rPh sb="1" eb="2">
      <t>ホン</t>
    </rPh>
    <phoneticPr fontId="3"/>
  </si>
  <si>
    <t>［　］内は1段目のかぶり</t>
    <rPh sb="3" eb="4">
      <t>ナイ</t>
    </rPh>
    <rPh sb="6" eb="8">
      <t>ダンメ</t>
    </rPh>
    <phoneticPr fontId="3"/>
  </si>
  <si>
    <t>コンクリート</t>
    <phoneticPr fontId="3"/>
  </si>
  <si>
    <t>f'ck</t>
    <phoneticPr fontId="3"/>
  </si>
  <si>
    <t>＝</t>
    <phoneticPr fontId="3"/>
  </si>
  <si>
    <t>fsyk</t>
    <phoneticPr fontId="3"/>
  </si>
  <si>
    <t>＝</t>
    <phoneticPr fontId="3"/>
  </si>
  <si>
    <t>fsyk</t>
    <phoneticPr fontId="3"/>
  </si>
  <si>
    <t>＝</t>
    <phoneticPr fontId="3"/>
  </si>
  <si>
    <t>γc</t>
    <phoneticPr fontId="3"/>
  </si>
  <si>
    <t>γs</t>
    <phoneticPr fontId="3"/>
  </si>
  <si>
    <t>γb</t>
    <phoneticPr fontId="3"/>
  </si>
  <si>
    <t>＝</t>
    <phoneticPr fontId="3"/>
  </si>
  <si>
    <t>γi</t>
    <phoneticPr fontId="3"/>
  </si>
  <si>
    <t>＝</t>
    <phoneticPr fontId="3"/>
  </si>
  <si>
    <t>(〃)</t>
    <phoneticPr fontId="3"/>
  </si>
  <si>
    <t>(kN･m)</t>
    <phoneticPr fontId="3"/>
  </si>
  <si>
    <t>(kN)</t>
    <phoneticPr fontId="3"/>
  </si>
  <si>
    <t>(mm)</t>
    <phoneticPr fontId="3"/>
  </si>
  <si>
    <t>Case</t>
    <phoneticPr fontId="3"/>
  </si>
  <si>
    <t>(mm)</t>
    <phoneticPr fontId="3"/>
  </si>
  <si>
    <r>
      <t>N/mm</t>
    </r>
    <r>
      <rPr>
        <vertAlign val="superscript"/>
        <sz val="10"/>
        <rFont val="ＭＳ 明朝"/>
        <family val="1"/>
        <charset val="128"/>
      </rPr>
      <t>2</t>
    </r>
    <phoneticPr fontId="3"/>
  </si>
  <si>
    <r>
      <t>N/mm</t>
    </r>
    <r>
      <rPr>
        <vertAlign val="superscript"/>
        <sz val="10"/>
        <rFont val="ＭＳ 明朝"/>
        <family val="1"/>
        <charset val="128"/>
      </rPr>
      <t>2</t>
    </r>
    <phoneticPr fontId="3"/>
  </si>
  <si>
    <r>
      <t>N/mm</t>
    </r>
    <r>
      <rPr>
        <vertAlign val="superscript"/>
        <sz val="10"/>
        <rFont val="ＭＳ 明朝"/>
        <family val="1"/>
        <charset val="128"/>
      </rPr>
      <t>2</t>
    </r>
    <phoneticPr fontId="3"/>
  </si>
  <si>
    <t>N'd</t>
    <phoneticPr fontId="3"/>
  </si>
  <si>
    <r>
      <t>N/mm</t>
    </r>
    <r>
      <rPr>
        <vertAlign val="superscript"/>
        <sz val="10"/>
        <rFont val="ＭＳ 明朝"/>
        <family val="1"/>
        <charset val="128"/>
      </rPr>
      <t>2</t>
    </r>
    <phoneticPr fontId="3"/>
  </si>
  <si>
    <t>b</t>
    <phoneticPr fontId="3"/>
  </si>
  <si>
    <t>bw</t>
    <phoneticPr fontId="3"/>
  </si>
  <si>
    <t>h</t>
    <phoneticPr fontId="3"/>
  </si>
  <si>
    <t>hf</t>
    <phoneticPr fontId="3"/>
  </si>
  <si>
    <t>d</t>
    <phoneticPr fontId="3"/>
  </si>
  <si>
    <t>dt</t>
    <phoneticPr fontId="3"/>
  </si>
  <si>
    <t>dc</t>
    <phoneticPr fontId="3"/>
  </si>
  <si>
    <t>Ast</t>
    <phoneticPr fontId="3"/>
  </si>
  <si>
    <t>Pt</t>
    <phoneticPr fontId="3"/>
  </si>
  <si>
    <t>Asc</t>
    <phoneticPr fontId="3"/>
  </si>
  <si>
    <t>Ass</t>
    <phoneticPr fontId="3"/>
  </si>
  <si>
    <t>Nss</t>
    <phoneticPr fontId="3"/>
  </si>
  <si>
    <t>Md</t>
    <phoneticPr fontId="3"/>
  </si>
  <si>
    <t>Nd</t>
    <phoneticPr fontId="3"/>
  </si>
  <si>
    <t>X</t>
    <phoneticPr fontId="3"/>
  </si>
  <si>
    <t>＝</t>
    <phoneticPr fontId="3"/>
  </si>
  <si>
    <r>
      <t>N/mm</t>
    </r>
    <r>
      <rPr>
        <vertAlign val="superscript"/>
        <sz val="10"/>
        <rFont val="ＭＳ 明朝"/>
        <family val="1"/>
        <charset val="128"/>
      </rPr>
      <t>2</t>
    </r>
    <phoneticPr fontId="3"/>
  </si>
  <si>
    <t>＝</t>
    <phoneticPr fontId="3"/>
  </si>
  <si>
    <t>＝</t>
    <phoneticPr fontId="3"/>
  </si>
  <si>
    <t>＝</t>
    <phoneticPr fontId="3"/>
  </si>
  <si>
    <t>＝</t>
    <phoneticPr fontId="3"/>
  </si>
  <si>
    <t>復旧性(地震時以外)における曲げモーメントに対する照査</t>
    <rPh sb="0" eb="3">
      <t>フッキュウセイ</t>
    </rPh>
    <rPh sb="4" eb="6">
      <t>ジシン</t>
    </rPh>
    <rPh sb="6" eb="7">
      <t>ジ</t>
    </rPh>
    <rPh sb="7" eb="9">
      <t>イガイ</t>
    </rPh>
    <phoneticPr fontId="3"/>
  </si>
  <si>
    <r>
      <t>　曲げモーメントの影響が支配的な部材については、設計曲げ降伏耐力M</t>
    </r>
    <r>
      <rPr>
        <sz val="8"/>
        <rFont val="ＭＳ 明朝"/>
        <family val="1"/>
        <charset val="128"/>
      </rPr>
      <t>yd</t>
    </r>
    <r>
      <rPr>
        <sz val="10"/>
        <rFont val="ＭＳ 明朝"/>
        <family val="1"/>
        <charset val="128"/>
      </rPr>
      <t>が設計曲げひ</t>
    </r>
    <rPh sb="1" eb="2">
      <t>マ</t>
    </rPh>
    <rPh sb="9" eb="11">
      <t>エイキョウ</t>
    </rPh>
    <rPh sb="12" eb="14">
      <t>シハイ</t>
    </rPh>
    <rPh sb="14" eb="15">
      <t>テキ</t>
    </rPh>
    <rPh sb="16" eb="17">
      <t>ブ</t>
    </rPh>
    <rPh sb="17" eb="18">
      <t>ザイ</t>
    </rPh>
    <rPh sb="24" eb="26">
      <t>セッケイ</t>
    </rPh>
    <rPh sb="26" eb="27">
      <t>マ</t>
    </rPh>
    <rPh sb="28" eb="30">
      <t>コウフク</t>
    </rPh>
    <rPh sb="30" eb="32">
      <t>タイリョク</t>
    </rPh>
    <rPh sb="36" eb="38">
      <t>セッケイ</t>
    </rPh>
    <phoneticPr fontId="3"/>
  </si>
  <si>
    <r>
      <t>び割れ耐力M</t>
    </r>
    <r>
      <rPr>
        <sz val="8"/>
        <rFont val="ＭＳ 明朝"/>
        <family val="1"/>
        <charset val="128"/>
      </rPr>
      <t>crd</t>
    </r>
    <r>
      <rPr>
        <sz val="10"/>
        <rFont val="ＭＳ 明朝"/>
        <family val="1"/>
        <charset val="128"/>
      </rPr>
      <t>を超えるように、引張鉄筋を配置する。</t>
    </r>
    <phoneticPr fontId="3"/>
  </si>
  <si>
    <r>
      <t>M</t>
    </r>
    <r>
      <rPr>
        <sz val="8"/>
        <rFont val="ＭＳ 明朝"/>
        <family val="1"/>
        <charset val="128"/>
      </rPr>
      <t>crd</t>
    </r>
    <phoneticPr fontId="3"/>
  </si>
  <si>
    <t>＝</t>
    <phoneticPr fontId="3"/>
  </si>
  <si>
    <r>
      <t>(σ</t>
    </r>
    <r>
      <rPr>
        <sz val="8"/>
        <rFont val="ＭＳ 明朝"/>
        <family val="1"/>
        <charset val="128"/>
      </rPr>
      <t>crd</t>
    </r>
    <r>
      <rPr>
        <sz val="10"/>
        <rFont val="ＭＳ 明朝"/>
        <family val="1"/>
        <charset val="128"/>
      </rPr>
      <t>＋N'd/A)・I</t>
    </r>
    <phoneticPr fontId="3"/>
  </si>
  <si>
    <t>y</t>
    <phoneticPr fontId="3"/>
  </si>
  <si>
    <t>ここに、</t>
    <phoneticPr fontId="3"/>
  </si>
  <si>
    <t>A</t>
    <phoneticPr fontId="3"/>
  </si>
  <si>
    <t>：</t>
    <phoneticPr fontId="3"/>
  </si>
  <si>
    <t>断面積</t>
    <rPh sb="0" eb="3">
      <t>ダンメンセキ</t>
    </rPh>
    <phoneticPr fontId="3"/>
  </si>
  <si>
    <t>(</t>
    <phoneticPr fontId="3"/>
  </si>
  <si>
    <r>
      <t>mm</t>
    </r>
    <r>
      <rPr>
        <vertAlign val="superscript"/>
        <sz val="10"/>
        <rFont val="ＭＳ 明朝"/>
        <family val="1"/>
        <charset val="128"/>
      </rPr>
      <t>2</t>
    </r>
    <r>
      <rPr>
        <sz val="10"/>
        <rFont val="ＭＳ 明朝"/>
        <family val="1"/>
        <charset val="128"/>
      </rPr>
      <t xml:space="preserve"> )</t>
    </r>
    <phoneticPr fontId="3"/>
  </si>
  <si>
    <t>b</t>
    <phoneticPr fontId="3"/>
  </si>
  <si>
    <t>I</t>
    <phoneticPr fontId="3"/>
  </si>
  <si>
    <t>断面二次ﾓｰﾒﾝﾄ</t>
    <rPh sb="0" eb="2">
      <t>ダンメン</t>
    </rPh>
    <rPh sb="2" eb="4">
      <t>ニジ</t>
    </rPh>
    <phoneticPr fontId="3"/>
  </si>
  <si>
    <t>(</t>
    <phoneticPr fontId="3"/>
  </si>
  <si>
    <r>
      <t>mm</t>
    </r>
    <r>
      <rPr>
        <vertAlign val="superscript"/>
        <sz val="10"/>
        <rFont val="ＭＳ 明朝"/>
        <family val="1"/>
        <charset val="128"/>
      </rPr>
      <t>4</t>
    </r>
    <r>
      <rPr>
        <sz val="10"/>
        <rFont val="ＭＳ 明朝"/>
        <family val="1"/>
        <charset val="128"/>
      </rPr>
      <t xml:space="preserve"> )</t>
    </r>
    <phoneticPr fontId="3"/>
  </si>
  <si>
    <t>h</t>
    <phoneticPr fontId="3"/>
  </si>
  <si>
    <t>y</t>
    <phoneticPr fontId="3"/>
  </si>
  <si>
    <t>：</t>
    <phoneticPr fontId="3"/>
  </si>
  <si>
    <t>中立軸高さ</t>
    <rPh sb="0" eb="2">
      <t>チュウリツ</t>
    </rPh>
    <rPh sb="2" eb="3">
      <t>ジク</t>
    </rPh>
    <rPh sb="3" eb="4">
      <t>タカ</t>
    </rPh>
    <phoneticPr fontId="3"/>
  </si>
  <si>
    <t>(</t>
    <phoneticPr fontId="3"/>
  </si>
  <si>
    <t>＝</t>
    <phoneticPr fontId="3"/>
  </si>
  <si>
    <t>mm</t>
    <phoneticPr fontId="3"/>
  </si>
  <si>
    <t>)</t>
    <phoneticPr fontId="3"/>
  </si>
  <si>
    <t>：</t>
    <phoneticPr fontId="3"/>
  </si>
  <si>
    <t>軸方向圧縮力</t>
    <rPh sb="0" eb="1">
      <t>ジク</t>
    </rPh>
    <rPh sb="1" eb="3">
      <t>ホウコウ</t>
    </rPh>
    <rPh sb="3" eb="5">
      <t>アッシュク</t>
    </rPh>
    <rPh sb="5" eb="6">
      <t>リョク</t>
    </rPh>
    <phoneticPr fontId="3"/>
  </si>
  <si>
    <t>(</t>
    <phoneticPr fontId="3"/>
  </si>
  <si>
    <t>＝</t>
    <phoneticPr fontId="3"/>
  </si>
  <si>
    <t>kN</t>
    <phoneticPr fontId="3"/>
  </si>
  <si>
    <t>)</t>
    <phoneticPr fontId="3"/>
  </si>
  <si>
    <r>
      <t>σ</t>
    </r>
    <r>
      <rPr>
        <sz val="8"/>
        <rFont val="ＭＳ 明朝"/>
        <family val="1"/>
        <charset val="128"/>
      </rPr>
      <t>crd</t>
    </r>
    <r>
      <rPr>
        <sz val="10"/>
        <rFont val="ＭＳ 明朝"/>
        <family val="1"/>
        <charset val="128"/>
      </rPr>
      <t xml:space="preserve"> ＝ f</t>
    </r>
    <r>
      <rPr>
        <sz val="8"/>
        <rFont val="ＭＳ 明朝"/>
        <family val="1"/>
        <charset val="128"/>
      </rPr>
      <t>bck</t>
    </r>
    <r>
      <rPr>
        <sz val="10"/>
        <rFont val="ＭＳ 明朝"/>
        <family val="1"/>
        <charset val="128"/>
      </rPr>
      <t xml:space="preserve"> ＝ k</t>
    </r>
    <r>
      <rPr>
        <sz val="8"/>
        <rFont val="ＭＳ 明朝"/>
        <family val="1"/>
        <charset val="128"/>
      </rPr>
      <t>0b</t>
    </r>
    <r>
      <rPr>
        <sz val="10"/>
        <rFont val="ＭＳ 明朝"/>
        <family val="1"/>
        <charset val="128"/>
      </rPr>
      <t>・k</t>
    </r>
    <r>
      <rPr>
        <sz val="8"/>
        <rFont val="ＭＳ 明朝"/>
        <family val="1"/>
        <charset val="128"/>
      </rPr>
      <t>1b</t>
    </r>
    <r>
      <rPr>
        <sz val="10"/>
        <rFont val="ＭＳ 明朝"/>
        <family val="1"/>
        <charset val="128"/>
      </rPr>
      <t>・f</t>
    </r>
    <r>
      <rPr>
        <sz val="8"/>
        <rFont val="ＭＳ 明朝"/>
        <family val="1"/>
        <charset val="128"/>
      </rPr>
      <t>tk</t>
    </r>
    <phoneticPr fontId="3"/>
  </si>
  <si>
    <r>
      <t>k</t>
    </r>
    <r>
      <rPr>
        <sz val="8"/>
        <rFont val="ＭＳ 明朝"/>
        <family val="1"/>
        <charset val="128"/>
      </rPr>
      <t>0b</t>
    </r>
    <phoneticPr fontId="3"/>
  </si>
  <si>
    <t>＋</t>
    <phoneticPr fontId="3"/>
  </si>
  <si>
    <t>h</t>
    <phoneticPr fontId="3"/>
  </si>
  <si>
    <t>/</t>
    <phoneticPr fontId="3"/>
  </si>
  <si>
    <r>
      <t>l</t>
    </r>
    <r>
      <rPr>
        <sz val="8"/>
        <rFont val="ＭＳ 明朝"/>
        <family val="1"/>
        <charset val="128"/>
      </rPr>
      <t>ch</t>
    </r>
    <phoneticPr fontId="3"/>
  </si>
  <si>
    <t>)</t>
    <phoneticPr fontId="3"/>
  </si>
  <si>
    <t>部材の高さ</t>
    <rPh sb="0" eb="1">
      <t>ブ</t>
    </rPh>
    <rPh sb="1" eb="2">
      <t>ザイ</t>
    </rPh>
    <rPh sb="3" eb="4">
      <t>タカ</t>
    </rPh>
    <phoneticPr fontId="3"/>
  </si>
  <si>
    <t>mm</t>
    <phoneticPr fontId="3"/>
  </si>
  <si>
    <t>)</t>
    <phoneticPr fontId="3"/>
  </si>
  <si>
    <r>
      <t>l</t>
    </r>
    <r>
      <rPr>
        <sz val="8"/>
        <rFont val="ＭＳ 明朝"/>
        <family val="1"/>
        <charset val="128"/>
      </rPr>
      <t>ch</t>
    </r>
    <phoneticPr fontId="3"/>
  </si>
  <si>
    <t>特性長さ</t>
    <rPh sb="0" eb="2">
      <t>トクセイ</t>
    </rPh>
    <rPh sb="2" eb="3">
      <t>ナガ</t>
    </rPh>
    <phoneticPr fontId="3"/>
  </si>
  <si>
    <r>
      <t>1000G</t>
    </r>
    <r>
      <rPr>
        <sz val="8"/>
        <rFont val="ＭＳ 明朝"/>
        <family val="1"/>
        <charset val="128"/>
      </rPr>
      <t>F</t>
    </r>
    <r>
      <rPr>
        <sz val="10"/>
        <rFont val="ＭＳ 明朝"/>
        <family val="1"/>
        <charset val="128"/>
      </rPr>
      <t>・Ec</t>
    </r>
    <r>
      <rPr>
        <sz val="10"/>
        <rFont val="ＭＳ 明朝"/>
        <family val="1"/>
        <charset val="128"/>
      </rPr>
      <t>/</t>
    </r>
    <r>
      <rPr>
        <sz val="10"/>
        <rFont val="ＭＳ 明朝"/>
        <family val="1"/>
        <charset val="128"/>
      </rPr>
      <t>f</t>
    </r>
    <r>
      <rPr>
        <sz val="8"/>
        <rFont val="ＭＳ 明朝"/>
        <family val="1"/>
        <charset val="128"/>
      </rPr>
      <t>tk</t>
    </r>
    <r>
      <rPr>
        <vertAlign val="superscript"/>
        <sz val="10"/>
        <rFont val="ＭＳ 明朝"/>
        <family val="1"/>
        <charset val="128"/>
      </rPr>
      <t>2</t>
    </r>
    <phoneticPr fontId="3"/>
  </si>
  <si>
    <t>ここに、</t>
    <phoneticPr fontId="3"/>
  </si>
  <si>
    <r>
      <t>G</t>
    </r>
    <r>
      <rPr>
        <sz val="8"/>
        <rFont val="ＭＳ 明朝"/>
        <family val="1"/>
        <charset val="128"/>
      </rPr>
      <t>F</t>
    </r>
    <phoneticPr fontId="3"/>
  </si>
  <si>
    <t>破壊ｴﾈﾙｷﾞｰ(N/mm)</t>
    <rPh sb="0" eb="2">
      <t>ハカイ</t>
    </rPh>
    <phoneticPr fontId="3"/>
  </si>
  <si>
    <r>
      <t>1/100･(d</t>
    </r>
    <r>
      <rPr>
        <sz val="8"/>
        <rFont val="ＭＳ 明朝"/>
        <family val="1"/>
        <charset val="128"/>
      </rPr>
      <t>max</t>
    </r>
    <r>
      <rPr>
        <sz val="10"/>
        <rFont val="ＭＳ 明朝"/>
        <family val="1"/>
        <charset val="128"/>
      </rPr>
      <t>)</t>
    </r>
    <r>
      <rPr>
        <vertAlign val="superscript"/>
        <sz val="10"/>
        <rFont val="ＭＳ 明朝"/>
        <family val="1"/>
        <charset val="128"/>
      </rPr>
      <t>1/3</t>
    </r>
    <r>
      <rPr>
        <sz val="10"/>
        <rFont val="ＭＳ 明朝"/>
        <family val="1"/>
        <charset val="128"/>
      </rPr>
      <t>･f'</t>
    </r>
    <r>
      <rPr>
        <sz val="8"/>
        <rFont val="ＭＳ 明朝"/>
        <family val="1"/>
        <charset val="128"/>
      </rPr>
      <t>ck</t>
    </r>
    <r>
      <rPr>
        <vertAlign val="superscript"/>
        <sz val="10"/>
        <rFont val="ＭＳ 明朝"/>
        <family val="1"/>
        <charset val="128"/>
      </rPr>
      <t>1/3</t>
    </r>
    <phoneticPr fontId="3"/>
  </si>
  <si>
    <r>
      <t>d</t>
    </r>
    <r>
      <rPr>
        <sz val="8"/>
        <rFont val="ＭＳ 明朝"/>
        <family val="1"/>
        <charset val="128"/>
      </rPr>
      <t>max</t>
    </r>
    <phoneticPr fontId="3"/>
  </si>
  <si>
    <t>粗骨材の最大寸法</t>
    <rPh sb="0" eb="1">
      <t>ソ</t>
    </rPh>
    <rPh sb="1" eb="3">
      <t>コツザイ</t>
    </rPh>
    <rPh sb="4" eb="6">
      <t>サイダイ</t>
    </rPh>
    <rPh sb="6" eb="8">
      <t>スンポウ</t>
    </rPh>
    <phoneticPr fontId="3"/>
  </si>
  <si>
    <t>(</t>
    <phoneticPr fontId="3"/>
  </si>
  <si>
    <t>mm</t>
    <phoneticPr fontId="3"/>
  </si>
  <si>
    <t>)</t>
    <phoneticPr fontId="3"/>
  </si>
  <si>
    <r>
      <t>f</t>
    </r>
    <r>
      <rPr>
        <sz val="10"/>
        <rFont val="ＭＳ 明朝"/>
        <family val="1"/>
        <charset val="128"/>
      </rPr>
      <t>'</t>
    </r>
    <r>
      <rPr>
        <sz val="8"/>
        <rFont val="ＭＳ 明朝"/>
        <family val="1"/>
        <charset val="128"/>
      </rPr>
      <t>ck</t>
    </r>
    <phoneticPr fontId="3"/>
  </si>
  <si>
    <t>：</t>
    <phoneticPr fontId="3"/>
  </si>
  <si>
    <r>
      <t>圧縮強度の特性値(ρ</t>
    </r>
    <r>
      <rPr>
        <sz val="10"/>
        <rFont val="ＭＳ 明朝"/>
        <family val="1"/>
        <charset val="128"/>
      </rPr>
      <t>m＝1.3)</t>
    </r>
    <rPh sb="0" eb="2">
      <t>アッシュク</t>
    </rPh>
    <rPh sb="2" eb="4">
      <t>キョウド</t>
    </rPh>
    <rPh sb="5" eb="8">
      <t>トクセイチ</t>
    </rPh>
    <phoneticPr fontId="3"/>
  </si>
  <si>
    <t>(</t>
    <phoneticPr fontId="3"/>
  </si>
  <si>
    <t>×</t>
    <phoneticPr fontId="3"/>
  </si>
  <si>
    <t>)</t>
    <phoneticPr fontId="3"/>
  </si>
  <si>
    <t>∴</t>
    <phoneticPr fontId="3"/>
  </si>
  <si>
    <r>
      <t>G</t>
    </r>
    <r>
      <rPr>
        <sz val="8"/>
        <rFont val="ＭＳ 明朝"/>
        <family val="1"/>
        <charset val="128"/>
      </rPr>
      <t>F</t>
    </r>
    <phoneticPr fontId="3"/>
  </si>
  <si>
    <t>1/100</t>
    <phoneticPr fontId="3"/>
  </si>
  <si>
    <t>1/3</t>
    <phoneticPr fontId="3"/>
  </si>
  <si>
    <r>
      <t>E</t>
    </r>
    <r>
      <rPr>
        <sz val="8"/>
        <rFont val="ＭＳ 明朝"/>
        <family val="1"/>
        <charset val="128"/>
      </rPr>
      <t>C</t>
    </r>
    <phoneticPr fontId="3"/>
  </si>
  <si>
    <t>：</t>
    <phoneticPr fontId="3"/>
  </si>
  <si>
    <t>ｺﾝｸﾘｰﾄのﾔﾝｸﾞ係数</t>
    <rPh sb="11" eb="13">
      <t>ケイスウ</t>
    </rPh>
    <phoneticPr fontId="3"/>
  </si>
  <si>
    <t>(</t>
    <phoneticPr fontId="3"/>
  </si>
  <si>
    <t>＝</t>
    <phoneticPr fontId="3"/>
  </si>
  <si>
    <r>
      <t>k</t>
    </r>
    <r>
      <rPr>
        <sz val="10"/>
        <rFont val="ＭＳ 明朝"/>
        <family val="1"/>
        <charset val="128"/>
      </rPr>
      <t>N/mm</t>
    </r>
    <r>
      <rPr>
        <vertAlign val="superscript"/>
        <sz val="10"/>
        <rFont val="ＭＳ 明朝"/>
        <family val="1"/>
        <charset val="128"/>
      </rPr>
      <t>2</t>
    </r>
    <phoneticPr fontId="3"/>
  </si>
  <si>
    <t>)</t>
    <phoneticPr fontId="3"/>
  </si>
  <si>
    <r>
      <t>f</t>
    </r>
    <r>
      <rPr>
        <sz val="8"/>
        <rFont val="ＭＳ 明朝"/>
        <family val="1"/>
        <charset val="128"/>
      </rPr>
      <t>tk</t>
    </r>
    <phoneticPr fontId="3"/>
  </si>
  <si>
    <t>：</t>
    <phoneticPr fontId="3"/>
  </si>
  <si>
    <t>引張強度の特性値</t>
    <rPh sb="0" eb="2">
      <t>ヒッパリ</t>
    </rPh>
    <rPh sb="2" eb="4">
      <t>キョウド</t>
    </rPh>
    <rPh sb="5" eb="7">
      <t>トクセイ</t>
    </rPh>
    <rPh sb="7" eb="8">
      <t>チ</t>
    </rPh>
    <phoneticPr fontId="3"/>
  </si>
  <si>
    <t>(</t>
    <phoneticPr fontId="3"/>
  </si>
  <si>
    <r>
      <t>0.23f'</t>
    </r>
    <r>
      <rPr>
        <sz val="8"/>
        <rFont val="ＭＳ 明朝"/>
        <family val="1"/>
        <charset val="128"/>
      </rPr>
      <t>ck</t>
    </r>
    <r>
      <rPr>
        <vertAlign val="superscript"/>
        <sz val="10"/>
        <rFont val="ＭＳ 明朝"/>
        <family val="1"/>
        <charset val="128"/>
      </rPr>
      <t>2/3</t>
    </r>
    <phoneticPr fontId="3"/>
  </si>
  <si>
    <t>×</t>
    <phoneticPr fontId="3"/>
  </si>
  <si>
    <t>2/3</t>
    <phoneticPr fontId="3"/>
  </si>
  <si>
    <t>)</t>
    <phoneticPr fontId="3"/>
  </si>
  <si>
    <t>∴</t>
    <phoneticPr fontId="3"/>
  </si>
  <si>
    <r>
      <t>l</t>
    </r>
    <r>
      <rPr>
        <sz val="8"/>
        <rFont val="ＭＳ 明朝"/>
        <family val="1"/>
        <charset val="128"/>
      </rPr>
      <t>ch</t>
    </r>
    <phoneticPr fontId="3"/>
  </si>
  <si>
    <t>/</t>
    <phoneticPr fontId="3"/>
  </si>
  <si>
    <t>2</t>
    <phoneticPr fontId="3"/>
  </si>
  <si>
    <r>
      <t>m</t>
    </r>
    <r>
      <rPr>
        <sz val="10"/>
        <rFont val="ＭＳ 明朝"/>
        <family val="1"/>
        <charset val="128"/>
      </rPr>
      <t>m</t>
    </r>
    <phoneticPr fontId="3"/>
  </si>
  <si>
    <r>
      <t>k</t>
    </r>
    <r>
      <rPr>
        <sz val="8"/>
        <rFont val="ＭＳ 明朝"/>
        <family val="1"/>
        <charset val="128"/>
      </rPr>
      <t>0b</t>
    </r>
    <phoneticPr fontId="3"/>
  </si>
  <si>
    <t>＋</t>
    <phoneticPr fontId="3"/>
  </si>
  <si>
    <r>
      <t>k</t>
    </r>
    <r>
      <rPr>
        <sz val="8"/>
        <rFont val="ＭＳ 明朝"/>
        <family val="1"/>
        <charset val="128"/>
      </rPr>
      <t>1b</t>
    </r>
    <phoneticPr fontId="3"/>
  </si>
  <si>
    <r>
      <t>σ</t>
    </r>
    <r>
      <rPr>
        <sz val="8"/>
        <rFont val="ＭＳ 明朝"/>
        <family val="1"/>
        <charset val="128"/>
      </rPr>
      <t>crd</t>
    </r>
    <phoneticPr fontId="3"/>
  </si>
  <si>
    <r>
      <t>f</t>
    </r>
    <r>
      <rPr>
        <sz val="8"/>
        <rFont val="ＭＳ 明朝"/>
        <family val="1"/>
        <charset val="128"/>
      </rPr>
      <t>bck</t>
    </r>
    <phoneticPr fontId="3"/>
  </si>
  <si>
    <t>よって、</t>
    <phoneticPr fontId="3"/>
  </si>
  <si>
    <r>
      <t>M</t>
    </r>
    <r>
      <rPr>
        <sz val="8"/>
        <rFont val="ＭＳ 明朝"/>
        <family val="1"/>
        <charset val="128"/>
      </rPr>
      <t>crd</t>
    </r>
    <phoneticPr fontId="3"/>
  </si>
  <si>
    <r>
      <t>10</t>
    </r>
    <r>
      <rPr>
        <vertAlign val="superscript"/>
        <sz val="10"/>
        <rFont val="ＭＳ 明朝"/>
        <family val="1"/>
        <charset val="128"/>
      </rPr>
      <t xml:space="preserve">3 </t>
    </r>
    <r>
      <rPr>
        <sz val="10"/>
        <rFont val="ＭＳ 明朝"/>
        <family val="1"/>
        <charset val="128"/>
      </rPr>
      <t>/</t>
    </r>
    <phoneticPr fontId="3"/>
  </si>
  <si>
    <t>N･mm</t>
    <phoneticPr fontId="3"/>
  </si>
  <si>
    <t>kN･m</t>
    <phoneticPr fontId="3"/>
  </si>
  <si>
    <t>　また、設計曲げ降伏耐力は、以下の条件で算定する.</t>
    <rPh sb="4" eb="6">
      <t>セッケイ</t>
    </rPh>
    <rPh sb="6" eb="7">
      <t>マ</t>
    </rPh>
    <rPh sb="8" eb="10">
      <t>コウフク</t>
    </rPh>
    <rPh sb="10" eb="12">
      <t>タイリョク</t>
    </rPh>
    <rPh sb="14" eb="16">
      <t>イカ</t>
    </rPh>
    <rPh sb="17" eb="19">
      <t>ジョウケン</t>
    </rPh>
    <rPh sb="20" eb="22">
      <t>サンテイ</t>
    </rPh>
    <phoneticPr fontId="3"/>
  </si>
  <si>
    <r>
      <t>f</t>
    </r>
    <r>
      <rPr>
        <sz val="10"/>
        <rFont val="ＭＳ 明朝"/>
        <family val="1"/>
        <charset val="128"/>
      </rPr>
      <t>'</t>
    </r>
    <r>
      <rPr>
        <sz val="8"/>
        <rFont val="ＭＳ 明朝"/>
        <family val="1"/>
        <charset val="128"/>
      </rPr>
      <t>ck</t>
    </r>
    <phoneticPr fontId="3"/>
  </si>
  <si>
    <t>、</t>
    <phoneticPr fontId="3"/>
  </si>
  <si>
    <r>
      <t>γ</t>
    </r>
    <r>
      <rPr>
        <sz val="8"/>
        <rFont val="ＭＳ 明朝"/>
        <family val="1"/>
        <charset val="128"/>
      </rPr>
      <t>b</t>
    </r>
    <phoneticPr fontId="3"/>
  </si>
  <si>
    <r>
      <t>M</t>
    </r>
    <r>
      <rPr>
        <sz val="8"/>
        <rFont val="ＭＳ 明朝"/>
        <family val="1"/>
        <charset val="128"/>
      </rPr>
      <t>yd</t>
    </r>
    <phoneticPr fontId="3"/>
  </si>
  <si>
    <r>
      <t>　以上の結果より、</t>
    </r>
    <r>
      <rPr>
        <sz val="10"/>
        <rFont val="ＭＳ 明朝"/>
        <family val="1"/>
        <charset val="128"/>
      </rPr>
      <t>M</t>
    </r>
    <r>
      <rPr>
        <sz val="8"/>
        <rFont val="ＭＳ 明朝"/>
        <family val="1"/>
        <charset val="128"/>
      </rPr>
      <t>yd</t>
    </r>
    <r>
      <rPr>
        <sz val="10"/>
        <rFont val="ＭＳ 明朝"/>
        <family val="1"/>
        <charset val="128"/>
      </rPr>
      <t>＞M</t>
    </r>
    <r>
      <rPr>
        <sz val="8"/>
        <rFont val="ＭＳ 明朝"/>
        <family val="1"/>
        <charset val="128"/>
      </rPr>
      <t>crd</t>
    </r>
    <r>
      <rPr>
        <sz val="10"/>
        <rFont val="ＭＳ 明朝"/>
        <family val="1"/>
        <charset val="128"/>
      </rPr>
      <t>となり</t>
    </r>
    <r>
      <rPr>
        <sz val="10"/>
        <rFont val="ＭＳ 明朝"/>
        <family val="1"/>
        <charset val="128"/>
      </rPr>
      <t>満足する。</t>
    </r>
    <rPh sb="20" eb="22">
      <t>マンゾク</t>
    </rPh>
    <phoneticPr fontId="3"/>
  </si>
  <si>
    <r>
      <t>断面破壊に対する引張鉄筋比P</t>
    </r>
    <r>
      <rPr>
        <sz val="8"/>
        <rFont val="ＭＳ 明朝"/>
        <family val="1"/>
        <charset val="128"/>
      </rPr>
      <t>t</t>
    </r>
    <r>
      <rPr>
        <sz val="10"/>
        <rFont val="ＭＳ 明朝"/>
        <family val="1"/>
        <charset val="128"/>
      </rPr>
      <t>は、釣合鉄筋比P</t>
    </r>
    <r>
      <rPr>
        <sz val="8"/>
        <rFont val="ＭＳ 明朝"/>
        <family val="1"/>
        <charset val="128"/>
      </rPr>
      <t>b</t>
    </r>
    <r>
      <rPr>
        <sz val="10"/>
        <rFont val="ＭＳ 明朝"/>
        <family val="1"/>
        <charset val="128"/>
      </rPr>
      <t>の75％以下としなければならない。</t>
    </r>
    <rPh sb="0" eb="2">
      <t>ダンメン</t>
    </rPh>
    <rPh sb="2" eb="4">
      <t>ハカイ</t>
    </rPh>
    <rPh sb="5" eb="6">
      <t>タイ</t>
    </rPh>
    <rPh sb="8" eb="10">
      <t>ヒッパリ</t>
    </rPh>
    <rPh sb="10" eb="12">
      <t>テッキン</t>
    </rPh>
    <rPh sb="12" eb="13">
      <t>ヒ</t>
    </rPh>
    <rPh sb="17" eb="19">
      <t>ツリア</t>
    </rPh>
    <rPh sb="19" eb="21">
      <t>テッキン</t>
    </rPh>
    <rPh sb="21" eb="22">
      <t>ヒ</t>
    </rPh>
    <rPh sb="28" eb="30">
      <t>イカ</t>
    </rPh>
    <phoneticPr fontId="3"/>
  </si>
  <si>
    <t>(a) 釣合鉄筋比Pbの算定</t>
    <rPh sb="4" eb="6">
      <t>ツリア</t>
    </rPh>
    <rPh sb="6" eb="8">
      <t>テッキン</t>
    </rPh>
    <rPh sb="8" eb="9">
      <t>ヒ</t>
    </rPh>
    <rPh sb="12" eb="14">
      <t>サンテイ</t>
    </rPh>
    <phoneticPr fontId="3"/>
  </si>
  <si>
    <r>
      <t>P</t>
    </r>
    <r>
      <rPr>
        <sz val="8"/>
        <rFont val="ＭＳ 明朝"/>
        <family val="1"/>
        <charset val="128"/>
      </rPr>
      <t>b</t>
    </r>
    <phoneticPr fontId="3"/>
  </si>
  <si>
    <t>＝</t>
    <phoneticPr fontId="3"/>
  </si>
  <si>
    <t>{(</t>
    <phoneticPr fontId="3"/>
  </si>
  <si>
    <t>α</t>
    <phoneticPr fontId="3"/>
  </si>
  <si>
    <t>・</t>
    <phoneticPr fontId="3"/>
  </si>
  <si>
    <r>
      <t>ε'</t>
    </r>
    <r>
      <rPr>
        <sz val="8"/>
        <rFont val="ＭＳ 明朝"/>
        <family val="1"/>
        <charset val="128"/>
      </rPr>
      <t>cu</t>
    </r>
    <phoneticPr fontId="3"/>
  </si>
  <si>
    <t>－</t>
    <phoneticPr fontId="3"/>
  </si>
  <si>
    <r>
      <t>N'</t>
    </r>
    <r>
      <rPr>
        <sz val="8"/>
        <rFont val="ＭＳ 明朝"/>
        <family val="1"/>
        <charset val="128"/>
      </rPr>
      <t>d</t>
    </r>
    <phoneticPr fontId="3"/>
  </si>
  <si>
    <t>)･</t>
    <phoneticPr fontId="3"/>
  </si>
  <si>
    <r>
      <t>f</t>
    </r>
    <r>
      <rPr>
        <sz val="10"/>
        <rFont val="ＭＳ 明朝"/>
        <family val="1"/>
        <charset val="128"/>
      </rPr>
      <t>'</t>
    </r>
    <r>
      <rPr>
        <sz val="8"/>
        <rFont val="ＭＳ 明朝"/>
        <family val="1"/>
        <charset val="128"/>
      </rPr>
      <t>cd</t>
    </r>
    <phoneticPr fontId="3"/>
  </si>
  <si>
    <t>＋</t>
    <phoneticPr fontId="3"/>
  </si>
  <si>
    <r>
      <t>A</t>
    </r>
    <r>
      <rPr>
        <sz val="8"/>
        <rFont val="ＭＳ 明朝"/>
        <family val="1"/>
        <charset val="128"/>
      </rPr>
      <t>sc</t>
    </r>
    <phoneticPr fontId="3"/>
  </si>
  <si>
    <r>
      <t>σ</t>
    </r>
    <r>
      <rPr>
        <sz val="10"/>
        <rFont val="ＭＳ 明朝"/>
        <family val="1"/>
        <charset val="128"/>
      </rPr>
      <t>'</t>
    </r>
    <r>
      <rPr>
        <sz val="8"/>
        <rFont val="ＭＳ 明朝"/>
        <family val="1"/>
        <charset val="128"/>
      </rPr>
      <t>s</t>
    </r>
    <phoneticPr fontId="3"/>
  </si>
  <si>
    <t>}×</t>
    <phoneticPr fontId="3"/>
  </si>
  <si>
    <r>
      <t>ε'</t>
    </r>
    <r>
      <rPr>
        <sz val="8"/>
        <rFont val="ＭＳ 明朝"/>
        <family val="1"/>
        <charset val="128"/>
      </rPr>
      <t>sy</t>
    </r>
    <phoneticPr fontId="3"/>
  </si>
  <si>
    <r>
      <t>b･d･f'</t>
    </r>
    <r>
      <rPr>
        <sz val="8"/>
        <rFont val="ＭＳ 明朝"/>
        <family val="1"/>
        <charset val="128"/>
      </rPr>
      <t>cd</t>
    </r>
    <phoneticPr fontId="3"/>
  </si>
  <si>
    <r>
      <t>f</t>
    </r>
    <r>
      <rPr>
        <sz val="8"/>
        <rFont val="ＭＳ 明朝"/>
        <family val="1"/>
        <charset val="128"/>
      </rPr>
      <t>syd</t>
    </r>
    <phoneticPr fontId="3"/>
  </si>
  <si>
    <t>b･d</t>
    <phoneticPr fontId="3"/>
  </si>
  <si>
    <t>ここに、</t>
    <phoneticPr fontId="3"/>
  </si>
  <si>
    <t>：</t>
    <phoneticPr fontId="3"/>
  </si>
  <si>
    <r>
      <t>f'</t>
    </r>
    <r>
      <rPr>
        <sz val="8"/>
        <rFont val="ＭＳ 明朝"/>
        <family val="1"/>
        <charset val="128"/>
      </rPr>
      <t>ck</t>
    </r>
    <phoneticPr fontId="3"/>
  </si>
  <si>
    <r>
      <t>ただし、</t>
    </r>
    <r>
      <rPr>
        <sz val="9"/>
        <rFont val="ＭＳ 明朝"/>
        <family val="1"/>
        <charset val="128"/>
      </rPr>
      <t>α</t>
    </r>
    <r>
      <rPr>
        <sz val="10"/>
        <rFont val="ＭＳ 明朝"/>
        <family val="1"/>
        <charset val="128"/>
      </rPr>
      <t>≦0.68</t>
    </r>
    <phoneticPr fontId="3"/>
  </si>
  <si>
    <t>×</t>
    <phoneticPr fontId="3"/>
  </si>
  <si>
    <t>ｺﾝｸﾘｰﾄの終局ひずみ</t>
    <rPh sb="7" eb="9">
      <t>シュウキョク</t>
    </rPh>
    <phoneticPr fontId="3"/>
  </si>
  <si>
    <t>－</t>
    <phoneticPr fontId="3"/>
  </si>
  <si>
    <r>
      <t>f</t>
    </r>
    <r>
      <rPr>
        <sz val="10"/>
        <rFont val="ＭＳ 明朝"/>
        <family val="1"/>
        <charset val="128"/>
      </rPr>
      <t>'</t>
    </r>
    <r>
      <rPr>
        <sz val="8"/>
        <rFont val="ＭＳ 明朝"/>
        <family val="1"/>
        <charset val="128"/>
      </rPr>
      <t>ck</t>
    </r>
    <phoneticPr fontId="3"/>
  </si>
  <si>
    <r>
      <t>ε'</t>
    </r>
    <r>
      <rPr>
        <sz val="8"/>
        <rFont val="ＭＳ 明朝"/>
        <family val="1"/>
        <charset val="128"/>
      </rPr>
      <t>sy</t>
    </r>
    <phoneticPr fontId="3"/>
  </si>
  <si>
    <t>引張鉄筋の降伏ひずみ</t>
    <rPh sb="0" eb="2">
      <t>ヒッパリ</t>
    </rPh>
    <rPh sb="2" eb="4">
      <t>テッキン</t>
    </rPh>
    <rPh sb="5" eb="7">
      <t>コウフク</t>
    </rPh>
    <phoneticPr fontId="3"/>
  </si>
  <si>
    <t>(</t>
    <phoneticPr fontId="3"/>
  </si>
  <si>
    <r>
      <t>f</t>
    </r>
    <r>
      <rPr>
        <sz val="8"/>
        <rFont val="ＭＳ 明朝"/>
        <family val="1"/>
        <charset val="128"/>
      </rPr>
      <t>syd</t>
    </r>
    <phoneticPr fontId="3"/>
  </si>
  <si>
    <t>/</t>
    <phoneticPr fontId="3"/>
  </si>
  <si>
    <r>
      <t>E</t>
    </r>
    <r>
      <rPr>
        <sz val="8"/>
        <rFont val="ＭＳ 明朝"/>
        <family val="1"/>
        <charset val="128"/>
      </rPr>
      <t>S</t>
    </r>
    <phoneticPr fontId="3"/>
  </si>
  <si>
    <t>＝</t>
    <phoneticPr fontId="3"/>
  </si>
  <si>
    <t>)</t>
    <phoneticPr fontId="3"/>
  </si>
  <si>
    <r>
      <t>N'</t>
    </r>
    <r>
      <rPr>
        <sz val="8"/>
        <rFont val="ＭＳ 明朝"/>
        <family val="1"/>
        <charset val="128"/>
      </rPr>
      <t>d</t>
    </r>
    <phoneticPr fontId="3"/>
  </si>
  <si>
    <t>：</t>
    <phoneticPr fontId="3"/>
  </si>
  <si>
    <t>b</t>
    <phoneticPr fontId="3"/>
  </si>
  <si>
    <t>：</t>
    <phoneticPr fontId="3"/>
  </si>
  <si>
    <t>部材の幅</t>
    <rPh sb="0" eb="1">
      <t>ブ</t>
    </rPh>
    <rPh sb="1" eb="2">
      <t>ザイ</t>
    </rPh>
    <rPh sb="3" eb="4">
      <t>ハバ</t>
    </rPh>
    <phoneticPr fontId="3"/>
  </si>
  <si>
    <t>d</t>
    <phoneticPr fontId="3"/>
  </si>
  <si>
    <t>部材の有効高さ</t>
    <rPh sb="0" eb="1">
      <t>ブ</t>
    </rPh>
    <rPh sb="1" eb="2">
      <t>ザイ</t>
    </rPh>
    <rPh sb="3" eb="5">
      <t>ユウコウ</t>
    </rPh>
    <rPh sb="5" eb="6">
      <t>タカ</t>
    </rPh>
    <phoneticPr fontId="3"/>
  </si>
  <si>
    <t>mm</t>
    <phoneticPr fontId="3"/>
  </si>
  <si>
    <r>
      <t>f</t>
    </r>
    <r>
      <rPr>
        <sz val="10"/>
        <rFont val="ＭＳ 明朝"/>
        <family val="1"/>
        <charset val="128"/>
      </rPr>
      <t>'</t>
    </r>
    <r>
      <rPr>
        <sz val="8"/>
        <rFont val="ＭＳ 明朝"/>
        <family val="1"/>
        <charset val="128"/>
      </rPr>
      <t>cd</t>
    </r>
    <phoneticPr fontId="3"/>
  </si>
  <si>
    <t>：</t>
    <phoneticPr fontId="3"/>
  </si>
  <si>
    <t>ｺﾝｸﾘｰﾄの設計圧縮強度</t>
    <rPh sb="7" eb="9">
      <t>セッケイ</t>
    </rPh>
    <rPh sb="9" eb="11">
      <t>アッシュク</t>
    </rPh>
    <rPh sb="11" eb="13">
      <t>キョウド</t>
    </rPh>
    <phoneticPr fontId="3"/>
  </si>
  <si>
    <r>
      <t>f</t>
    </r>
    <r>
      <rPr>
        <sz val="10"/>
        <rFont val="ＭＳ 明朝"/>
        <family val="1"/>
        <charset val="128"/>
      </rPr>
      <t>'</t>
    </r>
    <r>
      <rPr>
        <sz val="8"/>
        <rFont val="ＭＳ 明朝"/>
        <family val="1"/>
        <charset val="128"/>
      </rPr>
      <t>ck</t>
    </r>
    <phoneticPr fontId="3"/>
  </si>
  <si>
    <r>
      <t>γ</t>
    </r>
    <r>
      <rPr>
        <sz val="8"/>
        <rFont val="ＭＳ 明朝"/>
        <family val="1"/>
        <charset val="128"/>
      </rPr>
      <t>C</t>
    </r>
    <phoneticPr fontId="3"/>
  </si>
  <si>
    <r>
      <t>N/mm</t>
    </r>
    <r>
      <rPr>
        <vertAlign val="superscript"/>
        <sz val="10"/>
        <rFont val="ＭＳ 明朝"/>
        <family val="1"/>
        <charset val="128"/>
      </rPr>
      <t>2</t>
    </r>
    <phoneticPr fontId="3"/>
  </si>
  <si>
    <r>
      <t>f</t>
    </r>
    <r>
      <rPr>
        <sz val="8"/>
        <rFont val="ＭＳ 明朝"/>
        <family val="1"/>
        <charset val="128"/>
      </rPr>
      <t>syd</t>
    </r>
    <phoneticPr fontId="3"/>
  </si>
  <si>
    <t>鉄筋の設計引張降伏強度</t>
    <rPh sb="0" eb="2">
      <t>テッキン</t>
    </rPh>
    <rPh sb="3" eb="5">
      <t>セッケイ</t>
    </rPh>
    <rPh sb="5" eb="7">
      <t>ヒッパリ</t>
    </rPh>
    <rPh sb="7" eb="9">
      <t>コウフク</t>
    </rPh>
    <rPh sb="9" eb="11">
      <t>キョウド</t>
    </rPh>
    <phoneticPr fontId="3"/>
  </si>
  <si>
    <t>(</t>
    <phoneticPr fontId="3"/>
  </si>
  <si>
    <r>
      <t>N/mm</t>
    </r>
    <r>
      <rPr>
        <vertAlign val="superscript"/>
        <sz val="10"/>
        <rFont val="ＭＳ 明朝"/>
        <family val="1"/>
        <charset val="128"/>
      </rPr>
      <t>2</t>
    </r>
    <phoneticPr fontId="3"/>
  </si>
  <si>
    <t>)</t>
    <phoneticPr fontId="3"/>
  </si>
  <si>
    <r>
      <t>E</t>
    </r>
    <r>
      <rPr>
        <sz val="8"/>
        <rFont val="ＭＳ 明朝"/>
        <family val="1"/>
        <charset val="128"/>
      </rPr>
      <t>S</t>
    </r>
    <phoneticPr fontId="3"/>
  </si>
  <si>
    <t>：</t>
    <phoneticPr fontId="3"/>
  </si>
  <si>
    <t>鉄筋のﾔﾝｸﾞ係数</t>
    <rPh sb="0" eb="2">
      <t>テッキン</t>
    </rPh>
    <rPh sb="7" eb="9">
      <t>ケイスウ</t>
    </rPh>
    <phoneticPr fontId="3"/>
  </si>
  <si>
    <t>(</t>
    <phoneticPr fontId="3"/>
  </si>
  <si>
    <t>＝</t>
    <phoneticPr fontId="3"/>
  </si>
  <si>
    <r>
      <t>k</t>
    </r>
    <r>
      <rPr>
        <sz val="10"/>
        <rFont val="ＭＳ 明朝"/>
        <family val="1"/>
        <charset val="128"/>
      </rPr>
      <t>N/mm</t>
    </r>
    <r>
      <rPr>
        <vertAlign val="superscript"/>
        <sz val="10"/>
        <rFont val="ＭＳ 明朝"/>
        <family val="1"/>
        <charset val="128"/>
      </rPr>
      <t>2</t>
    </r>
    <phoneticPr fontId="3"/>
  </si>
  <si>
    <t>)</t>
    <phoneticPr fontId="3"/>
  </si>
  <si>
    <r>
      <t>A</t>
    </r>
    <r>
      <rPr>
        <sz val="8"/>
        <rFont val="ＭＳ 明朝"/>
        <family val="1"/>
        <charset val="128"/>
      </rPr>
      <t>sc</t>
    </r>
    <phoneticPr fontId="3"/>
  </si>
  <si>
    <t>：</t>
    <phoneticPr fontId="3"/>
  </si>
  <si>
    <t>圧縮鉄筋量</t>
    <rPh sb="0" eb="2">
      <t>アッシュク</t>
    </rPh>
    <rPh sb="2" eb="4">
      <t>テッキン</t>
    </rPh>
    <rPh sb="4" eb="5">
      <t>リョウ</t>
    </rPh>
    <phoneticPr fontId="3"/>
  </si>
  <si>
    <t>(</t>
    <phoneticPr fontId="3"/>
  </si>
  <si>
    <t>＝</t>
    <phoneticPr fontId="3"/>
  </si>
  <si>
    <t>－</t>
    <phoneticPr fontId="3"/>
  </si>
  <si>
    <t>本</t>
    <rPh sb="0" eb="1">
      <t>ホン</t>
    </rPh>
    <phoneticPr fontId="3"/>
  </si>
  <si>
    <r>
      <t>mm</t>
    </r>
    <r>
      <rPr>
        <vertAlign val="superscript"/>
        <sz val="10"/>
        <rFont val="ＭＳ 明朝"/>
        <family val="1"/>
        <charset val="128"/>
      </rPr>
      <t>2</t>
    </r>
    <r>
      <rPr>
        <sz val="10"/>
        <rFont val="ＭＳ 明朝"/>
        <family val="1"/>
        <charset val="128"/>
      </rPr>
      <t xml:space="preserve"> )</t>
    </r>
    <phoneticPr fontId="3"/>
  </si>
  <si>
    <r>
      <t>σ</t>
    </r>
    <r>
      <rPr>
        <sz val="10"/>
        <rFont val="ＭＳ 明朝"/>
        <family val="1"/>
        <charset val="128"/>
      </rPr>
      <t>'</t>
    </r>
    <r>
      <rPr>
        <sz val="8"/>
        <rFont val="ＭＳ 明朝"/>
        <family val="1"/>
        <charset val="128"/>
      </rPr>
      <t>s</t>
    </r>
    <phoneticPr fontId="3"/>
  </si>
  <si>
    <t>圧縮鉄筋の応力</t>
    <rPh sb="0" eb="2">
      <t>アッシュク</t>
    </rPh>
    <rPh sb="2" eb="4">
      <t>テッキン</t>
    </rPh>
    <rPh sb="5" eb="7">
      <t>オウリョク</t>
    </rPh>
    <phoneticPr fontId="3"/>
  </si>
  <si>
    <r>
      <t>N/mm</t>
    </r>
    <r>
      <rPr>
        <vertAlign val="superscript"/>
        <sz val="10"/>
        <rFont val="ＭＳ 明朝"/>
        <family val="1"/>
        <charset val="128"/>
      </rPr>
      <t>2</t>
    </r>
    <phoneticPr fontId="3"/>
  </si>
  <si>
    <t>≦</t>
    <phoneticPr fontId="3"/>
  </si>
  <si>
    <r>
      <t>f</t>
    </r>
    <r>
      <rPr>
        <sz val="8"/>
        <rFont val="ＭＳ 明朝"/>
        <family val="1"/>
        <charset val="128"/>
      </rPr>
      <t>syd</t>
    </r>
    <phoneticPr fontId="3"/>
  </si>
  <si>
    <r>
      <t>)</t>
    </r>
    <r>
      <rPr>
        <sz val="10"/>
        <rFont val="ＭＳ 明朝"/>
        <family val="1"/>
        <charset val="128"/>
      </rPr>
      <t>)</t>
    </r>
    <phoneticPr fontId="3"/>
  </si>
  <si>
    <t>→</t>
    <phoneticPr fontId="3"/>
  </si>
  <si>
    <r>
      <t>P</t>
    </r>
    <r>
      <rPr>
        <sz val="8"/>
        <rFont val="ＭＳ 明朝"/>
        <family val="1"/>
        <charset val="128"/>
      </rPr>
      <t>b</t>
    </r>
    <phoneticPr fontId="3"/>
  </si>
  <si>
    <t>{(</t>
    <phoneticPr fontId="3"/>
  </si>
  <si>
    <t>×</t>
    <phoneticPr fontId="3"/>
  </si>
  <si>
    <t>)</t>
    <phoneticPr fontId="3"/>
  </si>
  <si>
    <t>＋</t>
    <phoneticPr fontId="3"/>
  </si>
  <si>
    <t>}</t>
    <phoneticPr fontId="3"/>
  </si>
  <si>
    <t>％</t>
    <phoneticPr fontId="3"/>
  </si>
  <si>
    <t>主鉄筋</t>
    <rPh sb="0" eb="1">
      <t>シュ</t>
    </rPh>
    <rPh sb="1" eb="3">
      <t>テッキン</t>
    </rPh>
    <phoneticPr fontId="3"/>
  </si>
  <si>
    <r>
      <t>A</t>
    </r>
    <r>
      <rPr>
        <sz val="8"/>
        <rFont val="ＭＳ 明朝"/>
        <family val="1"/>
        <charset val="128"/>
      </rPr>
      <t>S</t>
    </r>
    <phoneticPr fontId="3"/>
  </si>
  <si>
    <r>
      <t>mm</t>
    </r>
    <r>
      <rPr>
        <vertAlign val="superscript"/>
        <sz val="10"/>
        <rFont val="ＭＳ 明朝"/>
        <family val="1"/>
        <charset val="128"/>
      </rPr>
      <t>2</t>
    </r>
    <phoneticPr fontId="3"/>
  </si>
  <si>
    <r>
      <t>P</t>
    </r>
    <r>
      <rPr>
        <sz val="8"/>
        <rFont val="ＭＳ 明朝"/>
        <family val="1"/>
        <charset val="128"/>
      </rPr>
      <t>t</t>
    </r>
    <phoneticPr fontId="3"/>
  </si>
  <si>
    <r>
      <t>A</t>
    </r>
    <r>
      <rPr>
        <sz val="8"/>
        <rFont val="ＭＳ 明朝"/>
        <family val="1"/>
        <charset val="128"/>
      </rPr>
      <t>S</t>
    </r>
    <r>
      <rPr>
        <sz val="10"/>
        <rFont val="ＭＳ 明朝"/>
        <family val="1"/>
        <charset val="128"/>
      </rPr>
      <t>/(b･d)</t>
    </r>
    <phoneticPr fontId="3"/>
  </si>
  <si>
    <t>/</t>
    <phoneticPr fontId="3"/>
  </si>
  <si>
    <t>×</t>
    <phoneticPr fontId="3"/>
  </si>
  <si>
    <t>％</t>
    <phoneticPr fontId="3"/>
  </si>
  <si>
    <t>･･････</t>
    <phoneticPr fontId="3"/>
  </si>
  <si>
    <r>
      <t>以上の結果より、0.75</t>
    </r>
    <r>
      <rPr>
        <sz val="10"/>
        <rFont val="ＭＳ 明朝"/>
        <family val="1"/>
        <charset val="128"/>
      </rPr>
      <t>P</t>
    </r>
    <r>
      <rPr>
        <sz val="8"/>
        <rFont val="ＭＳ 明朝"/>
        <family val="1"/>
        <charset val="128"/>
      </rPr>
      <t>b</t>
    </r>
    <r>
      <rPr>
        <sz val="10"/>
        <rFont val="ＭＳ 明朝"/>
        <family val="1"/>
        <charset val="128"/>
      </rPr>
      <t>＞P</t>
    </r>
    <r>
      <rPr>
        <sz val="8"/>
        <rFont val="ＭＳ 明朝"/>
        <family val="1"/>
        <charset val="128"/>
      </rPr>
      <t>t</t>
    </r>
    <r>
      <rPr>
        <sz val="10"/>
        <rFont val="ＭＳ 明朝"/>
        <family val="1"/>
        <charset val="128"/>
      </rPr>
      <t>となり</t>
    </r>
    <r>
      <rPr>
        <sz val="10"/>
        <rFont val="ＭＳ 明朝"/>
        <family val="1"/>
        <charset val="128"/>
      </rPr>
      <t>満足する。</t>
    </r>
    <rPh sb="20" eb="22">
      <t>マンゾク</t>
    </rPh>
    <phoneticPr fontId="3"/>
  </si>
  <si>
    <t>§１．○○○（MSｺﾞｼｯｸ：11pt）</t>
    <phoneticPr fontId="8"/>
  </si>
  <si>
    <t>１．△△△（MSｺﾞｼｯｸ：10pt）</t>
    <phoneticPr fontId="8"/>
  </si>
  <si>
    <t>1.1　□□□（MSｺﾞｼｯｸ：10pt）</t>
    <phoneticPr fontId="3"/>
  </si>
  <si>
    <t>(1) ○○○（MS明朝：10pt）</t>
    <rPh sb="10" eb="12">
      <t>ミンチョウ</t>
    </rPh>
    <phoneticPr fontId="3"/>
  </si>
  <si>
    <t>1) ○○○（MS明朝：10pt）</t>
    <phoneticPr fontId="3"/>
  </si>
  <si>
    <t>① ○○○（MS明朝：10pt）</t>
    <phoneticPr fontId="3"/>
  </si>
  <si>
    <r>
      <t>(</t>
    </r>
    <r>
      <rPr>
        <sz val="10"/>
        <rFont val="ＭＳ 明朝"/>
        <family val="1"/>
        <charset val="128"/>
      </rPr>
      <t>a</t>
    </r>
    <r>
      <rPr>
        <sz val="10"/>
        <rFont val="ＭＳ 明朝"/>
        <family val="1"/>
        <charset val="128"/>
      </rPr>
      <t>) ○○○（MS明朝：10pt）</t>
    </r>
    <rPh sb="10" eb="12">
      <t>ミンチョウ</t>
    </rPh>
    <phoneticPr fontId="3"/>
  </si>
  <si>
    <t>a) ○○○（MS明朝：10pt）</t>
    <phoneticPr fontId="3"/>
  </si>
  <si>
    <t>・○○○（MS明朝：10pt）</t>
    <phoneticPr fontId="3"/>
  </si>
  <si>
    <t>§１．○○○（MSｺﾞｼｯｸ：11pt）</t>
    <phoneticPr fontId="8"/>
  </si>
  <si>
    <t>１．△△△（MSｺﾞｼｯｸ：10pt）</t>
    <phoneticPr fontId="8"/>
  </si>
  <si>
    <t>1.1　□□□（MSｺﾞｼｯｸ：10pt）</t>
    <phoneticPr fontId="3"/>
  </si>
  <si>
    <r>
      <t>M</t>
    </r>
    <r>
      <rPr>
        <sz val="10"/>
        <rFont val="ＭＳ 明朝"/>
        <family val="1"/>
        <charset val="128"/>
      </rPr>
      <t>y</t>
    </r>
    <r>
      <rPr>
        <sz val="10"/>
        <rFont val="ＭＳ 明朝"/>
        <family val="1"/>
        <charset val="128"/>
      </rPr>
      <t>d</t>
    </r>
    <phoneticPr fontId="3"/>
  </si>
  <si>
    <r>
      <t>γi･</t>
    </r>
    <r>
      <rPr>
        <sz val="10"/>
        <rFont val="ＭＳ 明朝"/>
        <family val="1"/>
        <charset val="128"/>
      </rPr>
      <t>M</t>
    </r>
    <r>
      <rPr>
        <sz val="10"/>
        <rFont val="ＭＳ 明朝"/>
        <family val="1"/>
        <charset val="128"/>
      </rPr>
      <t>d/M</t>
    </r>
    <r>
      <rPr>
        <sz val="10"/>
        <rFont val="ＭＳ 明朝"/>
        <family val="1"/>
        <charset val="128"/>
      </rPr>
      <t>y</t>
    </r>
    <r>
      <rPr>
        <sz val="10"/>
        <rFont val="ＭＳ 明朝"/>
        <family val="1"/>
        <charset val="128"/>
      </rPr>
      <t>d</t>
    </r>
    <phoneticPr fontId="3"/>
  </si>
  <si>
    <r>
      <t>εs</t>
    </r>
    <r>
      <rPr>
        <sz val="10"/>
        <rFont val="ＭＳ 明朝"/>
        <family val="1"/>
        <charset val="128"/>
      </rPr>
      <t>y</t>
    </r>
    <phoneticPr fontId="3"/>
  </si>
  <si>
    <t>ε'c</t>
    <phoneticPr fontId="3"/>
  </si>
  <si>
    <t>（　）内は水平のあき</t>
    <rPh sb="3" eb="4">
      <t>ナイ</t>
    </rPh>
    <rPh sb="5" eb="7">
      <t>スイヘイ</t>
    </rPh>
    <phoneticPr fontId="3"/>
  </si>
  <si>
    <r>
      <t>N</t>
    </r>
    <r>
      <rPr>
        <sz val="10"/>
        <rFont val="ＭＳ 明朝"/>
        <family val="1"/>
        <charset val="128"/>
      </rPr>
      <t>y</t>
    </r>
    <r>
      <rPr>
        <sz val="10"/>
        <rFont val="ＭＳ 明朝"/>
        <family val="1"/>
        <charset val="128"/>
      </rPr>
      <t>d</t>
    </r>
    <phoneticPr fontId="3"/>
  </si>
  <si>
    <t>躯体</t>
    <rPh sb="0" eb="2">
      <t>クタイ</t>
    </rPh>
    <phoneticPr fontId="3"/>
  </si>
  <si>
    <t>線路方向</t>
    <rPh sb="0" eb="2">
      <t>センロ</t>
    </rPh>
    <rPh sb="2" eb="4">
      <t>ホウコウ</t>
    </rPh>
    <phoneticPr fontId="3"/>
  </si>
  <si>
    <t>コンクリート</t>
    <phoneticPr fontId="3"/>
  </si>
  <si>
    <t>f'ck</t>
    <phoneticPr fontId="3"/>
  </si>
  <si>
    <t>fsyk</t>
    <phoneticPr fontId="3"/>
  </si>
  <si>
    <r>
      <t>N/mm</t>
    </r>
    <r>
      <rPr>
        <vertAlign val="superscript"/>
        <sz val="10"/>
        <rFont val="ＭＳ 明朝"/>
        <family val="1"/>
        <charset val="128"/>
      </rPr>
      <t>2</t>
    </r>
    <phoneticPr fontId="3"/>
  </si>
  <si>
    <t>コンクリート</t>
    <phoneticPr fontId="3"/>
  </si>
  <si>
    <t>γc</t>
    <phoneticPr fontId="3"/>
  </si>
  <si>
    <t>γs</t>
    <phoneticPr fontId="3"/>
  </si>
  <si>
    <t>γb</t>
    <phoneticPr fontId="3"/>
  </si>
  <si>
    <t>γi</t>
    <phoneticPr fontId="3"/>
  </si>
  <si>
    <t>b</t>
    <phoneticPr fontId="3"/>
  </si>
  <si>
    <t>(mm)</t>
    <phoneticPr fontId="3"/>
  </si>
  <si>
    <t>bw</t>
    <phoneticPr fontId="3"/>
  </si>
  <si>
    <t>(〃)</t>
    <phoneticPr fontId="3"/>
  </si>
  <si>
    <t>h</t>
    <phoneticPr fontId="3"/>
  </si>
  <si>
    <t>hf</t>
    <phoneticPr fontId="3"/>
  </si>
  <si>
    <t>d</t>
    <phoneticPr fontId="3"/>
  </si>
  <si>
    <t>dt</t>
    <phoneticPr fontId="3"/>
  </si>
  <si>
    <t>dc</t>
    <phoneticPr fontId="3"/>
  </si>
  <si>
    <t>Ast</t>
    <phoneticPr fontId="3"/>
  </si>
  <si>
    <t>Pt</t>
    <phoneticPr fontId="3"/>
  </si>
  <si>
    <t>Asc</t>
    <phoneticPr fontId="3"/>
  </si>
  <si>
    <t>Ass</t>
    <phoneticPr fontId="3"/>
  </si>
  <si>
    <t>Nss</t>
    <phoneticPr fontId="3"/>
  </si>
  <si>
    <t>Md</t>
    <phoneticPr fontId="3"/>
  </si>
  <si>
    <t>(kN･m)</t>
    <phoneticPr fontId="3"/>
  </si>
  <si>
    <t>Nd</t>
    <phoneticPr fontId="3"/>
  </si>
  <si>
    <t>(kN)</t>
    <phoneticPr fontId="3"/>
  </si>
  <si>
    <r>
      <t>M</t>
    </r>
    <r>
      <rPr>
        <sz val="10"/>
        <rFont val="ＭＳ 明朝"/>
        <family val="1"/>
        <charset val="128"/>
      </rPr>
      <t>y</t>
    </r>
    <r>
      <rPr>
        <sz val="10"/>
        <rFont val="ＭＳ 明朝"/>
        <family val="1"/>
        <charset val="128"/>
      </rPr>
      <t>d</t>
    </r>
    <phoneticPr fontId="3"/>
  </si>
  <si>
    <r>
      <t>N</t>
    </r>
    <r>
      <rPr>
        <sz val="10"/>
        <rFont val="ＭＳ 明朝"/>
        <family val="1"/>
        <charset val="128"/>
      </rPr>
      <t>y</t>
    </r>
    <r>
      <rPr>
        <sz val="10"/>
        <rFont val="ＭＳ 明朝"/>
        <family val="1"/>
        <charset val="128"/>
      </rPr>
      <t>d</t>
    </r>
    <phoneticPr fontId="3"/>
  </si>
  <si>
    <r>
      <t>γi･</t>
    </r>
    <r>
      <rPr>
        <sz val="10"/>
        <rFont val="ＭＳ 明朝"/>
        <family val="1"/>
        <charset val="128"/>
      </rPr>
      <t>M</t>
    </r>
    <r>
      <rPr>
        <sz val="10"/>
        <rFont val="ＭＳ 明朝"/>
        <family val="1"/>
        <charset val="128"/>
      </rPr>
      <t>d/M</t>
    </r>
    <r>
      <rPr>
        <sz val="10"/>
        <rFont val="ＭＳ 明朝"/>
        <family val="1"/>
        <charset val="128"/>
      </rPr>
      <t>y</t>
    </r>
    <r>
      <rPr>
        <sz val="10"/>
        <rFont val="ＭＳ 明朝"/>
        <family val="1"/>
        <charset val="128"/>
      </rPr>
      <t>d</t>
    </r>
    <phoneticPr fontId="3"/>
  </si>
  <si>
    <r>
      <t>εs</t>
    </r>
    <r>
      <rPr>
        <sz val="10"/>
        <rFont val="ＭＳ 明朝"/>
        <family val="1"/>
        <charset val="128"/>
      </rPr>
      <t>y</t>
    </r>
    <phoneticPr fontId="3"/>
  </si>
  <si>
    <t>ε'c</t>
    <phoneticPr fontId="3"/>
  </si>
  <si>
    <t>X</t>
    <phoneticPr fontId="3"/>
  </si>
  <si>
    <t>(mm)</t>
    <phoneticPr fontId="3"/>
  </si>
  <si>
    <t>Case</t>
    <phoneticPr fontId="3"/>
  </si>
  <si>
    <t>フーチング</t>
    <phoneticPr fontId="3"/>
  </si>
  <si>
    <t>　軸方向鉄筋は、コンクリート部材のいかなる断面に対してもコンクリートの全断面積</t>
    <rPh sb="1" eb="4">
      <t>ジクホウコウ</t>
    </rPh>
    <rPh sb="4" eb="6">
      <t>テッキン</t>
    </rPh>
    <rPh sb="14" eb="15">
      <t>ブ</t>
    </rPh>
    <rPh sb="15" eb="16">
      <t>ザイ</t>
    </rPh>
    <rPh sb="21" eb="23">
      <t>ダンメン</t>
    </rPh>
    <rPh sb="24" eb="25">
      <t>タイ</t>
    </rPh>
    <rPh sb="35" eb="36">
      <t>ゼン</t>
    </rPh>
    <rPh sb="36" eb="39">
      <t>ダンメンセキ</t>
    </rPh>
    <phoneticPr fontId="3"/>
  </si>
  <si>
    <t>の0.15％以上になるように配置する。</t>
  </si>
  <si>
    <t>＝</t>
    <phoneticPr fontId="3"/>
  </si>
  <si>
    <t>軸方向鉄筋の量</t>
    <rPh sb="0" eb="1">
      <t>ジク</t>
    </rPh>
    <rPh sb="1" eb="3">
      <t>ホウコウ</t>
    </rPh>
    <rPh sb="3" eb="5">
      <t>テッキン</t>
    </rPh>
    <rPh sb="6" eb="7">
      <t>リョウ</t>
    </rPh>
    <phoneticPr fontId="3"/>
  </si>
  <si>
    <t>引張･圧縮鉄筋</t>
    <rPh sb="0" eb="2">
      <t>ヒッパリ</t>
    </rPh>
    <rPh sb="3" eb="5">
      <t>アッシュク</t>
    </rPh>
    <rPh sb="5" eb="7">
      <t>テッキン</t>
    </rPh>
    <phoneticPr fontId="3"/>
  </si>
  <si>
    <t>側方鉄筋</t>
    <rPh sb="0" eb="1">
      <t>ソク</t>
    </rPh>
    <rPh sb="1" eb="2">
      <t>ホウ</t>
    </rPh>
    <rPh sb="2" eb="4">
      <t>テッキン</t>
    </rPh>
    <phoneticPr fontId="3"/>
  </si>
  <si>
    <t>：</t>
    <phoneticPr fontId="3"/>
  </si>
  <si>
    <t>×</t>
    <phoneticPr fontId="3"/>
  </si>
  <si>
    <r>
      <t>mm</t>
    </r>
    <r>
      <rPr>
        <vertAlign val="superscript"/>
        <sz val="10"/>
        <rFont val="ＭＳ 明朝"/>
        <family val="1"/>
        <charset val="128"/>
      </rPr>
      <t>2</t>
    </r>
    <phoneticPr fontId="3"/>
  </si>
  <si>
    <t>(</t>
    <phoneticPr fontId="3"/>
  </si>
  <si>
    <t>－</t>
    <phoneticPr fontId="3"/>
  </si>
  <si>
    <t>)</t>
    <phoneticPr fontId="3"/>
  </si>
  <si>
    <t>/</t>
    <phoneticPr fontId="3"/>
  </si>
  <si>
    <r>
      <t>以上の結果より、</t>
    </r>
    <r>
      <rPr>
        <sz val="10"/>
        <rFont val="ＭＳ 明朝"/>
        <family val="1"/>
        <charset val="128"/>
      </rPr>
      <t>pc＞0.15％となり</t>
    </r>
    <r>
      <rPr>
        <sz val="10"/>
        <rFont val="ＭＳ 明朝"/>
        <family val="1"/>
        <charset val="128"/>
      </rPr>
      <t>満足する。</t>
    </r>
    <rPh sb="19" eb="21">
      <t>マンゾク</t>
    </rPh>
    <phoneticPr fontId="3"/>
  </si>
  <si>
    <r>
      <t>P</t>
    </r>
    <r>
      <rPr>
        <sz val="8"/>
        <rFont val="ＭＳ 明朝"/>
        <family val="1"/>
        <charset val="128"/>
      </rPr>
      <t>c</t>
    </r>
    <phoneticPr fontId="3"/>
  </si>
  <si>
    <r>
      <t>(</t>
    </r>
    <r>
      <rPr>
        <sz val="10"/>
        <rFont val="ＭＳ 明朝"/>
        <family val="1"/>
        <charset val="128"/>
      </rPr>
      <t>c</t>
    </r>
    <r>
      <rPr>
        <sz val="10"/>
        <rFont val="ＭＳ 明朝"/>
        <family val="1"/>
        <charset val="128"/>
      </rPr>
      <t>) 軸方向力の最大値から定まる最小鉄筋量</t>
    </r>
    <rPh sb="4" eb="7">
      <t>ジクホウコウ</t>
    </rPh>
    <rPh sb="7" eb="8">
      <t>リョク</t>
    </rPh>
    <rPh sb="9" eb="12">
      <t>サイダイチ</t>
    </rPh>
    <rPh sb="14" eb="15">
      <t>サダ</t>
    </rPh>
    <rPh sb="17" eb="19">
      <t>サイショウ</t>
    </rPh>
    <rPh sb="19" eb="21">
      <t>テッキン</t>
    </rPh>
    <rPh sb="21" eb="22">
      <t>リョウ</t>
    </rPh>
    <phoneticPr fontId="3"/>
  </si>
  <si>
    <t>　 軸方向力が支配的な鉄筋コンクリートの場合、軸方向鉄筋量は、計算上必要とするコ</t>
    <rPh sb="23" eb="26">
      <t>ジクホウコウ</t>
    </rPh>
    <rPh sb="26" eb="28">
      <t>テッキン</t>
    </rPh>
    <rPh sb="28" eb="29">
      <t>リョウ</t>
    </rPh>
    <rPh sb="31" eb="34">
      <t>ケイサンジョウ</t>
    </rPh>
    <rPh sb="34" eb="36">
      <t>ヒツヨウ</t>
    </rPh>
    <phoneticPr fontId="3"/>
  </si>
  <si>
    <t>ンクリートの全断面積0.8％以上とする。</t>
  </si>
  <si>
    <r>
      <t>0.008f'</t>
    </r>
    <r>
      <rPr>
        <sz val="8"/>
        <rFont val="ＭＳ 明朝"/>
        <family val="1"/>
        <charset val="128"/>
      </rPr>
      <t>syd</t>
    </r>
    <r>
      <rPr>
        <sz val="10"/>
        <rFont val="ＭＳ 明朝"/>
        <family val="1"/>
        <charset val="128"/>
      </rPr>
      <t>＋k</t>
    </r>
    <r>
      <rPr>
        <sz val="8"/>
        <rFont val="ＭＳ 明朝"/>
        <family val="1"/>
        <charset val="128"/>
      </rPr>
      <t>c</t>
    </r>
    <r>
      <rPr>
        <sz val="10"/>
        <rFont val="ＭＳ 明朝"/>
        <family val="1"/>
        <charset val="128"/>
      </rPr>
      <t>･f'</t>
    </r>
    <r>
      <rPr>
        <sz val="8"/>
        <rFont val="ＭＳ 明朝"/>
        <family val="1"/>
        <charset val="128"/>
      </rPr>
      <t>cd</t>
    </r>
    <phoneticPr fontId="3"/>
  </si>
  <si>
    <r>
      <t>f'</t>
    </r>
    <r>
      <rPr>
        <sz val="8"/>
        <rFont val="ＭＳ 明朝"/>
        <family val="1"/>
        <charset val="128"/>
      </rPr>
      <t>cd</t>
    </r>
    <phoneticPr fontId="3"/>
  </si>
  <si>
    <t>A</t>
    <phoneticPr fontId="3"/>
  </si>
  <si>
    <t>I</t>
    <phoneticPr fontId="3"/>
  </si>
  <si>
    <t>N'd</t>
    <phoneticPr fontId="3"/>
  </si>
  <si>
    <t>b</t>
    <phoneticPr fontId="3"/>
  </si>
  <si>
    <r>
      <t>A</t>
    </r>
    <r>
      <rPr>
        <sz val="8"/>
        <rFont val="ＭＳ 明朝"/>
        <family val="1"/>
        <charset val="128"/>
      </rPr>
      <t>s</t>
    </r>
    <phoneticPr fontId="3"/>
  </si>
  <si>
    <r>
      <t>γ</t>
    </r>
    <r>
      <rPr>
        <sz val="8"/>
        <rFont val="ＭＳ 明朝"/>
        <family val="1"/>
        <charset val="128"/>
      </rPr>
      <t>i</t>
    </r>
    <r>
      <rPr>
        <sz val="10"/>
        <rFont val="ＭＳ 明朝"/>
        <family val="1"/>
        <charset val="128"/>
      </rPr>
      <t>･</t>
    </r>
    <r>
      <rPr>
        <sz val="9"/>
        <rFont val="ＭＳ 明朝"/>
        <family val="1"/>
        <charset val="128"/>
      </rPr>
      <t>γ</t>
    </r>
    <r>
      <rPr>
        <sz val="8"/>
        <rFont val="ＭＳ 明朝"/>
        <family val="1"/>
        <charset val="128"/>
      </rPr>
      <t>b</t>
    </r>
    <r>
      <rPr>
        <sz val="10"/>
        <rFont val="ＭＳ 明朝"/>
        <family val="1"/>
        <charset val="128"/>
      </rPr>
      <t>･N'd</t>
    </r>
    <phoneticPr fontId="3"/>
  </si>
  <si>
    <r>
      <t>f</t>
    </r>
    <r>
      <rPr>
        <sz val="10"/>
        <rFont val="ＭＳ 明朝"/>
        <family val="1"/>
        <charset val="128"/>
      </rPr>
      <t>'</t>
    </r>
    <r>
      <rPr>
        <sz val="8"/>
        <rFont val="ＭＳ 明朝"/>
        <family val="1"/>
        <charset val="128"/>
      </rPr>
      <t>syd</t>
    </r>
    <phoneticPr fontId="3"/>
  </si>
  <si>
    <t>鉄筋の設計圧縮降伏強度</t>
    <rPh sb="0" eb="2">
      <t>テッキン</t>
    </rPh>
    <rPh sb="3" eb="5">
      <t>セッケイ</t>
    </rPh>
    <rPh sb="5" eb="7">
      <t>アッシュク</t>
    </rPh>
    <rPh sb="7" eb="9">
      <t>コウフク</t>
    </rPh>
    <rPh sb="9" eb="11">
      <t>キョウド</t>
    </rPh>
    <phoneticPr fontId="3"/>
  </si>
  <si>
    <t>してよい。</t>
  </si>
  <si>
    <r>
      <t>なお、構造物係数</t>
    </r>
    <r>
      <rPr>
        <sz val="9"/>
        <rFont val="ＭＳ 明朝"/>
        <family val="1"/>
        <charset val="128"/>
      </rPr>
      <t>γ</t>
    </r>
    <r>
      <rPr>
        <sz val="8"/>
        <rFont val="ＭＳ 明朝"/>
        <family val="1"/>
        <charset val="128"/>
      </rPr>
      <t>i</t>
    </r>
    <r>
      <rPr>
        <sz val="10"/>
        <rFont val="ＭＳ 明朝"/>
        <family val="1"/>
        <charset val="128"/>
      </rPr>
      <t>＝1.0、部材係数</t>
    </r>
    <r>
      <rPr>
        <sz val="9"/>
        <rFont val="ＭＳ 明朝"/>
        <family val="1"/>
        <charset val="128"/>
      </rPr>
      <t>γ</t>
    </r>
    <r>
      <rPr>
        <sz val="8"/>
        <rFont val="ＭＳ 明朝"/>
        <family val="1"/>
        <charset val="128"/>
      </rPr>
      <t>b</t>
    </r>
    <r>
      <rPr>
        <sz val="10"/>
        <rFont val="ＭＳ 明朝"/>
        <family val="1"/>
        <charset val="128"/>
      </rPr>
      <t>＝1.3とし、k</t>
    </r>
    <r>
      <rPr>
        <sz val="8"/>
        <rFont val="ＭＳ 明朝"/>
        <family val="1"/>
        <charset val="128"/>
      </rPr>
      <t>c</t>
    </r>
    <r>
      <rPr>
        <sz val="10"/>
        <rFont val="ＭＳ 明朝"/>
        <family val="1"/>
        <charset val="128"/>
      </rPr>
      <t>＝1－0.003f'</t>
    </r>
    <r>
      <rPr>
        <sz val="8"/>
        <rFont val="ＭＳ 明朝"/>
        <family val="1"/>
        <charset val="128"/>
      </rPr>
      <t>ck</t>
    </r>
    <r>
      <rPr>
        <sz val="10"/>
        <rFont val="ＭＳ 明朝"/>
        <family val="1"/>
        <charset val="128"/>
      </rPr>
      <t>≦0.85と</t>
    </r>
    <rPh sb="3" eb="6">
      <t>コウゾウブツ</t>
    </rPh>
    <rPh sb="6" eb="8">
      <t>ケイスウ</t>
    </rPh>
    <rPh sb="15" eb="16">
      <t>ブ</t>
    </rPh>
    <rPh sb="16" eb="17">
      <t>ザイ</t>
    </rPh>
    <rPh sb="17" eb="19">
      <t>ケイスウ</t>
    </rPh>
    <phoneticPr fontId="3"/>
  </si>
  <si>
    <t>ｺﾝｸﾘｰﾄの設計基準強度</t>
    <rPh sb="7" eb="9">
      <t>セッケイ</t>
    </rPh>
    <rPh sb="9" eb="11">
      <t>キジュン</t>
    </rPh>
    <rPh sb="11" eb="13">
      <t>キョウド</t>
    </rPh>
    <phoneticPr fontId="3"/>
  </si>
  <si>
    <r>
      <t>k</t>
    </r>
    <r>
      <rPr>
        <sz val="8"/>
        <rFont val="ＭＳ 明朝"/>
        <family val="1"/>
        <charset val="128"/>
      </rPr>
      <t>c</t>
    </r>
    <phoneticPr fontId="3"/>
  </si>
  <si>
    <r>
      <t>0.003f'</t>
    </r>
    <r>
      <rPr>
        <sz val="8"/>
        <rFont val="ＭＳ 明朝"/>
        <family val="1"/>
        <charset val="128"/>
      </rPr>
      <t>ck</t>
    </r>
    <phoneticPr fontId="3"/>
  </si>
  <si>
    <t>≦</t>
    <phoneticPr fontId="3"/>
  </si>
  <si>
    <t>＋</t>
    <phoneticPr fontId="3"/>
  </si>
  <si>
    <r>
      <t>10</t>
    </r>
    <r>
      <rPr>
        <vertAlign val="superscript"/>
        <sz val="10"/>
        <rFont val="ＭＳ 明朝"/>
        <family val="1"/>
        <charset val="128"/>
      </rPr>
      <t>3</t>
    </r>
    <phoneticPr fontId="3"/>
  </si>
  <si>
    <r>
      <t>A</t>
    </r>
    <r>
      <rPr>
        <sz val="8"/>
        <rFont val="ＭＳ 明朝"/>
        <family val="1"/>
        <charset val="128"/>
      </rPr>
      <t>c</t>
    </r>
    <phoneticPr fontId="3"/>
  </si>
  <si>
    <r>
      <t>0</t>
    </r>
    <r>
      <rPr>
        <sz val="10"/>
        <rFont val="ＭＳ 明朝"/>
        <family val="1"/>
        <charset val="128"/>
      </rPr>
      <t>.008･A</t>
    </r>
    <r>
      <rPr>
        <sz val="8"/>
        <rFont val="ＭＳ 明朝"/>
        <family val="1"/>
        <charset val="128"/>
      </rPr>
      <t>c</t>
    </r>
    <r>
      <rPr>
        <sz val="10"/>
        <rFont val="ＭＳ 明朝"/>
        <family val="1"/>
        <charset val="128"/>
      </rPr>
      <t>＝</t>
    </r>
    <phoneticPr fontId="3"/>
  </si>
  <si>
    <r>
      <t>以上の結果より、</t>
    </r>
    <r>
      <rPr>
        <sz val="10"/>
        <rFont val="ＭＳ 明朝"/>
        <family val="1"/>
        <charset val="128"/>
      </rPr>
      <t>0.008･A</t>
    </r>
    <r>
      <rPr>
        <sz val="8"/>
        <rFont val="ＭＳ 明朝"/>
        <family val="1"/>
        <charset val="128"/>
      </rPr>
      <t>c</t>
    </r>
    <r>
      <rPr>
        <sz val="10"/>
        <rFont val="ＭＳ 明朝"/>
        <family val="1"/>
        <charset val="128"/>
      </rPr>
      <t>＜A</t>
    </r>
    <r>
      <rPr>
        <sz val="8"/>
        <rFont val="ＭＳ 明朝"/>
        <family val="1"/>
        <charset val="128"/>
      </rPr>
      <t>s</t>
    </r>
    <r>
      <rPr>
        <sz val="10"/>
        <rFont val="ＭＳ 明朝"/>
        <family val="1"/>
        <charset val="128"/>
      </rPr>
      <t>となり</t>
    </r>
    <r>
      <rPr>
        <sz val="10"/>
        <rFont val="ＭＳ 明朝"/>
        <family val="1"/>
        <charset val="128"/>
      </rPr>
      <t>満足する。</t>
    </r>
    <rPh sb="22" eb="24">
      <t>マンゾク</t>
    </rPh>
    <phoneticPr fontId="3"/>
  </si>
  <si>
    <t>　軸方向の影響が支配的な部材は、施工特性を考慮して最大鉄筋量を定めることとする。</t>
    <phoneticPr fontId="3"/>
  </si>
  <si>
    <t>一般には、軸方向鉄筋比を6％以下とすればよい。</t>
    <rPh sb="0" eb="2">
      <t>イッパン</t>
    </rPh>
    <rPh sb="5" eb="8">
      <t>ジクホウコウ</t>
    </rPh>
    <rPh sb="8" eb="10">
      <t>テッキン</t>
    </rPh>
    <rPh sb="10" eb="11">
      <t>ヒ</t>
    </rPh>
    <rPh sb="14" eb="16">
      <t>イカ</t>
    </rPh>
    <phoneticPr fontId="3"/>
  </si>
  <si>
    <r>
      <t>以上の結果より、</t>
    </r>
    <r>
      <rPr>
        <sz val="10"/>
        <rFont val="ＭＳ 明朝"/>
        <family val="1"/>
        <charset val="128"/>
      </rPr>
      <t>P</t>
    </r>
    <r>
      <rPr>
        <sz val="8"/>
        <rFont val="ＭＳ 明朝"/>
        <family val="1"/>
        <charset val="128"/>
      </rPr>
      <t>c</t>
    </r>
    <r>
      <rPr>
        <sz val="10"/>
        <rFont val="ＭＳ 明朝"/>
        <family val="1"/>
        <charset val="128"/>
      </rPr>
      <t>＜6％となり</t>
    </r>
    <r>
      <rPr>
        <sz val="10"/>
        <rFont val="ＭＳ 明朝"/>
        <family val="1"/>
        <charset val="128"/>
      </rPr>
      <t>満足する。</t>
    </r>
    <rPh sb="16" eb="18">
      <t>マンゾク</t>
    </rPh>
    <phoneticPr fontId="3"/>
  </si>
  <si>
    <t>外側帯鉄筋</t>
    <rPh sb="0" eb="2">
      <t>ソトガワ</t>
    </rPh>
    <rPh sb="2" eb="3">
      <t>オビ</t>
    </rPh>
    <rPh sb="3" eb="5">
      <t>テッキン</t>
    </rPh>
    <phoneticPr fontId="3"/>
  </si>
  <si>
    <t>内側帯鉄筋</t>
    <rPh sb="0" eb="1">
      <t>ウチ</t>
    </rPh>
    <rPh sb="1" eb="2">
      <t>ガワ</t>
    </rPh>
    <rPh sb="2" eb="3">
      <t>オビ</t>
    </rPh>
    <rPh sb="3" eb="5">
      <t>テッキン</t>
    </rPh>
    <phoneticPr fontId="3"/>
  </si>
  <si>
    <t>組</t>
    <rPh sb="0" eb="1">
      <t>クミ</t>
    </rPh>
    <phoneticPr fontId="3"/>
  </si>
  <si>
    <t>ctc</t>
    <phoneticPr fontId="3"/>
  </si>
  <si>
    <r>
      <t>P</t>
    </r>
    <r>
      <rPr>
        <sz val="8"/>
        <rFont val="ＭＳ 明朝"/>
        <family val="1"/>
        <charset val="128"/>
      </rPr>
      <t>s</t>
    </r>
    <phoneticPr fontId="3"/>
  </si>
  <si>
    <t>・2D区間以外</t>
    <rPh sb="3" eb="5">
      <t>クカン</t>
    </rPh>
    <rPh sb="5" eb="7">
      <t>イガイ</t>
    </rPh>
    <phoneticPr fontId="3"/>
  </si>
  <si>
    <t>･･････</t>
    <phoneticPr fontId="3"/>
  </si>
  <si>
    <t>－</t>
    <phoneticPr fontId="3"/>
  </si>
  <si>
    <t>ctc</t>
    <phoneticPr fontId="3"/>
  </si>
  <si>
    <r>
      <t>P</t>
    </r>
    <r>
      <rPr>
        <sz val="8"/>
        <rFont val="ＭＳ 明朝"/>
        <family val="1"/>
        <charset val="128"/>
      </rPr>
      <t>s</t>
    </r>
    <phoneticPr fontId="3"/>
  </si>
  <si>
    <t>＋</t>
    <phoneticPr fontId="3"/>
  </si>
  <si>
    <r>
      <t>(</t>
    </r>
    <r>
      <rPr>
        <sz val="10"/>
        <rFont val="ＭＳ 明朝"/>
        <family val="1"/>
        <charset val="128"/>
      </rPr>
      <t>a</t>
    </r>
    <r>
      <rPr>
        <sz val="10"/>
        <rFont val="ＭＳ 明朝"/>
        <family val="1"/>
        <charset val="128"/>
      </rPr>
      <t>) コンクリートの収縮や温度によるひび割れを有害ない程度に抑える</t>
    </r>
    <rPh sb="11" eb="13">
      <t>シュウシュク</t>
    </rPh>
    <rPh sb="14" eb="16">
      <t>オンド</t>
    </rPh>
    <rPh sb="21" eb="22">
      <t>ワ</t>
    </rPh>
    <rPh sb="24" eb="26">
      <t>ユウガイ</t>
    </rPh>
    <rPh sb="28" eb="30">
      <t>テイド</t>
    </rPh>
    <rPh sb="31" eb="32">
      <t>オサ</t>
    </rPh>
    <phoneticPr fontId="3"/>
  </si>
  <si>
    <r>
      <t>(</t>
    </r>
    <r>
      <rPr>
        <sz val="10"/>
        <rFont val="ＭＳ 明朝"/>
        <family val="1"/>
        <charset val="128"/>
      </rPr>
      <t>a</t>
    </r>
    <r>
      <rPr>
        <sz val="10"/>
        <rFont val="ＭＳ 明朝"/>
        <family val="1"/>
        <charset val="128"/>
      </rPr>
      <t>) 曲げひび割れ発生と同時に部材が脆性的破壊することを防止</t>
    </r>
    <rPh sb="4" eb="5">
      <t>マ</t>
    </rPh>
    <rPh sb="8" eb="9">
      <t>ワ</t>
    </rPh>
    <rPh sb="10" eb="12">
      <t>ハッセイ</t>
    </rPh>
    <rPh sb="13" eb="15">
      <t>ドウジ</t>
    </rPh>
    <rPh sb="16" eb="17">
      <t>ブ</t>
    </rPh>
    <rPh sb="17" eb="18">
      <t>ザイ</t>
    </rPh>
    <rPh sb="19" eb="21">
      <t>ゼイセイ</t>
    </rPh>
    <rPh sb="21" eb="22">
      <t>テキ</t>
    </rPh>
    <rPh sb="22" eb="24">
      <t>ハカイ</t>
    </rPh>
    <rPh sb="29" eb="31">
      <t>ボウシ</t>
    </rPh>
    <phoneticPr fontId="3"/>
  </si>
  <si>
    <r>
      <t>線路方向(上側</t>
    </r>
    <r>
      <rPr>
        <sz val="10"/>
        <rFont val="ＭＳ 明朝"/>
        <family val="1"/>
        <charset val="128"/>
      </rPr>
      <t>)</t>
    </r>
    <rPh sb="0" eb="2">
      <t>センロ</t>
    </rPh>
    <rPh sb="2" eb="4">
      <t>ホウコウ</t>
    </rPh>
    <rPh sb="5" eb="6">
      <t>ウエ</t>
    </rPh>
    <rPh sb="6" eb="7">
      <t>ガワ</t>
    </rPh>
    <phoneticPr fontId="3"/>
  </si>
  <si>
    <t>直角方向</t>
    <rPh sb="0" eb="2">
      <t>チョッカク</t>
    </rPh>
    <rPh sb="2" eb="4">
      <t>ホウコウ</t>
    </rPh>
    <phoneticPr fontId="3"/>
  </si>
  <si>
    <r>
      <t>線路方向(下側</t>
    </r>
    <r>
      <rPr>
        <sz val="10"/>
        <rFont val="ＭＳ 明朝"/>
        <family val="1"/>
        <charset val="128"/>
      </rPr>
      <t>)</t>
    </r>
    <rPh sb="0" eb="2">
      <t>センロ</t>
    </rPh>
    <rPh sb="2" eb="4">
      <t>ホウコウ</t>
    </rPh>
    <rPh sb="5" eb="6">
      <t>シタ</t>
    </rPh>
    <rPh sb="6" eb="7">
      <t>ガワ</t>
    </rPh>
    <phoneticPr fontId="3"/>
  </si>
  <si>
    <t>上側</t>
    <rPh sb="0" eb="2">
      <t>ウエガワ</t>
    </rPh>
    <phoneticPr fontId="3"/>
  </si>
  <si>
    <t>下側</t>
    <rPh sb="0" eb="1">
      <t>シタ</t>
    </rPh>
    <rPh sb="1" eb="2">
      <t>ガワ</t>
    </rPh>
    <phoneticPr fontId="3"/>
  </si>
  <si>
    <t>　</t>
    <phoneticPr fontId="3"/>
  </si>
  <si>
    <t>・配力鉄筋として、引張鉄筋の単位幅当りの断面積の1/6以上を単位幅当りに対して配置する。</t>
    <rPh sb="1" eb="2">
      <t>ハイ</t>
    </rPh>
    <rPh sb="2" eb="3">
      <t>リョク</t>
    </rPh>
    <rPh sb="3" eb="5">
      <t>テッキン</t>
    </rPh>
    <rPh sb="9" eb="11">
      <t>ヒッパリ</t>
    </rPh>
    <rPh sb="11" eb="13">
      <t>テッキン</t>
    </rPh>
    <rPh sb="14" eb="16">
      <t>タンイ</t>
    </rPh>
    <rPh sb="16" eb="17">
      <t>ハバ</t>
    </rPh>
    <rPh sb="17" eb="18">
      <t>アタ</t>
    </rPh>
    <rPh sb="20" eb="23">
      <t>ダンメンセキ</t>
    </rPh>
    <rPh sb="27" eb="29">
      <t>イジョウ</t>
    </rPh>
    <rPh sb="30" eb="32">
      <t>タンイ</t>
    </rPh>
    <rPh sb="32" eb="33">
      <t>ハバ</t>
    </rPh>
    <rPh sb="33" eb="34">
      <t>アタ</t>
    </rPh>
    <rPh sb="36" eb="37">
      <t>タイ</t>
    </rPh>
    <rPh sb="39" eb="41">
      <t>ハイチ</t>
    </rPh>
    <phoneticPr fontId="3"/>
  </si>
  <si>
    <t>・圧縮鉄筋として、引張鉄筋の単位幅当りの断面積の1/6以上を単位幅当りに対して配置する。</t>
    <rPh sb="1" eb="3">
      <t>アッシュク</t>
    </rPh>
    <rPh sb="3" eb="5">
      <t>テッキン</t>
    </rPh>
    <rPh sb="9" eb="11">
      <t>ヒッパリ</t>
    </rPh>
    <rPh sb="11" eb="13">
      <t>テッキン</t>
    </rPh>
    <rPh sb="14" eb="16">
      <t>タンイ</t>
    </rPh>
    <rPh sb="16" eb="17">
      <t>ハバ</t>
    </rPh>
    <rPh sb="17" eb="18">
      <t>アタ</t>
    </rPh>
    <rPh sb="20" eb="23">
      <t>ダンメンセキ</t>
    </rPh>
    <rPh sb="27" eb="29">
      <t>イジョウ</t>
    </rPh>
    <rPh sb="30" eb="32">
      <t>タンイ</t>
    </rPh>
    <rPh sb="32" eb="33">
      <t>ハバ</t>
    </rPh>
    <rPh sb="33" eb="34">
      <t>アタ</t>
    </rPh>
    <rPh sb="36" eb="37">
      <t>タイ</t>
    </rPh>
    <rPh sb="39" eb="41">
      <t>ハイチ</t>
    </rPh>
    <phoneticPr fontId="3"/>
  </si>
  <si>
    <r>
      <t>A</t>
    </r>
    <r>
      <rPr>
        <sz val="10"/>
        <rFont val="ＭＳ 明朝"/>
        <family val="1"/>
        <charset val="128"/>
      </rPr>
      <t>s
(mm</t>
    </r>
    <r>
      <rPr>
        <vertAlign val="superscript"/>
        <sz val="10"/>
        <rFont val="ＭＳ 明朝"/>
        <family val="1"/>
        <charset val="128"/>
      </rPr>
      <t>2</t>
    </r>
    <r>
      <rPr>
        <sz val="10"/>
        <rFont val="ＭＳ 明朝"/>
        <family val="1"/>
        <charset val="128"/>
      </rPr>
      <t>)</t>
    </r>
    <phoneticPr fontId="3"/>
  </si>
  <si>
    <t>径－本数</t>
    <rPh sb="0" eb="1">
      <t>ケイ</t>
    </rPh>
    <rPh sb="2" eb="4">
      <t>ホンスウ</t>
    </rPh>
    <phoneticPr fontId="3"/>
  </si>
  <si>
    <r>
      <t>A</t>
    </r>
    <r>
      <rPr>
        <sz val="10"/>
        <rFont val="ＭＳ 明朝"/>
        <family val="1"/>
        <charset val="128"/>
      </rPr>
      <t>s/6
(mm</t>
    </r>
    <r>
      <rPr>
        <vertAlign val="superscript"/>
        <sz val="10"/>
        <rFont val="ＭＳ 明朝"/>
        <family val="1"/>
        <charset val="128"/>
      </rPr>
      <t>2</t>
    </r>
    <r>
      <rPr>
        <sz val="10"/>
        <rFont val="ＭＳ 明朝"/>
        <family val="1"/>
        <charset val="128"/>
      </rPr>
      <t>)</t>
    </r>
    <phoneticPr fontId="3"/>
  </si>
  <si>
    <t>配置配力鉄筋
＞As/6</t>
    <rPh sb="0" eb="2">
      <t>ハイチ</t>
    </rPh>
    <rPh sb="2" eb="3">
      <t>ハイ</t>
    </rPh>
    <rPh sb="3" eb="4">
      <t>リョク</t>
    </rPh>
    <rPh sb="4" eb="6">
      <t>テッキン</t>
    </rPh>
    <phoneticPr fontId="3"/>
  </si>
  <si>
    <t>配置圧縮鉄筋
＞As/6</t>
    <rPh sb="0" eb="2">
      <t>ハイチ</t>
    </rPh>
    <rPh sb="2" eb="4">
      <t>アッシュク</t>
    </rPh>
    <rPh sb="4" eb="6">
      <t>テッキン</t>
    </rPh>
    <phoneticPr fontId="3"/>
  </si>
  <si>
    <t>引張鉄筋は引張側1/4（90°）部分にある主鉄筋としてよい。</t>
  </si>
  <si>
    <t>＝</t>
    <phoneticPr fontId="14"/>
  </si>
  <si>
    <t>mm</t>
    <phoneticPr fontId="14"/>
  </si>
  <si>
    <t>＝</t>
    <phoneticPr fontId="14"/>
  </si>
  <si>
    <t>本</t>
    <rPh sb="0" eb="1">
      <t>ホン</t>
    </rPh>
    <phoneticPr fontId="14"/>
  </si>
  <si>
    <t>＝</t>
    <phoneticPr fontId="14"/>
  </si>
  <si>
    <t>＝</t>
    <phoneticPr fontId="14"/>
  </si>
  <si>
    <t>×</t>
    <phoneticPr fontId="14"/>
  </si>
  <si>
    <t>As</t>
    <phoneticPr fontId="14"/>
  </si>
  <si>
    <t>＝</t>
    <phoneticPr fontId="14"/>
  </si>
  <si>
    <t>0.0104･Pvmax</t>
    <phoneticPr fontId="14"/>
  </si>
  <si>
    <t>0.85･f'ck＋0.008･fsyd</t>
    <phoneticPr fontId="14"/>
  </si>
  <si>
    <t>ここに、</t>
    <phoneticPr fontId="14"/>
  </si>
  <si>
    <t>Pvmax</t>
    <phoneticPr fontId="14"/>
  </si>
  <si>
    <t>：</t>
    <phoneticPr fontId="14"/>
  </si>
  <si>
    <t>杭頭反力の最大値(kN)</t>
    <rPh sb="0" eb="1">
      <t>クイ</t>
    </rPh>
    <rPh sb="1" eb="2">
      <t>トウ</t>
    </rPh>
    <rPh sb="2" eb="3">
      <t>ハン</t>
    </rPh>
    <rPh sb="3" eb="4">
      <t>リョク</t>
    </rPh>
    <rPh sb="5" eb="8">
      <t>サイダイチ</t>
    </rPh>
    <phoneticPr fontId="14"/>
  </si>
  <si>
    <t>f'ck</t>
    <phoneticPr fontId="14"/>
  </si>
  <si>
    <r>
      <t>コンクリートの設計圧縮強度(N/mm</t>
    </r>
    <r>
      <rPr>
        <vertAlign val="superscript"/>
        <sz val="10"/>
        <rFont val="ＭＳ 明朝"/>
        <family val="1"/>
        <charset val="128"/>
      </rPr>
      <t>2</t>
    </r>
    <r>
      <rPr>
        <sz val="10"/>
        <rFont val="ＭＳ 明朝"/>
        <family val="1"/>
        <charset val="128"/>
      </rPr>
      <t>)</t>
    </r>
    <rPh sb="7" eb="9">
      <t>セッケイ</t>
    </rPh>
    <rPh sb="9" eb="11">
      <t>アッシュク</t>
    </rPh>
    <rPh sb="11" eb="13">
      <t>キョウド</t>
    </rPh>
    <phoneticPr fontId="14"/>
  </si>
  <si>
    <t>fsyd</t>
    <phoneticPr fontId="14"/>
  </si>
  <si>
    <t>：</t>
    <phoneticPr fontId="14"/>
  </si>
  <si>
    <r>
      <t>鉄筋の降伏点強度(N/mm</t>
    </r>
    <r>
      <rPr>
        <vertAlign val="superscript"/>
        <sz val="10"/>
        <rFont val="ＭＳ 明朝"/>
        <family val="1"/>
        <charset val="128"/>
      </rPr>
      <t>2</t>
    </r>
    <r>
      <rPr>
        <sz val="10"/>
        <rFont val="ＭＳ 明朝"/>
        <family val="1"/>
        <charset val="128"/>
      </rPr>
      <t>)</t>
    </r>
    <rPh sb="0" eb="2">
      <t>テッキン</t>
    </rPh>
    <rPh sb="3" eb="5">
      <t>コウフク</t>
    </rPh>
    <rPh sb="5" eb="6">
      <t>テン</t>
    </rPh>
    <rPh sb="6" eb="8">
      <t>キョウド</t>
    </rPh>
    <phoneticPr fontId="14"/>
  </si>
  <si>
    <t>Pvmax</t>
    <phoneticPr fontId="14"/>
  </si>
  <si>
    <t>＝</t>
    <phoneticPr fontId="14"/>
  </si>
  <si>
    <t>kN</t>
    <phoneticPr fontId="14"/>
  </si>
  <si>
    <r>
      <t>mm</t>
    </r>
    <r>
      <rPr>
        <vertAlign val="superscript"/>
        <sz val="10"/>
        <rFont val="ＭＳ 明朝"/>
        <family val="1"/>
        <charset val="128"/>
      </rPr>
      <t>2</t>
    </r>
    <phoneticPr fontId="14"/>
  </si>
  <si>
    <t>　杭に作用する曲げモーメントに対しては、引張鉄筋比0.2％以上の鉄筋を配置する。</t>
    <rPh sb="1" eb="2">
      <t>クイ</t>
    </rPh>
    <rPh sb="3" eb="5">
      <t>サヨウ</t>
    </rPh>
    <rPh sb="7" eb="8">
      <t>マ</t>
    </rPh>
    <rPh sb="15" eb="16">
      <t>タイ</t>
    </rPh>
    <rPh sb="20" eb="22">
      <t>ヒッパリ</t>
    </rPh>
    <rPh sb="22" eb="24">
      <t>テッキン</t>
    </rPh>
    <rPh sb="24" eb="25">
      <t>ヒ</t>
    </rPh>
    <rPh sb="29" eb="31">
      <t>イジョウ</t>
    </rPh>
    <rPh sb="32" eb="34">
      <t>テッキン</t>
    </rPh>
    <rPh sb="35" eb="37">
      <t>ハイチ</t>
    </rPh>
    <phoneticPr fontId="14"/>
  </si>
  <si>
    <t>ただし、抵抗曲げモーメントが作用曲げモーメントの4/3以上あれば0.15％以上でよい。</t>
    <phoneticPr fontId="3"/>
  </si>
  <si>
    <t>　また、引張鉄筋比は次式によって求める。</t>
    <rPh sb="4" eb="6">
      <t>ヒッパリ</t>
    </rPh>
    <rPh sb="6" eb="8">
      <t>テッキン</t>
    </rPh>
    <rPh sb="8" eb="9">
      <t>ヒ</t>
    </rPh>
    <rPh sb="10" eb="12">
      <t>ジシキ</t>
    </rPh>
    <rPh sb="16" eb="17">
      <t>モト</t>
    </rPh>
    <phoneticPr fontId="14"/>
  </si>
  <si>
    <t>pt</t>
    <phoneticPr fontId="14"/>
  </si>
  <si>
    <t>＝</t>
    <phoneticPr fontId="14"/>
  </si>
  <si>
    <t>100･As／（b･d）</t>
    <phoneticPr fontId="14"/>
  </si>
  <si>
    <t>ここに、</t>
    <phoneticPr fontId="14"/>
  </si>
  <si>
    <t>:</t>
    <phoneticPr fontId="14"/>
  </si>
  <si>
    <t>引張鉄筋比(％)</t>
    <rPh sb="0" eb="2">
      <t>ヒッパリ</t>
    </rPh>
    <rPh sb="2" eb="4">
      <t>テッキン</t>
    </rPh>
    <rPh sb="4" eb="5">
      <t>ヒ</t>
    </rPh>
    <phoneticPr fontId="14"/>
  </si>
  <si>
    <t>As</t>
    <phoneticPr fontId="14"/>
  </si>
  <si>
    <r>
      <t>引張鉄筋の断面積(mm</t>
    </r>
    <r>
      <rPr>
        <vertAlign val="superscript"/>
        <sz val="10"/>
        <rFont val="ＭＳ 明朝"/>
        <family val="1"/>
        <charset val="128"/>
      </rPr>
      <t>2</t>
    </r>
    <r>
      <rPr>
        <sz val="10"/>
        <rFont val="ＭＳ 明朝"/>
        <family val="1"/>
        <charset val="128"/>
      </rPr>
      <t>)</t>
    </r>
    <rPh sb="0" eb="2">
      <t>ヒッパリ</t>
    </rPh>
    <rPh sb="2" eb="4">
      <t>テッキン</t>
    </rPh>
    <rPh sb="5" eb="8">
      <t>ダンメンセキ</t>
    </rPh>
    <phoneticPr fontId="14"/>
  </si>
  <si>
    <t>×</t>
    <phoneticPr fontId="14"/>
  </si>
  <si>
    <t>1/4</t>
    <phoneticPr fontId="3"/>
  </si>
  <si>
    <r>
      <t>mm</t>
    </r>
    <r>
      <rPr>
        <vertAlign val="superscript"/>
        <sz val="10"/>
        <rFont val="ＭＳ 明朝"/>
        <family val="1"/>
        <charset val="128"/>
      </rPr>
      <t>2</t>
    </r>
    <phoneticPr fontId="14"/>
  </si>
  <si>
    <t>b</t>
    <phoneticPr fontId="14"/>
  </si>
  <si>
    <t>√2・R</t>
    <phoneticPr fontId="14"/>
  </si>
  <si>
    <t>mm</t>
    <phoneticPr fontId="14"/>
  </si>
  <si>
    <t>R</t>
    <phoneticPr fontId="14"/>
  </si>
  <si>
    <t>半径(mm)</t>
    <rPh sb="0" eb="2">
      <t>ハンケイ</t>
    </rPh>
    <phoneticPr fontId="14"/>
  </si>
  <si>
    <t>(</t>
    <phoneticPr fontId="14"/>
  </si>
  <si>
    <t>)</t>
    <phoneticPr fontId="14"/>
  </si>
  <si>
    <t>d</t>
    <phoneticPr fontId="14"/>
  </si>
  <si>
    <t>2R－ds</t>
    <phoneticPr fontId="14"/>
  </si>
  <si>
    <t>ds</t>
    <phoneticPr fontId="14"/>
  </si>
  <si>
    <t>:</t>
    <phoneticPr fontId="14"/>
  </si>
  <si>
    <t>軸方向鉄筋の芯かぶり(mm)</t>
    <rPh sb="0" eb="3">
      <t>ジクホウコウ</t>
    </rPh>
    <rPh sb="3" eb="5">
      <t>テッキン</t>
    </rPh>
    <rPh sb="6" eb="7">
      <t>シン</t>
    </rPh>
    <phoneticPr fontId="14"/>
  </si>
  <si>
    <t>(</t>
    <phoneticPr fontId="14"/>
  </si>
  <si>
    <t>mm</t>
    <phoneticPr fontId="14"/>
  </si>
  <si>
    <t>)</t>
    <phoneticPr fontId="14"/>
  </si>
  <si>
    <t>pt</t>
    <phoneticPr fontId="14"/>
  </si>
  <si>
    <t>×</t>
    <phoneticPr fontId="14"/>
  </si>
  <si>
    <t>／</t>
    <phoneticPr fontId="14"/>
  </si>
  <si>
    <t>(</t>
    <phoneticPr fontId="3"/>
  </si>
  <si>
    <t>)</t>
    <phoneticPr fontId="3"/>
  </si>
  <si>
    <t>％</t>
    <phoneticPr fontId="14"/>
  </si>
  <si>
    <t>杭頭から2D区間には0.30％以上の帯鉄筋を配置する。</t>
    <rPh sb="0" eb="1">
      <t>クイ</t>
    </rPh>
    <rPh sb="1" eb="2">
      <t>トウ</t>
    </rPh>
    <rPh sb="6" eb="8">
      <t>クカン</t>
    </rPh>
    <rPh sb="15" eb="17">
      <t>イジョウ</t>
    </rPh>
    <rPh sb="18" eb="19">
      <t>オビ</t>
    </rPh>
    <rPh sb="19" eb="21">
      <t>テッキン</t>
    </rPh>
    <rPh sb="22" eb="24">
      <t>ハイチ</t>
    </rPh>
    <phoneticPr fontId="14"/>
  </si>
  <si>
    <t>ただし、せん断スパン比が2.5以下の場合は0.35％以上とする。</t>
    <rPh sb="6" eb="7">
      <t>ダン</t>
    </rPh>
    <rPh sb="10" eb="11">
      <t>ヒ</t>
    </rPh>
    <rPh sb="15" eb="17">
      <t>イカ</t>
    </rPh>
    <rPh sb="18" eb="20">
      <t>バアイ</t>
    </rPh>
    <rPh sb="26" eb="28">
      <t>イジョウ</t>
    </rPh>
    <phoneticPr fontId="14"/>
  </si>
  <si>
    <t>2D区間を超えた第1段主鉄筋の範囲には0.20％以上配置する。</t>
    <rPh sb="2" eb="4">
      <t>クカン</t>
    </rPh>
    <rPh sb="5" eb="6">
      <t>コ</t>
    </rPh>
    <rPh sb="8" eb="9">
      <t>ダイ</t>
    </rPh>
    <rPh sb="10" eb="11">
      <t>ダン</t>
    </rPh>
    <rPh sb="11" eb="12">
      <t>シュ</t>
    </rPh>
    <rPh sb="12" eb="14">
      <t>テッキン</t>
    </rPh>
    <rPh sb="15" eb="17">
      <t>ハンイ</t>
    </rPh>
    <rPh sb="24" eb="26">
      <t>イジョウ</t>
    </rPh>
    <rPh sb="26" eb="28">
      <t>ハイチ</t>
    </rPh>
    <phoneticPr fontId="14"/>
  </si>
  <si>
    <t>・せん断スパン比</t>
    <rPh sb="3" eb="4">
      <t>ダン</t>
    </rPh>
    <rPh sb="7" eb="8">
      <t>ヒ</t>
    </rPh>
    <phoneticPr fontId="14"/>
  </si>
  <si>
    <t>以上より、靭性の向上は考えず帯鉄筋量は杭の側断面積の0.30％以上を配置する。</t>
    <rPh sb="0" eb="2">
      <t>イジョウ</t>
    </rPh>
    <rPh sb="5" eb="6">
      <t>ジン</t>
    </rPh>
    <rPh sb="6" eb="7">
      <t>セイ</t>
    </rPh>
    <rPh sb="8" eb="10">
      <t>コウジョウ</t>
    </rPh>
    <rPh sb="11" eb="12">
      <t>カンガ</t>
    </rPh>
    <rPh sb="14" eb="15">
      <t>オビ</t>
    </rPh>
    <rPh sb="15" eb="17">
      <t>テッキン</t>
    </rPh>
    <rPh sb="17" eb="18">
      <t>リョウ</t>
    </rPh>
    <rPh sb="19" eb="20">
      <t>クイ</t>
    </rPh>
    <rPh sb="21" eb="22">
      <t>ソク</t>
    </rPh>
    <rPh sb="22" eb="25">
      <t>ダンメンセキ</t>
    </rPh>
    <rPh sb="31" eb="33">
      <t>イジョウ</t>
    </rPh>
    <rPh sb="34" eb="36">
      <t>ハイチ</t>
    </rPh>
    <phoneticPr fontId="3"/>
  </si>
  <si>
    <t>d</t>
    <phoneticPr fontId="14"/>
  </si>
  <si>
    <t>1.6･β･D</t>
    <phoneticPr fontId="14"/>
  </si>
  <si>
    <t>×</t>
    <phoneticPr fontId="14"/>
  </si>
  <si>
    <t>以上より、靭性の向上を考え帯鉄筋量は杭の側断面積の0.35％以上を配置する。</t>
    <rPh sb="0" eb="2">
      <t>イジョウ</t>
    </rPh>
    <rPh sb="5" eb="6">
      <t>ジン</t>
    </rPh>
    <rPh sb="6" eb="7">
      <t>セイ</t>
    </rPh>
    <rPh sb="8" eb="10">
      <t>コウジョウ</t>
    </rPh>
    <rPh sb="11" eb="12">
      <t>カンガ</t>
    </rPh>
    <rPh sb="13" eb="14">
      <t>オビ</t>
    </rPh>
    <rPh sb="14" eb="16">
      <t>テッキン</t>
    </rPh>
    <rPh sb="16" eb="17">
      <t>リョウ</t>
    </rPh>
    <rPh sb="18" eb="19">
      <t>クイ</t>
    </rPh>
    <rPh sb="20" eb="21">
      <t>ソク</t>
    </rPh>
    <rPh sb="21" eb="24">
      <t>ダンメンセキ</t>
    </rPh>
    <rPh sb="30" eb="32">
      <t>イジョウ</t>
    </rPh>
    <rPh sb="33" eb="35">
      <t>ハイチ</t>
    </rPh>
    <phoneticPr fontId="3"/>
  </si>
  <si>
    <t>・杭頭2D区間</t>
    <rPh sb="1" eb="2">
      <t>クイ</t>
    </rPh>
    <rPh sb="2" eb="3">
      <t>トウ</t>
    </rPh>
    <rPh sb="5" eb="7">
      <t>クカン</t>
    </rPh>
    <phoneticPr fontId="14"/>
  </si>
  <si>
    <t>　コンクリートの収縮や温度勾配により斜めひび割れが発生して急激な破壊に至る</t>
    <rPh sb="8" eb="10">
      <t>シュウシュク</t>
    </rPh>
    <rPh sb="11" eb="13">
      <t>オンド</t>
    </rPh>
    <rPh sb="13" eb="15">
      <t>コウバイ</t>
    </rPh>
    <rPh sb="18" eb="19">
      <t>ナナ</t>
    </rPh>
    <rPh sb="22" eb="23">
      <t>ワ</t>
    </rPh>
    <rPh sb="25" eb="27">
      <t>ハッセイ</t>
    </rPh>
    <rPh sb="29" eb="31">
      <t>キュウゲキ</t>
    </rPh>
    <rPh sb="32" eb="34">
      <t>ハカイ</t>
    </rPh>
    <rPh sb="35" eb="36">
      <t>イタ</t>
    </rPh>
    <phoneticPr fontId="3"/>
  </si>
  <si>
    <t>のを防ぐために、せん断補強鉄筋比として0.15％以上の帯鉄筋を配置する。</t>
    <rPh sb="2" eb="3">
      <t>フセ</t>
    </rPh>
    <rPh sb="10" eb="11">
      <t>ダン</t>
    </rPh>
    <rPh sb="11" eb="13">
      <t>ホキョウ</t>
    </rPh>
    <rPh sb="13" eb="15">
      <t>テッキン</t>
    </rPh>
    <rPh sb="15" eb="16">
      <t>ヒ</t>
    </rPh>
    <rPh sb="24" eb="26">
      <t>イジョウ</t>
    </rPh>
    <rPh sb="27" eb="28">
      <t>オビ</t>
    </rPh>
    <rPh sb="28" eb="30">
      <t>テッキン</t>
    </rPh>
    <rPh sb="31" eb="33">
      <t>ハイチ</t>
    </rPh>
    <phoneticPr fontId="3"/>
  </si>
  <si>
    <t>　 かつ300mm以下とする。かつ圧縮・引張鉄筋の直径の8倍、スターラップ・帯鉄筋の直径</t>
    <rPh sb="9" eb="11">
      <t>イカ</t>
    </rPh>
    <rPh sb="17" eb="19">
      <t>アッシュク</t>
    </rPh>
    <rPh sb="20" eb="22">
      <t>ヒッパリ</t>
    </rPh>
    <rPh sb="22" eb="24">
      <t>テッキン</t>
    </rPh>
    <rPh sb="25" eb="27">
      <t>チョッケイ</t>
    </rPh>
    <rPh sb="29" eb="30">
      <t>バイ</t>
    </rPh>
    <rPh sb="38" eb="39">
      <t>オビ</t>
    </rPh>
    <rPh sb="39" eb="41">
      <t>テッキン</t>
    </rPh>
    <rPh sb="42" eb="44">
      <t>チョッケイ</t>
    </rPh>
    <phoneticPr fontId="3"/>
  </si>
  <si>
    <t>　 の24倍以下の間隔で配置する。なお、部材接合部及び柱下端から断面高さの2倍までの</t>
    <rPh sb="5" eb="6">
      <t>バイ</t>
    </rPh>
    <rPh sb="6" eb="8">
      <t>イカ</t>
    </rPh>
    <rPh sb="9" eb="11">
      <t>カンカク</t>
    </rPh>
    <rPh sb="12" eb="14">
      <t>ハイチ</t>
    </rPh>
    <rPh sb="20" eb="21">
      <t>ブ</t>
    </rPh>
    <rPh sb="21" eb="22">
      <t>ザイ</t>
    </rPh>
    <rPh sb="22" eb="24">
      <t>セツゴウ</t>
    </rPh>
    <rPh sb="24" eb="25">
      <t>ブ</t>
    </rPh>
    <rPh sb="25" eb="26">
      <t>オヨ</t>
    </rPh>
    <rPh sb="27" eb="28">
      <t>ハシラ</t>
    </rPh>
    <rPh sb="28" eb="30">
      <t>カタン</t>
    </rPh>
    <rPh sb="32" eb="34">
      <t>ダンメン</t>
    </rPh>
    <rPh sb="34" eb="35">
      <t>タカ</t>
    </rPh>
    <rPh sb="38" eb="39">
      <t>バイ</t>
    </rPh>
    <phoneticPr fontId="3"/>
  </si>
  <si>
    <t>　 範囲とする。</t>
    <rPh sb="2" eb="4">
      <t>ハンイ</t>
    </rPh>
    <phoneticPr fontId="3"/>
  </si>
  <si>
    <t>・有効高さの1/4</t>
    <rPh sb="1" eb="3">
      <t>ユウコウ</t>
    </rPh>
    <rPh sb="3" eb="4">
      <t>タカ</t>
    </rPh>
    <phoneticPr fontId="3"/>
  </si>
  <si>
    <t>×</t>
    <phoneticPr fontId="3"/>
  </si>
  <si>
    <t>＝</t>
    <phoneticPr fontId="3"/>
  </si>
  <si>
    <r>
      <t>m</t>
    </r>
    <r>
      <rPr>
        <sz val="10"/>
        <rFont val="ＭＳ 明朝"/>
        <family val="1"/>
        <charset val="128"/>
      </rPr>
      <t>m</t>
    </r>
    <phoneticPr fontId="3"/>
  </si>
  <si>
    <t>・圧縮・引張鉄筋の直径の8倍</t>
    <rPh sb="1" eb="3">
      <t>アッシュク</t>
    </rPh>
    <rPh sb="4" eb="6">
      <t>ヒッパリ</t>
    </rPh>
    <rPh sb="6" eb="8">
      <t>テッキン</t>
    </rPh>
    <rPh sb="9" eb="11">
      <t>チョッケイ</t>
    </rPh>
    <rPh sb="13" eb="14">
      <t>バイ</t>
    </rPh>
    <phoneticPr fontId="3"/>
  </si>
  <si>
    <r>
      <t>m</t>
    </r>
    <r>
      <rPr>
        <sz val="10"/>
        <rFont val="ＭＳ 明朝"/>
        <family val="1"/>
        <charset val="128"/>
      </rPr>
      <t>m</t>
    </r>
    <phoneticPr fontId="3"/>
  </si>
  <si>
    <t>・帯鉄筋の直径の24倍</t>
    <rPh sb="1" eb="2">
      <t>オビ</t>
    </rPh>
    <rPh sb="2" eb="4">
      <t>テッキン</t>
    </rPh>
    <rPh sb="5" eb="7">
      <t>チョッケイ</t>
    </rPh>
    <rPh sb="10" eb="11">
      <t>バイ</t>
    </rPh>
    <phoneticPr fontId="3"/>
  </si>
  <si>
    <t>＝</t>
    <phoneticPr fontId="3"/>
  </si>
  <si>
    <t>×</t>
    <phoneticPr fontId="3"/>
  </si>
  <si>
    <t>＝</t>
    <phoneticPr fontId="3"/>
  </si>
  <si>
    <r>
      <t>m</t>
    </r>
    <r>
      <rPr>
        <sz val="10"/>
        <rFont val="ＭＳ 明朝"/>
        <family val="1"/>
        <charset val="128"/>
      </rPr>
      <t>m</t>
    </r>
    <phoneticPr fontId="3"/>
  </si>
  <si>
    <t>・300mm以下</t>
    <rPh sb="6" eb="8">
      <t>イカ</t>
    </rPh>
    <phoneticPr fontId="3"/>
  </si>
  <si>
    <t>2D区間</t>
    <rPh sb="2" eb="4">
      <t>クカン</t>
    </rPh>
    <phoneticPr fontId="3"/>
  </si>
  <si>
    <t>：</t>
    <phoneticPr fontId="3"/>
  </si>
  <si>
    <t>① せん断補強鉄筋を計算上必要とする場合、スターラップの間隔は、有効高さの1/4以下</t>
    <rPh sb="4" eb="5">
      <t>ダン</t>
    </rPh>
    <rPh sb="5" eb="7">
      <t>ホキョウ</t>
    </rPh>
    <rPh sb="7" eb="9">
      <t>テッキン</t>
    </rPh>
    <rPh sb="10" eb="13">
      <t>ケイサンジョウ</t>
    </rPh>
    <rPh sb="13" eb="15">
      <t>ヒツヨウ</t>
    </rPh>
    <rPh sb="18" eb="20">
      <t>バアイ</t>
    </rPh>
    <rPh sb="28" eb="30">
      <t>カンカク</t>
    </rPh>
    <rPh sb="32" eb="34">
      <t>ユウコウ</t>
    </rPh>
    <rPh sb="34" eb="35">
      <t>タカ</t>
    </rPh>
    <rPh sb="40" eb="42">
      <t>イカ</t>
    </rPh>
    <phoneticPr fontId="3"/>
  </si>
  <si>
    <t>・柱下端～2D区間</t>
    <rPh sb="1" eb="2">
      <t>ハシラ</t>
    </rPh>
    <rPh sb="2" eb="4">
      <t>カタン</t>
    </rPh>
    <rPh sb="7" eb="9">
      <t>クカン</t>
    </rPh>
    <phoneticPr fontId="3"/>
  </si>
  <si>
    <t>※本構造物は躯体高さが低いため2D区間と2D区間外の帯鉄筋量を同じとする。</t>
    <rPh sb="1" eb="2">
      <t>ホン</t>
    </rPh>
    <rPh sb="2" eb="5">
      <t>コウゾウブツ</t>
    </rPh>
    <rPh sb="6" eb="8">
      <t>クタイ</t>
    </rPh>
    <rPh sb="8" eb="9">
      <t>タカ</t>
    </rPh>
    <rPh sb="11" eb="12">
      <t>ヒク</t>
    </rPh>
    <rPh sb="17" eb="19">
      <t>クカン</t>
    </rPh>
    <rPh sb="22" eb="24">
      <t>クカン</t>
    </rPh>
    <rPh sb="24" eb="25">
      <t>ガイ</t>
    </rPh>
    <rPh sb="26" eb="27">
      <t>オビ</t>
    </rPh>
    <rPh sb="27" eb="29">
      <t>テッキン</t>
    </rPh>
    <rPh sb="29" eb="30">
      <t>リョウ</t>
    </rPh>
    <rPh sb="31" eb="32">
      <t>オナ</t>
    </rPh>
    <phoneticPr fontId="3"/>
  </si>
  <si>
    <t>② 長方形断面で帯鉄筋を用いる場合には、帯鉄筋の横方向の間隔は、帯鉄筋の直径の48倍</t>
    <rPh sb="2" eb="5">
      <t>チョウホウケイ</t>
    </rPh>
    <rPh sb="5" eb="7">
      <t>ダンメン</t>
    </rPh>
    <rPh sb="8" eb="9">
      <t>オビ</t>
    </rPh>
    <rPh sb="9" eb="11">
      <t>テッキン</t>
    </rPh>
    <rPh sb="12" eb="13">
      <t>モチ</t>
    </rPh>
    <rPh sb="15" eb="17">
      <t>バアイ</t>
    </rPh>
    <rPh sb="20" eb="21">
      <t>オビ</t>
    </rPh>
    <rPh sb="21" eb="23">
      <t>テッキン</t>
    </rPh>
    <rPh sb="24" eb="25">
      <t>ヨコ</t>
    </rPh>
    <rPh sb="25" eb="27">
      <t>ホウコウ</t>
    </rPh>
    <rPh sb="28" eb="30">
      <t>カンカク</t>
    </rPh>
    <rPh sb="32" eb="33">
      <t>オビ</t>
    </rPh>
    <rPh sb="33" eb="35">
      <t>テッキン</t>
    </rPh>
    <rPh sb="36" eb="38">
      <t>チョッケイ</t>
    </rPh>
    <rPh sb="41" eb="42">
      <t>バイ</t>
    </rPh>
    <phoneticPr fontId="3"/>
  </si>
  <si>
    <t>　 以下とし、帯鉄筋の間隔がこれを超える場合には、中間帯鉄筋を配置する。</t>
    <rPh sb="2" eb="4">
      <t>イカ</t>
    </rPh>
    <rPh sb="7" eb="8">
      <t>オビ</t>
    </rPh>
    <rPh sb="8" eb="10">
      <t>テッキン</t>
    </rPh>
    <rPh sb="11" eb="13">
      <t>カンカク</t>
    </rPh>
    <rPh sb="17" eb="18">
      <t>コ</t>
    </rPh>
    <rPh sb="20" eb="22">
      <t>バアイ</t>
    </rPh>
    <rPh sb="25" eb="27">
      <t>チュウカン</t>
    </rPh>
    <rPh sb="27" eb="28">
      <t>オビ</t>
    </rPh>
    <rPh sb="28" eb="30">
      <t>テッキン</t>
    </rPh>
    <rPh sb="31" eb="33">
      <t>ハイチ</t>
    </rPh>
    <phoneticPr fontId="3"/>
  </si>
  <si>
    <t>　 なお、本構造物の躯体は小判形であるがこれに準拠して設計を行う。</t>
    <rPh sb="5" eb="6">
      <t>ホン</t>
    </rPh>
    <rPh sb="6" eb="9">
      <t>コウゾウブツ</t>
    </rPh>
    <rPh sb="10" eb="12">
      <t>クタイ</t>
    </rPh>
    <rPh sb="13" eb="15">
      <t>コバン</t>
    </rPh>
    <rPh sb="15" eb="16">
      <t>ガタ</t>
    </rPh>
    <rPh sb="23" eb="25">
      <t>ジュンキョ</t>
    </rPh>
    <rPh sb="27" eb="29">
      <t>セッケイ</t>
    </rPh>
    <rPh sb="30" eb="31">
      <t>オコナ</t>
    </rPh>
    <phoneticPr fontId="3"/>
  </si>
  <si>
    <t>％</t>
    <phoneticPr fontId="3"/>
  </si>
  <si>
    <t>線路方向上端</t>
    <rPh sb="0" eb="2">
      <t>センロ</t>
    </rPh>
    <rPh sb="2" eb="4">
      <t>ホウコウ</t>
    </rPh>
    <rPh sb="4" eb="5">
      <t>ウエ</t>
    </rPh>
    <rPh sb="5" eb="6">
      <t>タン</t>
    </rPh>
    <phoneticPr fontId="3"/>
  </si>
  <si>
    <t>直角方向上端</t>
    <rPh sb="0" eb="2">
      <t>チョッカク</t>
    </rPh>
    <rPh sb="2" eb="4">
      <t>ホウコウ</t>
    </rPh>
    <rPh sb="4" eb="5">
      <t>ウエ</t>
    </rPh>
    <rPh sb="5" eb="6">
      <t>タン</t>
    </rPh>
    <phoneticPr fontId="3"/>
  </si>
  <si>
    <t>：</t>
    <phoneticPr fontId="3"/>
  </si>
  <si>
    <t>永久作用時</t>
    <rPh sb="0" eb="2">
      <t>エイキュウ</t>
    </rPh>
    <rPh sb="2" eb="4">
      <t>サヨウ</t>
    </rPh>
    <rPh sb="4" eb="5">
      <t>ジ</t>
    </rPh>
    <phoneticPr fontId="3"/>
  </si>
  <si>
    <t>)</t>
    <phoneticPr fontId="3"/>
  </si>
  <si>
    <r>
      <t>(1)</t>
    </r>
    <r>
      <rPr>
        <sz val="10"/>
        <rFont val="ＭＳ 明朝"/>
        <family val="1"/>
        <charset val="128"/>
      </rPr>
      <t xml:space="preserve"> </t>
    </r>
    <r>
      <rPr>
        <sz val="10"/>
        <rFont val="ＭＳ 明朝"/>
        <family val="1"/>
        <charset val="128"/>
      </rPr>
      <t>杭頭反力の最大値から定める最小鉄筋量【基礎標準</t>
    </r>
    <r>
      <rPr>
        <sz val="10"/>
        <rFont val="ＭＳ 明朝"/>
        <family val="1"/>
        <charset val="128"/>
      </rPr>
      <t xml:space="preserve"> 付属資料17 1.主鉄筋の配置</t>
    </r>
    <r>
      <rPr>
        <sz val="10"/>
        <rFont val="ＭＳ 明朝"/>
        <family val="1"/>
        <charset val="128"/>
      </rPr>
      <t>】</t>
    </r>
    <rPh sb="23" eb="25">
      <t>キソ</t>
    </rPh>
    <rPh sb="28" eb="30">
      <t>フゾク</t>
    </rPh>
    <rPh sb="30" eb="32">
      <t>シリョウ</t>
    </rPh>
    <rPh sb="37" eb="38">
      <t>シュ</t>
    </rPh>
    <rPh sb="38" eb="40">
      <t>テッキン</t>
    </rPh>
    <rPh sb="41" eb="43">
      <t>ハイチ</t>
    </rPh>
    <phoneticPr fontId="3"/>
  </si>
  <si>
    <r>
      <t>(3)</t>
    </r>
    <r>
      <rPr>
        <sz val="10"/>
        <rFont val="ＭＳ 明朝"/>
        <family val="1"/>
        <charset val="128"/>
      </rPr>
      <t xml:space="preserve"> </t>
    </r>
    <r>
      <rPr>
        <sz val="10"/>
        <rFont val="ＭＳ 明朝"/>
        <family val="1"/>
        <charset val="128"/>
      </rPr>
      <t>最小帯鉄筋量の検討【基礎標準</t>
    </r>
    <r>
      <rPr>
        <sz val="10"/>
        <rFont val="ＭＳ 明朝"/>
        <family val="1"/>
        <charset val="128"/>
      </rPr>
      <t xml:space="preserve"> </t>
    </r>
    <r>
      <rPr>
        <sz val="10"/>
        <rFont val="ＭＳ 明朝"/>
        <family val="1"/>
        <charset val="128"/>
      </rPr>
      <t>付属資料</t>
    </r>
    <r>
      <rPr>
        <sz val="10"/>
        <rFont val="ＭＳ 明朝"/>
        <family val="1"/>
        <charset val="128"/>
      </rPr>
      <t>17 5.帯鉄筋</t>
    </r>
    <r>
      <rPr>
        <sz val="10"/>
        <rFont val="ＭＳ 明朝"/>
        <family val="1"/>
        <charset val="128"/>
      </rPr>
      <t>】</t>
    </r>
    <rPh sb="28" eb="29">
      <t>オビ</t>
    </rPh>
    <rPh sb="29" eb="31">
      <t>テッキン</t>
    </rPh>
    <phoneticPr fontId="3"/>
  </si>
  <si>
    <t>「§４．杭の地盤反力係数及び設計鉛直支持力より」</t>
    <rPh sb="4" eb="5">
      <t>クイ</t>
    </rPh>
    <rPh sb="6" eb="8">
      <t>ジバン</t>
    </rPh>
    <rPh sb="8" eb="9">
      <t>ハン</t>
    </rPh>
    <rPh sb="9" eb="10">
      <t>リョク</t>
    </rPh>
    <rPh sb="10" eb="12">
      <t>ケイスウ</t>
    </rPh>
    <rPh sb="12" eb="13">
      <t>オヨ</t>
    </rPh>
    <rPh sb="14" eb="16">
      <t>セッケイ</t>
    </rPh>
    <rPh sb="16" eb="18">
      <t>エンチョク</t>
    </rPh>
    <rPh sb="18" eb="20">
      <t>シジ</t>
    </rPh>
    <rPh sb="20" eb="21">
      <t>リョク</t>
    </rPh>
    <phoneticPr fontId="3"/>
  </si>
  <si>
    <t>帯鉄筋</t>
    <rPh sb="0" eb="1">
      <t>オビ</t>
    </rPh>
    <rPh sb="1" eb="3">
      <t>テッキン</t>
    </rPh>
    <phoneticPr fontId="3"/>
  </si>
  <si>
    <t>As'</t>
    <phoneticPr fontId="14"/>
  </si>
  <si>
    <t>＝</t>
    <phoneticPr fontId="14"/>
  </si>
  <si>
    <t>×</t>
    <phoneticPr fontId="14"/>
  </si>
  <si>
    <r>
      <t>10</t>
    </r>
    <r>
      <rPr>
        <vertAlign val="superscript"/>
        <sz val="10"/>
        <rFont val="ＭＳ 明朝"/>
        <family val="1"/>
        <charset val="128"/>
      </rPr>
      <t>3</t>
    </r>
    <phoneticPr fontId="14"/>
  </si>
  <si>
    <r>
      <t>mm</t>
    </r>
    <r>
      <rPr>
        <vertAlign val="superscript"/>
        <sz val="10"/>
        <rFont val="ＭＳ 明朝"/>
        <family val="1"/>
        <charset val="128"/>
      </rPr>
      <t>2</t>
    </r>
    <phoneticPr fontId="14"/>
  </si>
  <si>
    <t>＋</t>
    <phoneticPr fontId="14"/>
  </si>
  <si>
    <t>As</t>
    <phoneticPr fontId="14"/>
  </si>
  <si>
    <t>－</t>
    <phoneticPr fontId="14"/>
  </si>
  <si>
    <r>
      <t>(2)</t>
    </r>
    <r>
      <rPr>
        <sz val="10"/>
        <rFont val="ＭＳ 明朝"/>
        <family val="1"/>
        <charset val="128"/>
      </rPr>
      <t xml:space="preserve"> </t>
    </r>
    <r>
      <rPr>
        <sz val="10"/>
        <rFont val="ＭＳ 明朝"/>
        <family val="1"/>
        <charset val="128"/>
      </rPr>
      <t>曲げモーメントから定まる最小鉄筋量の検討【基礎標準</t>
    </r>
    <r>
      <rPr>
        <sz val="10"/>
        <rFont val="ＭＳ 明朝"/>
        <family val="1"/>
        <charset val="128"/>
      </rPr>
      <t xml:space="preserve"> </t>
    </r>
    <r>
      <rPr>
        <sz val="10"/>
        <rFont val="ＭＳ 明朝"/>
        <family val="1"/>
        <charset val="128"/>
      </rPr>
      <t>付属資料</t>
    </r>
    <r>
      <rPr>
        <sz val="10"/>
        <rFont val="ＭＳ 明朝"/>
        <family val="1"/>
        <charset val="128"/>
      </rPr>
      <t>17 1.</t>
    </r>
    <r>
      <rPr>
        <sz val="10"/>
        <rFont val="ＭＳ 明朝"/>
        <family val="1"/>
        <charset val="128"/>
      </rPr>
      <t>主鉄筋の配置】</t>
    </r>
    <phoneticPr fontId="3"/>
  </si>
  <si>
    <r>
      <t>1</t>
    </r>
    <r>
      <rPr>
        <sz val="10"/>
        <rFont val="ＭＳ 明朝"/>
        <family val="1"/>
        <charset val="128"/>
      </rPr>
      <t>／</t>
    </r>
    <r>
      <rPr>
        <sz val="10"/>
        <rFont val="ＭＳ 明朝"/>
        <family val="1"/>
        <charset val="128"/>
      </rPr>
      <t>β</t>
    </r>
    <phoneticPr fontId="14"/>
  </si>
  <si>
    <t>m</t>
    <phoneticPr fontId="14"/>
  </si>
  <si>
    <t>L</t>
    <phoneticPr fontId="14"/>
  </si>
  <si>
    <t>－ctc</t>
    <phoneticPr fontId="14"/>
  </si>
  <si>
    <t>pw</t>
    <phoneticPr fontId="14"/>
  </si>
  <si>
    <t>・2D区間を超えた範囲</t>
    <rPh sb="3" eb="5">
      <t>クカン</t>
    </rPh>
    <rPh sb="6" eb="7">
      <t>コ</t>
    </rPh>
    <rPh sb="9" eb="11">
      <t>ハンイ</t>
    </rPh>
    <phoneticPr fontId="14"/>
  </si>
  <si>
    <t>(Ｌ２応答時：線路方向)</t>
    <rPh sb="3" eb="5">
      <t>オウトウ</t>
    </rPh>
    <rPh sb="5" eb="6">
      <t>ジ</t>
    </rPh>
    <rPh sb="7" eb="9">
      <t>センロ</t>
    </rPh>
    <rPh sb="9" eb="11">
      <t>ホウコウ</t>
    </rPh>
    <phoneticPr fontId="3"/>
  </si>
  <si>
    <t>印刷順序</t>
    <rPh sb="0" eb="2">
      <t>インサツ</t>
    </rPh>
    <rPh sb="2" eb="4">
      <t>ジュンジョ</t>
    </rPh>
    <phoneticPr fontId="3"/>
  </si>
  <si>
    <t>シート名</t>
    <rPh sb="3" eb="4">
      <t>メイ</t>
    </rPh>
    <phoneticPr fontId="3"/>
  </si>
  <si>
    <t>躯体（線路上端）</t>
    <phoneticPr fontId="3"/>
  </si>
  <si>
    <t>躯体（直角上端）</t>
    <phoneticPr fontId="3"/>
  </si>
  <si>
    <t>躯体（線路下端）</t>
    <phoneticPr fontId="3"/>
  </si>
  <si>
    <t>躯体（直角下端）</t>
    <phoneticPr fontId="3"/>
  </si>
  <si>
    <t>基礎（線路）</t>
  </si>
  <si>
    <t>基礎（直角）</t>
  </si>
  <si>
    <t>杭の計算</t>
  </si>
  <si>
    <t>鉄筋の基本定着長ldは、次式により算定する。</t>
    <rPh sb="0" eb="2">
      <t>テッキン</t>
    </rPh>
    <rPh sb="3" eb="5">
      <t>キホン</t>
    </rPh>
    <rPh sb="5" eb="7">
      <t>テイチャク</t>
    </rPh>
    <rPh sb="7" eb="8">
      <t>チョウ</t>
    </rPh>
    <rPh sb="12" eb="14">
      <t>ジシキ</t>
    </rPh>
    <rPh sb="17" eb="19">
      <t>サンテイ</t>
    </rPh>
    <phoneticPr fontId="14"/>
  </si>
  <si>
    <t>ld ＝ αb ･ fsyd ／ 4fbod ･ φ ≧ 20φ</t>
    <phoneticPr fontId="14"/>
  </si>
  <si>
    <t>ld</t>
    <phoneticPr fontId="14"/>
  </si>
  <si>
    <t>鉄筋の基本定着長（mm）</t>
    <rPh sb="0" eb="2">
      <t>テッキン</t>
    </rPh>
    <rPh sb="3" eb="5">
      <t>キホン</t>
    </rPh>
    <rPh sb="5" eb="7">
      <t>テイチャク</t>
    </rPh>
    <rPh sb="7" eb="8">
      <t>チョウ</t>
    </rPh>
    <phoneticPr fontId="14"/>
  </si>
  <si>
    <r>
      <t>鉄筋の設計引張降伏強度（N/mm</t>
    </r>
    <r>
      <rPr>
        <vertAlign val="superscript"/>
        <sz val="10"/>
        <rFont val="ＭＳ 明朝"/>
        <family val="1"/>
        <charset val="128"/>
      </rPr>
      <t>2</t>
    </r>
    <r>
      <rPr>
        <sz val="10"/>
        <rFont val="ＭＳ 明朝"/>
        <family val="1"/>
        <charset val="128"/>
      </rPr>
      <t>）</t>
    </r>
    <rPh sb="0" eb="2">
      <t>テッキン</t>
    </rPh>
    <rPh sb="3" eb="5">
      <t>セッケイ</t>
    </rPh>
    <rPh sb="5" eb="7">
      <t>ヒッパリ</t>
    </rPh>
    <rPh sb="7" eb="9">
      <t>コウフク</t>
    </rPh>
    <rPh sb="9" eb="11">
      <t>キョウド</t>
    </rPh>
    <phoneticPr fontId="14"/>
  </si>
  <si>
    <t>fbod</t>
    <phoneticPr fontId="14"/>
  </si>
  <si>
    <r>
      <t>コンクリートの設計付着強度（N/mm</t>
    </r>
    <r>
      <rPr>
        <vertAlign val="superscript"/>
        <sz val="10"/>
        <rFont val="ＭＳ 明朝"/>
        <family val="1"/>
        <charset val="128"/>
      </rPr>
      <t>2</t>
    </r>
    <r>
      <rPr>
        <sz val="10"/>
        <rFont val="ＭＳ 明朝"/>
        <family val="1"/>
        <charset val="128"/>
      </rPr>
      <t>）</t>
    </r>
    <rPh sb="7" eb="9">
      <t>セッケイ</t>
    </rPh>
    <rPh sb="9" eb="11">
      <t>フチャク</t>
    </rPh>
    <rPh sb="11" eb="13">
      <t>キョウド</t>
    </rPh>
    <phoneticPr fontId="14"/>
  </si>
  <si>
    <t>φ</t>
    <phoneticPr fontId="14"/>
  </si>
  <si>
    <t>定着する鉄筋の直径（mm）</t>
    <rPh sb="0" eb="2">
      <t>テイチャク</t>
    </rPh>
    <rPh sb="4" eb="6">
      <t>テッキン</t>
    </rPh>
    <rPh sb="7" eb="9">
      <t>チョッケイ</t>
    </rPh>
    <phoneticPr fontId="14"/>
  </si>
  <si>
    <t>αb ＝（0.75 ／ Kc ）＋ 0.2</t>
    <phoneticPr fontId="14"/>
  </si>
  <si>
    <t>ただし、0.5 ≦ αb ≦ 1.0</t>
    <phoneticPr fontId="14"/>
  </si>
  <si>
    <t>Kc ＝ （ cb ／ φ ）＋｛ 15At ／（ s ･ φ ）｝</t>
    <phoneticPr fontId="14"/>
  </si>
  <si>
    <t>cb</t>
    <phoneticPr fontId="14"/>
  </si>
  <si>
    <t>定着する鉄筋のかぶりと、定着する鉄筋のあきの1/2のうち、</t>
    <rPh sb="0" eb="2">
      <t>テイチャク</t>
    </rPh>
    <rPh sb="4" eb="6">
      <t>テッキン</t>
    </rPh>
    <rPh sb="12" eb="14">
      <t>テイチャク</t>
    </rPh>
    <rPh sb="16" eb="18">
      <t>テッキン</t>
    </rPh>
    <phoneticPr fontId="14"/>
  </si>
  <si>
    <t>小さい方の値（mm）</t>
    <phoneticPr fontId="14"/>
  </si>
  <si>
    <t>At</t>
    <phoneticPr fontId="14"/>
  </si>
  <si>
    <r>
      <t>仮定される割裂破壊断面に垂直な横方向鉄筋の断面積（mm</t>
    </r>
    <r>
      <rPr>
        <vertAlign val="superscript"/>
        <sz val="10"/>
        <rFont val="ＭＳ 明朝"/>
        <family val="1"/>
        <charset val="128"/>
      </rPr>
      <t>2</t>
    </r>
    <r>
      <rPr>
        <sz val="10"/>
        <rFont val="ＭＳ 明朝"/>
        <family val="1"/>
        <charset val="128"/>
      </rPr>
      <t>）</t>
    </r>
    <rPh sb="0" eb="2">
      <t>カテイ</t>
    </rPh>
    <rPh sb="5" eb="6">
      <t>ワ</t>
    </rPh>
    <rPh sb="6" eb="7">
      <t>レツ</t>
    </rPh>
    <rPh sb="7" eb="9">
      <t>ハカイ</t>
    </rPh>
    <rPh sb="9" eb="11">
      <t>ダンメン</t>
    </rPh>
    <rPh sb="12" eb="14">
      <t>スイチョク</t>
    </rPh>
    <rPh sb="15" eb="18">
      <t>ヨコホウコウ</t>
    </rPh>
    <rPh sb="18" eb="20">
      <t>テッキン</t>
    </rPh>
    <rPh sb="21" eb="24">
      <t>ダンメンセキ</t>
    </rPh>
    <phoneticPr fontId="14"/>
  </si>
  <si>
    <t>s</t>
    <phoneticPr fontId="14"/>
  </si>
  <si>
    <t>横方向鉄筋の中心間隔（mm）</t>
    <rPh sb="0" eb="3">
      <t>ヨコホウコウ</t>
    </rPh>
    <rPh sb="3" eb="5">
      <t>テッキン</t>
    </rPh>
    <rPh sb="6" eb="8">
      <t>チュウシン</t>
    </rPh>
    <rPh sb="8" eb="10">
      <t>カンカク</t>
    </rPh>
    <phoneticPr fontId="14"/>
  </si>
  <si>
    <t>１）主鉄筋の基本定着長の算定</t>
    <rPh sb="2" eb="3">
      <t>シュ</t>
    </rPh>
    <rPh sb="3" eb="5">
      <t>テッキン</t>
    </rPh>
    <rPh sb="6" eb="8">
      <t>キホン</t>
    </rPh>
    <rPh sb="8" eb="10">
      <t>テイチャク</t>
    </rPh>
    <rPh sb="10" eb="11">
      <t>チョウ</t>
    </rPh>
    <rPh sb="12" eb="14">
      <t>サンテイ</t>
    </rPh>
    <phoneticPr fontId="14"/>
  </si>
  <si>
    <t>鉄筋の設計引張降伏強度</t>
    <rPh sb="0" eb="2">
      <t>テッキン</t>
    </rPh>
    <rPh sb="3" eb="5">
      <t>セッケイ</t>
    </rPh>
    <rPh sb="5" eb="7">
      <t>ヒッパリ</t>
    </rPh>
    <rPh sb="7" eb="9">
      <t>コウフク</t>
    </rPh>
    <rPh sb="9" eb="11">
      <t>キョウド</t>
    </rPh>
    <phoneticPr fontId="14"/>
  </si>
  <si>
    <r>
      <t>N/mm</t>
    </r>
    <r>
      <rPr>
        <vertAlign val="superscript"/>
        <sz val="10"/>
        <rFont val="ＭＳ 明朝"/>
        <family val="1"/>
        <charset val="128"/>
      </rPr>
      <t>2</t>
    </r>
    <phoneticPr fontId="14"/>
  </si>
  <si>
    <t>γs</t>
    <phoneticPr fontId="14"/>
  </si>
  <si>
    <t>γc</t>
    <phoneticPr fontId="14"/>
  </si>
  <si>
    <r>
      <t>N/mm</t>
    </r>
    <r>
      <rPr>
        <vertAlign val="superscript"/>
        <sz val="10"/>
        <rFont val="ＭＳ 明朝"/>
        <family val="1"/>
        <charset val="128"/>
      </rPr>
      <t>3</t>
    </r>
    <r>
      <rPr>
        <sz val="11"/>
        <rFont val="ＭＳ Ｐゴシック"/>
        <family val="3"/>
        <charset val="128"/>
      </rPr>
      <t/>
    </r>
  </si>
  <si>
    <t>コンクリートの付着強度</t>
    <rPh sb="7" eb="9">
      <t>フチャク</t>
    </rPh>
    <rPh sb="9" eb="11">
      <t>キョウド</t>
    </rPh>
    <phoneticPr fontId="14"/>
  </si>
  <si>
    <t>主鉄筋</t>
    <rPh sb="0" eb="1">
      <t>シュ</t>
    </rPh>
    <rPh sb="1" eb="3">
      <t>テッキン</t>
    </rPh>
    <phoneticPr fontId="14"/>
  </si>
  <si>
    <t>径</t>
    <rPh sb="0" eb="1">
      <t>ケイ</t>
    </rPh>
    <phoneticPr fontId="14"/>
  </si>
  <si>
    <t>かぶり</t>
    <phoneticPr fontId="14"/>
  </si>
  <si>
    <t>定着する鉄筋の直径</t>
    <rPh sb="0" eb="2">
      <t>テイチャク</t>
    </rPh>
    <rPh sb="4" eb="6">
      <t>テッキン</t>
    </rPh>
    <rPh sb="7" eb="9">
      <t>チョッケイ</t>
    </rPh>
    <phoneticPr fontId="14"/>
  </si>
  <si>
    <t>ピッチ</t>
    <phoneticPr fontId="14"/>
  </si>
  <si>
    <t>帯鉄筋</t>
    <rPh sb="0" eb="1">
      <t>オビ</t>
    </rPh>
    <rPh sb="1" eb="3">
      <t>テッキン</t>
    </rPh>
    <phoneticPr fontId="14"/>
  </si>
  <si>
    <t>定着する鉄筋のかぶり</t>
    <rPh sb="0" eb="2">
      <t>テイチャク</t>
    </rPh>
    <rPh sb="4" eb="6">
      <t>テッキン</t>
    </rPh>
    <phoneticPr fontId="14"/>
  </si>
  <si>
    <t>cb1</t>
    <phoneticPr fontId="14"/>
  </si>
  <si>
    <t>n1</t>
    <phoneticPr fontId="14"/>
  </si>
  <si>
    <t>←割裂破壊断面に垂直な横方向鉄筋の本数</t>
    <rPh sb="1" eb="2">
      <t>ワ</t>
    </rPh>
    <rPh sb="2" eb="3">
      <t>レツ</t>
    </rPh>
    <rPh sb="3" eb="5">
      <t>ハカイ</t>
    </rPh>
    <rPh sb="5" eb="7">
      <t>ダンメン</t>
    </rPh>
    <rPh sb="8" eb="10">
      <t>スイチョク</t>
    </rPh>
    <rPh sb="11" eb="14">
      <t>ヨコホウコウ</t>
    </rPh>
    <rPh sb="14" eb="16">
      <t>テッキン</t>
    </rPh>
    <rPh sb="17" eb="19">
      <t>ホンスウ</t>
    </rPh>
    <phoneticPr fontId="14"/>
  </si>
  <si>
    <t>定着する鉄筋のあきの1/2</t>
    <rPh sb="0" eb="2">
      <t>テイチャク</t>
    </rPh>
    <rPh sb="4" eb="6">
      <t>テッキン</t>
    </rPh>
    <phoneticPr fontId="14"/>
  </si>
  <si>
    <t>cb2</t>
  </si>
  <si>
    <t>n2</t>
    <phoneticPr fontId="14"/>
  </si>
  <si>
    <t>←横方向鉄筋で取り囲まれる定着する鉄筋</t>
    <rPh sb="1" eb="4">
      <t>ヨコホウコウ</t>
    </rPh>
    <rPh sb="4" eb="6">
      <t>テッキン</t>
    </rPh>
    <rPh sb="7" eb="8">
      <t>ト</t>
    </rPh>
    <rPh sb="9" eb="10">
      <t>カコ</t>
    </rPh>
    <rPh sb="13" eb="15">
      <t>テイチャク</t>
    </rPh>
    <rPh sb="17" eb="19">
      <t>テッキン</t>
    </rPh>
    <phoneticPr fontId="14"/>
  </si>
  <si>
    <t>∴</t>
    <phoneticPr fontId="14"/>
  </si>
  <si>
    <t>横方向鉄筋の断面積</t>
    <rPh sb="0" eb="3">
      <t>ヨコホウコウ</t>
    </rPh>
    <rPh sb="3" eb="5">
      <t>テッキン</t>
    </rPh>
    <rPh sb="6" eb="9">
      <t>ダンメンセキ</t>
    </rPh>
    <phoneticPr fontId="14"/>
  </si>
  <si>
    <t>横方向鉄筋の間隔</t>
    <rPh sb="0" eb="3">
      <t>ヨコホウコウ</t>
    </rPh>
    <rPh sb="3" eb="5">
      <t>テッキン</t>
    </rPh>
    <rPh sb="6" eb="8">
      <t>カンカク</t>
    </rPh>
    <phoneticPr fontId="14"/>
  </si>
  <si>
    <t>Kc</t>
    <phoneticPr fontId="14"/>
  </si>
  <si>
    <t>{</t>
    <phoneticPr fontId="14"/>
  </si>
  <si>
    <t>}</t>
    <phoneticPr fontId="14"/>
  </si>
  <si>
    <t>αb</t>
    <phoneticPr fontId="14"/>
  </si>
  <si>
    <t>→</t>
    <phoneticPr fontId="14"/>
  </si>
  <si>
    <t>ここで、鉄筋の基本定着長ldを算定すると</t>
    <rPh sb="4" eb="6">
      <t>テッキン</t>
    </rPh>
    <rPh sb="7" eb="9">
      <t>キホン</t>
    </rPh>
    <rPh sb="9" eb="11">
      <t>テイチャク</t>
    </rPh>
    <rPh sb="11" eb="12">
      <t>チョウ</t>
    </rPh>
    <rPh sb="15" eb="17">
      <t>サンテイ</t>
    </rPh>
    <phoneticPr fontId="14"/>
  </si>
  <si>
    <t>20φ</t>
    <phoneticPr fontId="14"/>
  </si>
  <si>
    <r>
      <t>1) 主鉄筋の最小鉄筋量の検討【</t>
    </r>
    <r>
      <rPr>
        <sz val="10"/>
        <rFont val="ＭＳ 明朝"/>
        <family val="1"/>
        <charset val="128"/>
      </rPr>
      <t>RC標準第Ⅲ編2.3.3.1</t>
    </r>
    <r>
      <rPr>
        <sz val="10"/>
        <rFont val="ＭＳ 明朝"/>
        <family val="1"/>
        <charset val="128"/>
      </rPr>
      <t>】</t>
    </r>
    <rPh sb="3" eb="4">
      <t>シュ</t>
    </rPh>
    <rPh sb="4" eb="6">
      <t>テッキン</t>
    </rPh>
    <rPh sb="7" eb="9">
      <t>サイショウ</t>
    </rPh>
    <rPh sb="9" eb="11">
      <t>テッキン</t>
    </rPh>
    <rPh sb="11" eb="12">
      <t>リョウ</t>
    </rPh>
    <rPh sb="13" eb="15">
      <t>ケントウ</t>
    </rPh>
    <rPh sb="18" eb="20">
      <t>ヒョウジュン</t>
    </rPh>
    <rPh sb="20" eb="21">
      <t>ダイ</t>
    </rPh>
    <rPh sb="22" eb="23">
      <t>ヘン</t>
    </rPh>
    <phoneticPr fontId="3"/>
  </si>
  <si>
    <r>
      <t>A</t>
    </r>
    <r>
      <rPr>
        <sz val="8"/>
        <rFont val="ＭＳ 明朝"/>
        <family val="1"/>
        <charset val="128"/>
      </rPr>
      <t>s</t>
    </r>
    <r>
      <rPr>
        <sz val="10"/>
        <rFont val="ＭＳ 明朝"/>
        <family val="1"/>
        <charset val="128"/>
      </rPr>
      <t>/</t>
    </r>
    <r>
      <rPr>
        <sz val="10"/>
        <rFont val="ＭＳ 明朝"/>
        <family val="1"/>
        <charset val="128"/>
      </rPr>
      <t>(b・h)</t>
    </r>
    <phoneticPr fontId="3"/>
  </si>
  <si>
    <t>【RC標準第Ⅲ編 式4.2.4】</t>
    <rPh sb="9" eb="10">
      <t>シキ</t>
    </rPh>
    <phoneticPr fontId="3"/>
  </si>
  <si>
    <t>【RC標準第Ⅲ編 式4.2.8】</t>
    <rPh sb="9" eb="10">
      <t>シキ</t>
    </rPh>
    <phoneticPr fontId="3"/>
  </si>
  <si>
    <t>【RC標準第Ⅲ編 式4.2.1】</t>
    <rPh sb="9" eb="10">
      <t>シキ</t>
    </rPh>
    <phoneticPr fontId="3"/>
  </si>
  <si>
    <r>
      <t>(b</t>
    </r>
    <r>
      <rPr>
        <sz val="10"/>
        <rFont val="ＭＳ 明朝"/>
        <family val="1"/>
        <charset val="128"/>
      </rPr>
      <t>) 曲げひび割れ発生と同時に部材が脆性的破壊することを防止【RC標準第Ⅲ編2.3.3.1(2)】</t>
    </r>
    <rPh sb="4" eb="5">
      <t>マ</t>
    </rPh>
    <rPh sb="8" eb="9">
      <t>ワ</t>
    </rPh>
    <rPh sb="10" eb="12">
      <t>ハッセイ</t>
    </rPh>
    <rPh sb="13" eb="15">
      <t>ドウジ</t>
    </rPh>
    <rPh sb="16" eb="17">
      <t>ブ</t>
    </rPh>
    <rPh sb="17" eb="18">
      <t>ザイ</t>
    </rPh>
    <rPh sb="19" eb="21">
      <t>ゼイセイ</t>
    </rPh>
    <rPh sb="21" eb="22">
      <t>テキ</t>
    </rPh>
    <rPh sb="22" eb="24">
      <t>ハカイ</t>
    </rPh>
    <rPh sb="29" eb="31">
      <t>ボウシ</t>
    </rPh>
    <phoneticPr fontId="3"/>
  </si>
  <si>
    <t>【RC標準第Ⅲ編2.3.3.1(3)】</t>
    <phoneticPr fontId="3"/>
  </si>
  <si>
    <t>【RC標準第Ⅲ編4.2.3】</t>
    <phoneticPr fontId="3"/>
  </si>
  <si>
    <t>2) 主鉄筋の最大鉄筋量の検討【RC標準第Ⅲ編2.3.3.2】</t>
    <rPh sb="3" eb="4">
      <t>シュ</t>
    </rPh>
    <rPh sb="4" eb="6">
      <t>テッキン</t>
    </rPh>
    <rPh sb="7" eb="9">
      <t>サイダイ</t>
    </rPh>
    <rPh sb="9" eb="11">
      <t>テッキン</t>
    </rPh>
    <rPh sb="11" eb="12">
      <t>リョウ</t>
    </rPh>
    <rPh sb="13" eb="15">
      <t>ケントウ</t>
    </rPh>
    <phoneticPr fontId="3"/>
  </si>
  <si>
    <t>(a) 釣合鉄筋比Pbの算定【RC標準第Ⅲ編 式解4.2.3】</t>
    <rPh sb="4" eb="6">
      <t>ツリア</t>
    </rPh>
    <rPh sb="6" eb="8">
      <t>テッキン</t>
    </rPh>
    <rPh sb="8" eb="9">
      <t>ヒ</t>
    </rPh>
    <rPh sb="12" eb="14">
      <t>サンテイ</t>
    </rPh>
    <rPh sb="23" eb="24">
      <t>シキ</t>
    </rPh>
    <rPh sb="24" eb="25">
      <t>カイ</t>
    </rPh>
    <phoneticPr fontId="3"/>
  </si>
  <si>
    <r>
      <t>3</t>
    </r>
    <r>
      <rPr>
        <sz val="10"/>
        <rFont val="ＭＳ 明朝"/>
        <family val="1"/>
        <charset val="128"/>
      </rPr>
      <t>) 軸方向力の最大値から定まる最大鉄筋量</t>
    </r>
    <r>
      <rPr>
        <sz val="10"/>
        <rFont val="ＭＳ 明朝"/>
        <family val="1"/>
        <charset val="128"/>
      </rPr>
      <t>【RC標準第Ⅲ編2.3.3.2】</t>
    </r>
    <rPh sb="3" eb="6">
      <t>ジクホウコウ</t>
    </rPh>
    <rPh sb="6" eb="7">
      <t>チカラ</t>
    </rPh>
    <rPh sb="8" eb="11">
      <t>サイダイチ</t>
    </rPh>
    <rPh sb="13" eb="14">
      <t>サダ</t>
    </rPh>
    <rPh sb="16" eb="18">
      <t>サイダイ</t>
    </rPh>
    <rPh sb="18" eb="20">
      <t>テッキン</t>
    </rPh>
    <rPh sb="20" eb="21">
      <t>リョウ</t>
    </rPh>
    <phoneticPr fontId="3"/>
  </si>
  <si>
    <t>4) 応力度の制限値【RC標準第Ⅲ編6.1 7.3】</t>
    <rPh sb="3" eb="6">
      <t>オウリョクド</t>
    </rPh>
    <rPh sb="7" eb="10">
      <t>セイゲンチ</t>
    </rPh>
    <phoneticPr fontId="3"/>
  </si>
  <si>
    <t>　コンクリートの圧縮応力度は、過度なクリープひずみや大きな圧縮応力による軸方向ひび</t>
    <rPh sb="8" eb="10">
      <t>アッシュク</t>
    </rPh>
    <rPh sb="10" eb="13">
      <t>オウリョクド</t>
    </rPh>
    <rPh sb="15" eb="17">
      <t>カド</t>
    </rPh>
    <rPh sb="26" eb="27">
      <t>オオ</t>
    </rPh>
    <rPh sb="29" eb="31">
      <t>アッシュク</t>
    </rPh>
    <rPh sb="31" eb="33">
      <t>オウリョク</t>
    </rPh>
    <rPh sb="36" eb="39">
      <t>ジクホウコウ</t>
    </rPh>
    <phoneticPr fontId="3"/>
  </si>
  <si>
    <t>割れ等を生じないように制限することとする.</t>
    <phoneticPr fontId="3"/>
  </si>
  <si>
    <t>　一般には、永久作用によるコンクリートの曲げ圧縮応力度σcを、設計圧縮強度f'cdの40％</t>
    <rPh sb="1" eb="3">
      <t>イッパン</t>
    </rPh>
    <rPh sb="6" eb="8">
      <t>エイキュウ</t>
    </rPh>
    <rPh sb="8" eb="10">
      <t>サヨウ</t>
    </rPh>
    <rPh sb="20" eb="21">
      <t>マ</t>
    </rPh>
    <rPh sb="22" eb="24">
      <t>アッシュク</t>
    </rPh>
    <rPh sb="24" eb="27">
      <t>オウリョクド</t>
    </rPh>
    <rPh sb="31" eb="33">
      <t>セッケイ</t>
    </rPh>
    <rPh sb="33" eb="35">
      <t>アッシュク</t>
    </rPh>
    <rPh sb="35" eb="37">
      <t>キョウド</t>
    </rPh>
    <phoneticPr fontId="3"/>
  </si>
  <si>
    <t>以下とすればよい.</t>
    <rPh sb="0" eb="2">
      <t>イカ</t>
    </rPh>
    <phoneticPr fontId="3"/>
  </si>
  <si>
    <t>σc</t>
    <phoneticPr fontId="3"/>
  </si>
  <si>
    <t>Ｎ'd</t>
    <phoneticPr fontId="3"/>
  </si>
  <si>
    <t>Ａ</t>
    <phoneticPr fontId="3"/>
  </si>
  <si>
    <t>Ｍd</t>
    <phoneticPr fontId="3"/>
  </si>
  <si>
    <r>
      <t>ｋ・ｊ・ｂ・ｄ</t>
    </r>
    <r>
      <rPr>
        <vertAlign val="superscript"/>
        <sz val="10"/>
        <rFont val="ＭＳ 明朝"/>
        <family val="1"/>
        <charset val="128"/>
      </rPr>
      <t>2</t>
    </r>
    <phoneticPr fontId="3"/>
  </si>
  <si>
    <r>
      <t>永久作用によるコンクリートの曲げ圧縮応力度(N/mm</t>
    </r>
    <r>
      <rPr>
        <vertAlign val="superscript"/>
        <sz val="10"/>
        <rFont val="ＭＳ 明朝"/>
        <family val="1"/>
        <charset val="128"/>
      </rPr>
      <t>2</t>
    </r>
    <r>
      <rPr>
        <sz val="10"/>
        <rFont val="ＭＳ 明朝"/>
        <family val="1"/>
        <charset val="128"/>
      </rPr>
      <t>)</t>
    </r>
    <rPh sb="0" eb="4">
      <t>エイキュウサヨウ</t>
    </rPh>
    <rPh sb="14" eb="15">
      <t>マ</t>
    </rPh>
    <rPh sb="16" eb="18">
      <t>アッシュク</t>
    </rPh>
    <rPh sb="18" eb="21">
      <t>オウリョクド</t>
    </rPh>
    <phoneticPr fontId="3"/>
  </si>
  <si>
    <t>永久作用による軸方向圧縮力</t>
    <rPh sb="0" eb="4">
      <t>エイキュウサヨウ</t>
    </rPh>
    <rPh sb="7" eb="10">
      <t>ジクホウコウ</t>
    </rPh>
    <rPh sb="10" eb="13">
      <t>アッシュクリョク</t>
    </rPh>
    <phoneticPr fontId="3"/>
  </si>
  <si>
    <t>：断面積</t>
    <rPh sb="1" eb="4">
      <t>ダンメンセキ</t>
    </rPh>
    <phoneticPr fontId="3"/>
  </si>
  <si>
    <r>
      <t>mm</t>
    </r>
    <r>
      <rPr>
        <vertAlign val="superscript"/>
        <sz val="10"/>
        <rFont val="ＭＳ 明朝"/>
        <family val="1"/>
        <charset val="128"/>
      </rPr>
      <t>2</t>
    </r>
    <r>
      <rPr>
        <sz val="10"/>
        <rFont val="ＭＳ 明朝"/>
        <family val="1"/>
        <charset val="128"/>
      </rPr>
      <t xml:space="preserve"> </t>
    </r>
    <phoneticPr fontId="3"/>
  </si>
  <si>
    <t>Ｍ'd</t>
    <phoneticPr fontId="3"/>
  </si>
  <si>
    <t>永久作用による曲げモーメント</t>
    <rPh sb="0" eb="4">
      <t>エイキュウサヨウ</t>
    </rPh>
    <rPh sb="7" eb="8">
      <t>マ</t>
    </rPh>
    <phoneticPr fontId="3"/>
  </si>
  <si>
    <t>(Ｍ'd＝</t>
    <phoneticPr fontId="3"/>
  </si>
  <si>
    <t>N・ｍｍ)</t>
    <phoneticPr fontId="3"/>
  </si>
  <si>
    <t>【RC標準第Ⅲ編2.5.1】</t>
    <phoneticPr fontId="3"/>
  </si>
  <si>
    <t>ｋ</t>
    <phoneticPr fontId="3"/>
  </si>
  <si>
    <t>ｎ</t>
    <phoneticPr fontId="3"/>
  </si>
  <si>
    <t>ヤング係数比</t>
    <rPh sb="3" eb="6">
      <t>ケイスウヒ</t>
    </rPh>
    <phoneticPr fontId="3"/>
  </si>
  <si>
    <t>Ｅs/Ｅc＝</t>
    <phoneticPr fontId="3"/>
  </si>
  <si>
    <t>／</t>
    <phoneticPr fontId="3"/>
  </si>
  <si>
    <t>Ｅs</t>
    <phoneticPr fontId="3"/>
  </si>
  <si>
    <t>鉄筋のヤング係数</t>
    <rPh sb="0" eb="2">
      <t>テッキン</t>
    </rPh>
    <rPh sb="6" eb="8">
      <t>ケイスウ</t>
    </rPh>
    <phoneticPr fontId="3"/>
  </si>
  <si>
    <t>Ｅc</t>
    <phoneticPr fontId="3"/>
  </si>
  <si>
    <t>：コンクリートのヤング係数</t>
    <rPh sb="11" eb="13">
      <t>ケイスウ</t>
    </rPh>
    <phoneticPr fontId="3"/>
  </si>
  <si>
    <t>引張鉄筋比</t>
    <rPh sb="0" eb="5">
      <t>ヒッパリテッキンヒ</t>
    </rPh>
    <phoneticPr fontId="3"/>
  </si>
  <si>
    <t>Ａst</t>
    <phoneticPr fontId="3"/>
  </si>
  <si>
    <t>引張鉄筋量</t>
    <rPh sb="0" eb="2">
      <t>ヒッパリ</t>
    </rPh>
    <rPh sb="2" eb="4">
      <t>テッキン</t>
    </rPh>
    <rPh sb="4" eb="5">
      <t>リョウ</t>
    </rPh>
    <phoneticPr fontId="3"/>
  </si>
  <si>
    <t>（</t>
    <phoneticPr fontId="3"/>
  </si>
  <si>
    <t>ｊ＝</t>
    <phoneticPr fontId="3"/>
  </si>
  <si>
    <t>ｋ/3</t>
    <phoneticPr fontId="3"/>
  </si>
  <si>
    <r>
      <t>＝{2n・Pt+(n・Pt)</t>
    </r>
    <r>
      <rPr>
        <vertAlign val="superscript"/>
        <sz val="10"/>
        <rFont val="ＭＳ 明朝"/>
        <family val="1"/>
        <charset val="128"/>
      </rPr>
      <t>2</t>
    </r>
    <r>
      <rPr>
        <sz val="10"/>
        <rFont val="ＭＳ 明朝"/>
        <family val="1"/>
        <charset val="128"/>
      </rPr>
      <t>}</t>
    </r>
    <r>
      <rPr>
        <vertAlign val="superscript"/>
        <sz val="10"/>
        <rFont val="ＭＳ 明朝"/>
        <family val="1"/>
        <charset val="128"/>
      </rPr>
      <t>1/2</t>
    </r>
    <r>
      <rPr>
        <sz val="10"/>
        <rFont val="ＭＳ 明朝"/>
        <family val="1"/>
        <charset val="128"/>
      </rPr>
      <t>-n・Pt</t>
    </r>
    <phoneticPr fontId="3"/>
  </si>
  <si>
    <t>）</t>
    <phoneticPr fontId="3"/>
  </si>
  <si>
    <t>｝</t>
    <phoneticPr fontId="3"/>
  </si>
  <si>
    <t>｛</t>
    <phoneticPr fontId="3"/>
  </si>
  <si>
    <t>0.4f'cd＝</t>
    <phoneticPr fontId="3"/>
  </si>
  <si>
    <t>5) 鉄筋のあき【RC標準第Ⅲ編2.3.4】</t>
    <rPh sb="3" eb="5">
      <t>テッキン</t>
    </rPh>
    <phoneticPr fontId="3"/>
  </si>
  <si>
    <t>　コンクリートが鉄筋の周囲にゆきわたり、鉄筋が十分な付着を発揮できる寸法を確保できる</t>
    <rPh sb="8" eb="10">
      <t>テッキン</t>
    </rPh>
    <rPh sb="11" eb="13">
      <t>シュウイ</t>
    </rPh>
    <rPh sb="20" eb="22">
      <t>テッキン</t>
    </rPh>
    <rPh sb="23" eb="25">
      <t>ジュウブン</t>
    </rPh>
    <rPh sb="26" eb="28">
      <t>フチャク</t>
    </rPh>
    <rPh sb="29" eb="31">
      <t>ハッキ</t>
    </rPh>
    <rPh sb="34" eb="36">
      <t>スンポウ</t>
    </rPh>
    <rPh sb="37" eb="39">
      <t>カクホ</t>
    </rPh>
    <phoneticPr fontId="3"/>
  </si>
  <si>
    <t>ように、軸方向鉄筋の水平のあきは、20mm以上、粗骨材の最大寸法の4/3以上かつ鉄筋の直径</t>
    <rPh sb="4" eb="9">
      <t>ジクホウコウテッキン</t>
    </rPh>
    <rPh sb="10" eb="12">
      <t>スイヘイ</t>
    </rPh>
    <rPh sb="21" eb="23">
      <t>イジョウ</t>
    </rPh>
    <rPh sb="24" eb="27">
      <t>ソコツザイ</t>
    </rPh>
    <rPh sb="28" eb="32">
      <t>サイダイスンポウ</t>
    </rPh>
    <rPh sb="36" eb="38">
      <t>イジョウ</t>
    </rPh>
    <rPh sb="40" eb="42">
      <t>テッキン</t>
    </rPh>
    <rPh sb="43" eb="45">
      <t>チョッケイ</t>
    </rPh>
    <phoneticPr fontId="3"/>
  </si>
  <si>
    <t>以上としなければならない.</t>
    <rPh sb="0" eb="2">
      <t>イジョウ</t>
    </rPh>
    <phoneticPr fontId="3"/>
  </si>
  <si>
    <t>　ただし、柱における軸方向鉄筋のあきは40mm以上、粗骨材の最大寸法の4/3以上かつ鉄筋の</t>
    <rPh sb="5" eb="6">
      <t>ハシラ</t>
    </rPh>
    <rPh sb="10" eb="15">
      <t>ジクホウコウテッキン</t>
    </rPh>
    <rPh sb="23" eb="25">
      <t>イジョウ</t>
    </rPh>
    <rPh sb="26" eb="29">
      <t>ソコツザイ</t>
    </rPh>
    <rPh sb="30" eb="32">
      <t>サイダイ</t>
    </rPh>
    <rPh sb="32" eb="34">
      <t>スンポウ</t>
    </rPh>
    <rPh sb="38" eb="40">
      <t>イジョウ</t>
    </rPh>
    <rPh sb="42" eb="44">
      <t>テッキン</t>
    </rPh>
    <phoneticPr fontId="3"/>
  </si>
  <si>
    <t>直径の1.5倍以上としなければならない.</t>
    <rPh sb="0" eb="2">
      <t>チョッケイ</t>
    </rPh>
    <rPh sb="6" eb="7">
      <t>バイ</t>
    </rPh>
    <rPh sb="7" eb="9">
      <t>イジョウ</t>
    </rPh>
    <phoneticPr fontId="3"/>
  </si>
  <si>
    <t>軸方向鉄筋ピッチ</t>
    <rPh sb="0" eb="3">
      <t>ジクホウコウ</t>
    </rPh>
    <rPh sb="3" eb="5">
      <t>テッキン</t>
    </rPh>
    <phoneticPr fontId="3"/>
  </si>
  <si>
    <t>1段目鉄筋と2段目鉄筋との間隔</t>
    <rPh sb="1" eb="3">
      <t>ダンメ</t>
    </rPh>
    <rPh sb="3" eb="5">
      <t>テッキン</t>
    </rPh>
    <rPh sb="7" eb="9">
      <t>ダンメ</t>
    </rPh>
    <rPh sb="9" eb="11">
      <t>テッキン</t>
    </rPh>
    <rPh sb="13" eb="15">
      <t>カンカク</t>
    </rPh>
    <phoneticPr fontId="3"/>
  </si>
  <si>
    <t>主鉄筋径</t>
    <rPh sb="0" eb="4">
      <t>シュテッキンケイ</t>
    </rPh>
    <phoneticPr fontId="3"/>
  </si>
  <si>
    <t>軸方向鉄筋のあき</t>
    <rPh sb="0" eb="3">
      <t>ジクホウコウ</t>
    </rPh>
    <rPh sb="3" eb="5">
      <t>テッキン</t>
    </rPh>
    <phoneticPr fontId="3"/>
  </si>
  <si>
    <t>部材</t>
    <rPh sb="0" eb="2">
      <t>ブザイ</t>
    </rPh>
    <phoneticPr fontId="3"/>
  </si>
  <si>
    <t>あき(mm)</t>
    <phoneticPr fontId="3"/>
  </si>
  <si>
    <t>軸方向鉄筋のあき</t>
    <rPh sb="0" eb="5">
      <t>ジクホウコウテッキン</t>
    </rPh>
    <phoneticPr fontId="3"/>
  </si>
  <si>
    <t>備考</t>
    <rPh sb="0" eb="2">
      <t>ビコウ</t>
    </rPh>
    <phoneticPr fontId="3"/>
  </si>
  <si>
    <t>4/3</t>
    <phoneticPr fontId="3"/>
  </si>
  <si>
    <t>表.　鉄筋のあき</t>
    <rPh sb="0" eb="1">
      <t>ヒョウ</t>
    </rPh>
    <rPh sb="3" eb="5">
      <t>テッキン</t>
    </rPh>
    <phoneticPr fontId="3"/>
  </si>
  <si>
    <r>
      <t>6</t>
    </r>
    <r>
      <rPr>
        <sz val="10"/>
        <rFont val="ＭＳ 明朝"/>
        <family val="1"/>
        <charset val="128"/>
      </rPr>
      <t>) 最小せん断補強鉄筋量の検討【RC標準第Ⅲ編2.3.3.1(4)】【耐震標準</t>
    </r>
    <r>
      <rPr>
        <sz val="10"/>
        <rFont val="ＭＳ 明朝"/>
        <family val="1"/>
        <charset val="128"/>
      </rPr>
      <t>8.5</t>
    </r>
    <r>
      <rPr>
        <sz val="10"/>
        <rFont val="ＭＳ 明朝"/>
        <family val="1"/>
        <charset val="128"/>
      </rPr>
      <t>】</t>
    </r>
    <rPh sb="3" eb="5">
      <t>サイショウ</t>
    </rPh>
    <rPh sb="7" eb="8">
      <t>ダン</t>
    </rPh>
    <rPh sb="8" eb="10">
      <t>ホキョウ</t>
    </rPh>
    <rPh sb="10" eb="12">
      <t>テッキン</t>
    </rPh>
    <rPh sb="12" eb="13">
      <t>リョウ</t>
    </rPh>
    <rPh sb="14" eb="16">
      <t>ケントウ</t>
    </rPh>
    <phoneticPr fontId="3"/>
  </si>
  <si>
    <t>　 の24倍以下の間隔で配置する。なお、部材接合部及び柱下端から断面高さの1.5倍までの</t>
    <rPh sb="5" eb="6">
      <t>バイ</t>
    </rPh>
    <rPh sb="6" eb="8">
      <t>イカ</t>
    </rPh>
    <rPh sb="9" eb="11">
      <t>カンカク</t>
    </rPh>
    <rPh sb="12" eb="14">
      <t>ハイチ</t>
    </rPh>
    <rPh sb="20" eb="21">
      <t>ブ</t>
    </rPh>
    <rPh sb="21" eb="22">
      <t>ザイ</t>
    </rPh>
    <rPh sb="22" eb="24">
      <t>セツゴウ</t>
    </rPh>
    <rPh sb="24" eb="25">
      <t>ブ</t>
    </rPh>
    <rPh sb="25" eb="26">
      <t>オヨ</t>
    </rPh>
    <rPh sb="27" eb="28">
      <t>ハシラ</t>
    </rPh>
    <rPh sb="28" eb="30">
      <t>カタン</t>
    </rPh>
    <rPh sb="32" eb="34">
      <t>ダンメン</t>
    </rPh>
    <rPh sb="34" eb="35">
      <t>タカ</t>
    </rPh>
    <rPh sb="40" eb="41">
      <t>バイ</t>
    </rPh>
    <phoneticPr fontId="3"/>
  </si>
  <si>
    <t>　 の24倍以下の間隔で配置する。なお、部材接合部及び柱下端から断面高さの2.0倍までの</t>
    <rPh sb="5" eb="6">
      <t>バイ</t>
    </rPh>
    <rPh sb="6" eb="8">
      <t>イカ</t>
    </rPh>
    <rPh sb="9" eb="11">
      <t>カンカク</t>
    </rPh>
    <rPh sb="12" eb="14">
      <t>ハイチ</t>
    </rPh>
    <rPh sb="20" eb="21">
      <t>ブ</t>
    </rPh>
    <rPh sb="21" eb="22">
      <t>ザイ</t>
    </rPh>
    <rPh sb="22" eb="24">
      <t>セツゴウ</t>
    </rPh>
    <rPh sb="24" eb="25">
      <t>ブ</t>
    </rPh>
    <rPh sb="25" eb="26">
      <t>オヨ</t>
    </rPh>
    <rPh sb="27" eb="28">
      <t>ハシラ</t>
    </rPh>
    <rPh sb="28" eb="30">
      <t>カタン</t>
    </rPh>
    <rPh sb="32" eb="34">
      <t>ダンメン</t>
    </rPh>
    <rPh sb="34" eb="35">
      <t>タカ</t>
    </rPh>
    <rPh sb="40" eb="41">
      <t>バイ</t>
    </rPh>
    <phoneticPr fontId="3"/>
  </si>
  <si>
    <r>
      <t>7</t>
    </r>
    <r>
      <rPr>
        <sz val="10"/>
        <rFont val="ＭＳ 明朝"/>
        <family val="1"/>
        <charset val="128"/>
      </rPr>
      <t>) せん断補強鉄筋の配置【RC標準第Ⅲ編2.3.5.3 2.3.5.4】</t>
    </r>
    <rPh sb="5" eb="6">
      <t>ダン</t>
    </rPh>
    <rPh sb="6" eb="8">
      <t>ホキョウ</t>
    </rPh>
    <rPh sb="8" eb="10">
      <t>テッキン</t>
    </rPh>
    <rPh sb="11" eb="13">
      <t>ハイチ</t>
    </rPh>
    <phoneticPr fontId="3"/>
  </si>
  <si>
    <t>帯鉄筋の靭性率上限値は【 RC標準[R5] 第Ⅲ編 5.2.3.3 】より、</t>
    <rPh sb="0" eb="1">
      <t>ジンタイ</t>
    </rPh>
    <rPh sb="1" eb="3">
      <t>テッキン</t>
    </rPh>
    <rPh sb="4" eb="6">
      <t>ジンセイ</t>
    </rPh>
    <rPh sb="6" eb="7">
      <t>リツ</t>
    </rPh>
    <rPh sb="7" eb="10">
      <t>ジョウゲンチ</t>
    </rPh>
    <phoneticPr fontId="14"/>
  </si>
  <si>
    <t>・</t>
    <phoneticPr fontId="2"/>
  </si>
  <si>
    <r>
      <t>k</t>
    </r>
    <r>
      <rPr>
        <vertAlign val="subscript"/>
        <sz val="10"/>
        <rFont val="ＭＳ 明朝"/>
        <family val="1"/>
        <charset val="128"/>
      </rPr>
      <t>wo</t>
    </r>
    <phoneticPr fontId="2"/>
  </si>
  <si>
    <r>
      <t>p</t>
    </r>
    <r>
      <rPr>
        <vertAlign val="subscript"/>
        <sz val="10"/>
        <rFont val="ＭＳ 明朝"/>
        <family val="1"/>
        <charset val="128"/>
      </rPr>
      <t>w</t>
    </r>
    <phoneticPr fontId="2"/>
  </si>
  <si>
    <t>＋</t>
    <phoneticPr fontId="2"/>
  </si>
  <si>
    <t>≦</t>
    <phoneticPr fontId="2"/>
  </si>
  <si>
    <t>帯鉄筋比</t>
    <rPh sb="0" eb="1">
      <t>オビ</t>
    </rPh>
    <rPh sb="1" eb="3">
      <t>テッキン</t>
    </rPh>
    <rPh sb="3" eb="4">
      <t>ヒ</t>
    </rPh>
    <phoneticPr fontId="14"/>
  </si>
  <si>
    <t>＝</t>
    <phoneticPr fontId="2"/>
  </si>
  <si>
    <r>
      <t>A</t>
    </r>
    <r>
      <rPr>
        <vertAlign val="subscript"/>
        <sz val="10"/>
        <rFont val="ＭＳ 明朝"/>
        <family val="1"/>
        <charset val="128"/>
      </rPr>
      <t>w</t>
    </r>
    <phoneticPr fontId="2"/>
  </si>
  <si>
    <t>／(</t>
    <phoneticPr fontId="2"/>
  </si>
  <si>
    <r>
      <t>b</t>
    </r>
    <r>
      <rPr>
        <vertAlign val="subscript"/>
        <sz val="10"/>
        <rFont val="ＭＳ 明朝"/>
        <family val="1"/>
        <charset val="128"/>
      </rPr>
      <t>w</t>
    </r>
    <phoneticPr fontId="2"/>
  </si>
  <si>
    <r>
      <t>s</t>
    </r>
    <r>
      <rPr>
        <vertAlign val="subscript"/>
        <sz val="10"/>
        <rFont val="ＭＳ 明朝"/>
        <family val="1"/>
        <charset val="128"/>
      </rPr>
      <t>s</t>
    </r>
    <phoneticPr fontId="2"/>
  </si>
  <si>
    <t>)</t>
    <phoneticPr fontId="2"/>
  </si>
  <si>
    <t>帯鉄筋強度を考慮する係数</t>
    <rPh sb="0" eb="1">
      <t>オビ</t>
    </rPh>
    <rPh sb="1" eb="3">
      <t>テッキン</t>
    </rPh>
    <rPh sb="3" eb="5">
      <t>キョウド</t>
    </rPh>
    <rPh sb="6" eb="8">
      <t>コウリョ</t>
    </rPh>
    <rPh sb="10" eb="12">
      <t>ケイスウ</t>
    </rPh>
    <phoneticPr fontId="14"/>
  </si>
  <si>
    <t>＝</t>
    <phoneticPr fontId="36"/>
  </si>
  <si>
    <t>×</t>
    <phoneticPr fontId="2"/>
  </si>
  <si>
    <t>)</t>
    <phoneticPr fontId="36"/>
  </si>
  <si>
    <t>8) 帯鉄筋の靭性率における上限値の照査【RC標準第Ⅲ編5.2.3.3】</t>
    <rPh sb="3" eb="6">
      <t>オビテッキン</t>
    </rPh>
    <rPh sb="7" eb="10">
      <t>ジンセイリツ</t>
    </rPh>
    <rPh sb="14" eb="17">
      <t>ジョウゲンチ</t>
    </rPh>
    <rPh sb="18" eb="20">
      <t>ショウサ</t>
    </rPh>
    <phoneticPr fontId="3"/>
  </si>
  <si>
    <t>9) 帯鉄筋の設計せん断耐力の上限値の照査【RC標準第Ⅲ編7.7.2.1】</t>
    <rPh sb="3" eb="6">
      <t>オビテッキン</t>
    </rPh>
    <rPh sb="7" eb="9">
      <t>セッケイ</t>
    </rPh>
    <rPh sb="11" eb="14">
      <t>ダンタイリョク</t>
    </rPh>
    <rPh sb="15" eb="18">
      <t>ジョウゲンチ</t>
    </rPh>
    <rPh sb="19" eb="21">
      <t>ショウサ</t>
    </rPh>
    <phoneticPr fontId="3"/>
  </si>
  <si>
    <t>帯鉄筋のせん断耐力上限値は【 RC標準[R5] 第Ⅲ編 7.2.2 】より、</t>
    <rPh sb="0" eb="1">
      <t>ジンタイ</t>
    </rPh>
    <rPh sb="1" eb="3">
      <t>テッキン</t>
    </rPh>
    <rPh sb="6" eb="7">
      <t>ダン</t>
    </rPh>
    <rPh sb="7" eb="9">
      <t>タイリョク</t>
    </rPh>
    <rPh sb="9" eb="12">
      <t>ジョウゲンチ</t>
    </rPh>
    <phoneticPr fontId="14"/>
  </si>
  <si>
    <r>
      <t>p</t>
    </r>
    <r>
      <rPr>
        <vertAlign val="subscript"/>
        <sz val="10.5"/>
        <rFont val="ＭＳ 明朝"/>
        <family val="1"/>
        <charset val="128"/>
      </rPr>
      <t>w</t>
    </r>
    <phoneticPr fontId="1"/>
  </si>
  <si>
    <t>・</t>
    <phoneticPr fontId="1"/>
  </si>
  <si>
    <r>
      <t>f</t>
    </r>
    <r>
      <rPr>
        <vertAlign val="subscript"/>
        <sz val="10.5"/>
        <rFont val="ＭＳ 明朝"/>
        <family val="1"/>
        <charset val="128"/>
      </rPr>
      <t>wyd</t>
    </r>
    <phoneticPr fontId="1"/>
  </si>
  <si>
    <t>／</t>
    <phoneticPr fontId="1"/>
  </si>
  <si>
    <r>
      <t>f'</t>
    </r>
    <r>
      <rPr>
        <vertAlign val="subscript"/>
        <sz val="10.5"/>
        <rFont val="ＭＳ 明朝"/>
        <family val="1"/>
        <charset val="128"/>
      </rPr>
      <t>cd</t>
    </r>
    <phoneticPr fontId="1"/>
  </si>
  <si>
    <t>≦</t>
    <phoneticPr fontId="1"/>
  </si>
  <si>
    <r>
      <t>p</t>
    </r>
    <r>
      <rPr>
        <vertAlign val="subscript"/>
        <sz val="10"/>
        <rFont val="ＭＳ 明朝"/>
        <family val="1"/>
        <charset val="128"/>
      </rPr>
      <t>w</t>
    </r>
    <phoneticPr fontId="1"/>
  </si>
  <si>
    <t>：</t>
    <phoneticPr fontId="1"/>
  </si>
  <si>
    <t>せん断補強鉄筋比</t>
    <rPh sb="2" eb="3">
      <t>ダン</t>
    </rPh>
    <rPh sb="3" eb="5">
      <t>ホキョウ</t>
    </rPh>
    <rPh sb="5" eb="7">
      <t>テッキン</t>
    </rPh>
    <rPh sb="7" eb="8">
      <t>ヒ</t>
    </rPh>
    <phoneticPr fontId="3"/>
  </si>
  <si>
    <t>＝</t>
    <phoneticPr fontId="1"/>
  </si>
  <si>
    <r>
      <t>A</t>
    </r>
    <r>
      <rPr>
        <vertAlign val="subscript"/>
        <sz val="10"/>
        <rFont val="ＭＳ 明朝"/>
        <family val="1"/>
        <charset val="128"/>
      </rPr>
      <t>w</t>
    </r>
    <phoneticPr fontId="1"/>
  </si>
  <si>
    <r>
      <t>せん断補強鉄筋の総断面積（mm</t>
    </r>
    <r>
      <rPr>
        <vertAlign val="superscript"/>
        <sz val="10"/>
        <rFont val="ＭＳ 明朝"/>
        <family val="1"/>
        <charset val="128"/>
      </rPr>
      <t>2</t>
    </r>
    <r>
      <rPr>
        <sz val="10"/>
        <color theme="1"/>
        <rFont val="ＭＳ 明朝"/>
        <family val="1"/>
        <charset val="128"/>
      </rPr>
      <t>）</t>
    </r>
    <rPh sb="2" eb="5">
      <t>ダンホキョウ</t>
    </rPh>
    <rPh sb="5" eb="7">
      <t>テッキン</t>
    </rPh>
    <rPh sb="8" eb="12">
      <t>ソウダンメンセキ</t>
    </rPh>
    <rPh sb="12" eb="13">
      <t>メンセキ</t>
    </rPh>
    <phoneticPr fontId="3"/>
  </si>
  <si>
    <r>
      <t>b</t>
    </r>
    <r>
      <rPr>
        <vertAlign val="subscript"/>
        <sz val="10"/>
        <rFont val="ＭＳ 明朝"/>
        <family val="1"/>
        <charset val="128"/>
      </rPr>
      <t>w</t>
    </r>
    <phoneticPr fontId="1"/>
  </si>
  <si>
    <t>腹部の幅（mm）</t>
    <rPh sb="0" eb="2">
      <t>フクブ</t>
    </rPh>
    <rPh sb="3" eb="4">
      <t>ハバ</t>
    </rPh>
    <rPh sb="4" eb="5">
      <t>メンセキ</t>
    </rPh>
    <phoneticPr fontId="3"/>
  </si>
  <si>
    <r>
      <t>s</t>
    </r>
    <r>
      <rPr>
        <vertAlign val="subscript"/>
        <sz val="10"/>
        <rFont val="ＭＳ 明朝"/>
        <family val="1"/>
        <charset val="128"/>
      </rPr>
      <t>s</t>
    </r>
    <phoneticPr fontId="1"/>
  </si>
  <si>
    <t>せん断補強鉄筋の配置間隔（mm）</t>
    <rPh sb="2" eb="5">
      <t>ダンホキョウ</t>
    </rPh>
    <rPh sb="5" eb="7">
      <t>テッキン</t>
    </rPh>
    <rPh sb="8" eb="10">
      <t>ハイチ</t>
    </rPh>
    <rPh sb="10" eb="12">
      <t>カンカク</t>
    </rPh>
    <rPh sb="12" eb="13">
      <t>メンセキ</t>
    </rPh>
    <phoneticPr fontId="3"/>
  </si>
  <si>
    <r>
      <t>f</t>
    </r>
    <r>
      <rPr>
        <vertAlign val="subscript"/>
        <sz val="10"/>
        <rFont val="ＭＳ 明朝"/>
        <family val="1"/>
        <charset val="128"/>
      </rPr>
      <t>wyd</t>
    </r>
    <phoneticPr fontId="1"/>
  </si>
  <si>
    <t>せん断補強鉄筋の設計引張降伏強度</t>
    <rPh sb="2" eb="3">
      <t>ダン</t>
    </rPh>
    <rPh sb="3" eb="5">
      <t>ホキョウ</t>
    </rPh>
    <rPh sb="5" eb="7">
      <t>テッキン</t>
    </rPh>
    <rPh sb="8" eb="10">
      <t>セッケイ</t>
    </rPh>
    <rPh sb="10" eb="12">
      <t>ヒッパリ</t>
    </rPh>
    <rPh sb="12" eb="14">
      <t>コウフク</t>
    </rPh>
    <rPh sb="14" eb="16">
      <t>キョウド</t>
    </rPh>
    <phoneticPr fontId="1"/>
  </si>
  <si>
    <t>or</t>
    <phoneticPr fontId="1"/>
  </si>
  <si>
    <r>
      <t>N/mm</t>
    </r>
    <r>
      <rPr>
        <vertAlign val="superscript"/>
        <sz val="10.5"/>
        <color indexed="8"/>
        <rFont val="ＭＳ 明朝"/>
        <family val="1"/>
        <charset val="128"/>
      </rPr>
      <t>2</t>
    </r>
    <phoneticPr fontId="1"/>
  </si>
  <si>
    <r>
      <t>f'</t>
    </r>
    <r>
      <rPr>
        <vertAlign val="subscript"/>
        <sz val="10"/>
        <rFont val="ＭＳ 明朝"/>
        <family val="1"/>
        <charset val="128"/>
      </rPr>
      <t>cd</t>
    </r>
    <phoneticPr fontId="1"/>
  </si>
  <si>
    <r>
      <t>コンクリートの設計圧縮強度（N/mm</t>
    </r>
    <r>
      <rPr>
        <vertAlign val="superscript"/>
        <sz val="10"/>
        <rFont val="ＭＳ 明朝"/>
        <family val="1"/>
        <charset val="128"/>
      </rPr>
      <t>2</t>
    </r>
    <r>
      <rPr>
        <sz val="10"/>
        <color theme="1"/>
        <rFont val="ＭＳ 明朝"/>
        <family val="1"/>
        <charset val="128"/>
      </rPr>
      <t>）</t>
    </r>
    <rPh sb="7" eb="9">
      <t>セッケイ</t>
    </rPh>
    <rPh sb="9" eb="11">
      <t>アッシュク</t>
    </rPh>
    <rPh sb="11" eb="13">
      <t>キョウド</t>
    </rPh>
    <phoneticPr fontId="3"/>
  </si>
  <si>
    <r>
      <t>f'</t>
    </r>
    <r>
      <rPr>
        <vertAlign val="subscript"/>
        <sz val="10"/>
        <rFont val="ＭＳ 明朝"/>
        <family val="1"/>
        <charset val="128"/>
      </rPr>
      <t>ck</t>
    </r>
    <phoneticPr fontId="1"/>
  </si>
  <si>
    <r>
      <t>γ</t>
    </r>
    <r>
      <rPr>
        <vertAlign val="subscript"/>
        <sz val="10"/>
        <color indexed="8"/>
        <rFont val="ＭＳ 明朝"/>
        <family val="1"/>
        <charset val="128"/>
      </rPr>
      <t>c</t>
    </r>
    <phoneticPr fontId="1"/>
  </si>
  <si>
    <r>
      <t>コンクリートの設計基準強度（N/mm</t>
    </r>
    <r>
      <rPr>
        <vertAlign val="superscript"/>
        <sz val="10"/>
        <rFont val="ＭＳ 明朝"/>
        <family val="1"/>
        <charset val="128"/>
      </rPr>
      <t>2</t>
    </r>
    <r>
      <rPr>
        <sz val="10"/>
        <color theme="1"/>
        <rFont val="ＭＳ 明朝"/>
        <family val="1"/>
        <charset val="128"/>
      </rPr>
      <t>）</t>
    </r>
    <rPh sb="7" eb="9">
      <t>セッケイ</t>
    </rPh>
    <rPh sb="9" eb="11">
      <t>キジュン</t>
    </rPh>
    <rPh sb="11" eb="13">
      <t>キョウド</t>
    </rPh>
    <phoneticPr fontId="3"/>
  </si>
  <si>
    <t>コンクリートの材料係数</t>
    <rPh sb="7" eb="9">
      <t>ザイリョウ</t>
    </rPh>
    <rPh sb="9" eb="11">
      <t>ケイスウ</t>
    </rPh>
    <phoneticPr fontId="3"/>
  </si>
  <si>
    <t>(＝</t>
    <phoneticPr fontId="1"/>
  </si>
  <si>
    <t>)</t>
    <phoneticPr fontId="1"/>
  </si>
  <si>
    <t>25・f'cd</t>
    <phoneticPr fontId="3"/>
  </si>
  <si>
    <t>(1) 線路方向</t>
    <rPh sb="4" eb="6">
      <t>センロ</t>
    </rPh>
    <rPh sb="6" eb="8">
      <t>ホウコウ</t>
    </rPh>
    <phoneticPr fontId="3"/>
  </si>
  <si>
    <t>(2) 線路直角方向（上端）</t>
    <rPh sb="4" eb="6">
      <t>センロ</t>
    </rPh>
    <rPh sb="6" eb="8">
      <t>チョッカク</t>
    </rPh>
    <rPh sb="8" eb="10">
      <t>ホウコウ</t>
    </rPh>
    <rPh sb="11" eb="12">
      <t>ウエ</t>
    </rPh>
    <rPh sb="12" eb="13">
      <t>タン</t>
    </rPh>
    <phoneticPr fontId="3"/>
  </si>
  <si>
    <t>7) せん断補強鉄筋の配置【RC標準11.7.4】</t>
    <rPh sb="5" eb="6">
      <t>ダン</t>
    </rPh>
    <rPh sb="6" eb="8">
      <t>ホキョウ</t>
    </rPh>
    <rPh sb="8" eb="10">
      <t>テッキン</t>
    </rPh>
    <rPh sb="11" eb="13">
      <t>ハイチ</t>
    </rPh>
    <rPh sb="16" eb="18">
      <t>ヒョウジュン</t>
    </rPh>
    <phoneticPr fontId="3"/>
  </si>
  <si>
    <t>上側鉄筋</t>
    <rPh sb="0" eb="2">
      <t>ウワガワ</t>
    </rPh>
    <rPh sb="2" eb="4">
      <t>テッキン</t>
    </rPh>
    <phoneticPr fontId="3"/>
  </si>
  <si>
    <t>下側鉄筋</t>
    <rPh sb="0" eb="2">
      <t>シタガワ</t>
    </rPh>
    <rPh sb="2" eb="4">
      <t>テッキン</t>
    </rPh>
    <phoneticPr fontId="3"/>
  </si>
  <si>
    <t>10) 配力鉄筋及び圧縮鉄筋 【RC標準13.6.4】</t>
    <rPh sb="4" eb="5">
      <t>ハイ</t>
    </rPh>
    <rPh sb="5" eb="6">
      <t>リョク</t>
    </rPh>
    <rPh sb="6" eb="8">
      <t>テッキン</t>
    </rPh>
    <rPh sb="8" eb="9">
      <t>オヨ</t>
    </rPh>
    <rPh sb="10" eb="12">
      <t>アッシュク</t>
    </rPh>
    <rPh sb="12" eb="14">
      <t>テッキン</t>
    </rPh>
    <rPh sb="18" eb="20">
      <t>ヒョウジュン</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</si>
</sst>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76" formatCode="&quot;¥&quot;#,##0_);[Red]\(&quot;¥&quot;#,##0\)"/>
    <numFmt numFmtId="177" formatCode="&quot;¥&quot;#,##0.00_);[Red]\(&quot;¥&quot;#,##0.00\)"/>
    <numFmt numFmtId="178" formatCode="0.0"/>
    <numFmt numFmtId="179" formatCode="0.000"/>
    <numFmt numFmtId="180" formatCode="0.0000"/>
    <numFmt numFmtId="181" formatCode="0.00000"/>
    <numFmt numFmtId="182" formatCode="&quot;[&quot;0.0&quot;]&quot;"/>
    <numFmt numFmtId="183" formatCode="0.0_ "/>
    <numFmt numFmtId="184" formatCode="0.00_ "/>
    <numFmt numFmtId="185" formatCode="&quot;D&quot;0"/>
    <numFmt numFmtId="186" formatCode="&quot;D&quot;0&quot; ･&quot;"/>
    <numFmt numFmtId="187" formatCode="0.000E+00"/>
    <numFmt numFmtId="188" formatCode="0.0\ "/>
    <numFmt numFmtId="189" formatCode="&quot;(&quot;0.0&quot;)&quot;"/>
    <numFmt numFmtId="190" formatCode="&quot;D&quot;##"/>
    <numFmt numFmtId="191" formatCode="0.00\ "/>
    <numFmt numFmtId="192" formatCode="0_ "/>
    <numFmt numFmtId="193" formatCode="#\ ???/???"/>
    <numFmt numFmtId="194" formatCode="0_);[Red]\(0\)"/>
    <numFmt numFmtId="195" formatCode="&quot;D &quot;0"/>
    <numFmt numFmtId="196" formatCode="\c\t\c\ 0"/>
    <numFmt numFmtId="197" formatCode="&quot;SD&quot;##"/>
    <numFmt numFmtId="198" formatCode="&quot;w=&quot;0"/>
    <numFmt numFmtId="199" formatCode="0.0&quot;組&quot;"/>
    <numFmt numFmtId="203" formatCode="&quot;SD&quot;0"/>
    <numFmt numFmtId="205" formatCode="0.000%"/>
    <numFmt numFmtId="206" formatCode="&quot;( &quot;0&quot; / &quot;"/>
  </numFmts>
  <fonts count="44" x14ac:knownFonts="1">
    <font>
      <sz val="10"/>
      <name val="ＭＳ 明朝"/>
      <family val="1"/>
      <charset val="128"/>
    </font>
    <font>
      <sz val="11"/>
      <name val="ＭＳ Ｐゴシック"/>
      <family val="3"/>
      <charset val="128"/>
    </font>
    <font>
      <sz val="10.5"/>
      <name val="ＭＳ 明朝"/>
      <family val="1"/>
      <charset val="128"/>
    </font>
    <font>
      <sz val="6"/>
      <name val="ＭＳ 明朝"/>
      <family val="1"/>
      <charset val="128"/>
    </font>
    <font>
      <sz val="10"/>
      <name val="ＭＳ 明朝"/>
      <family val="1"/>
      <charset val="128"/>
    </font>
    <font>
      <vertAlign val="superscript"/>
      <sz val="10"/>
      <name val="ＭＳ 明朝"/>
      <family val="1"/>
      <charset val="128"/>
    </font>
    <font>
      <b/>
      <sz val="8"/>
      <color indexed="10"/>
      <name val="ＭＳ Ｐゴシック"/>
      <family val="3"/>
      <charset val="128"/>
    </font>
    <font>
      <sz val="9"/>
      <name val="ＭＳ 明朝"/>
      <family val="1"/>
      <charset val="128"/>
    </font>
    <font>
      <sz val="10.5"/>
      <color indexed="10"/>
      <name val="ＭＳ 明朝"/>
      <family val="1"/>
      <charset val="128"/>
    </font>
    <font>
      <sz val="10"/>
      <name val="ＭＳ ゴシック"/>
      <family val="3"/>
      <charset val="128"/>
    </font>
    <font>
      <b/>
      <sz val="10"/>
      <name val="ＭＳ 明朝"/>
      <family val="1"/>
      <charset val="128"/>
    </font>
    <font>
      <sz val="8"/>
      <name val="ＭＳ 明朝"/>
      <family val="1"/>
      <charset val="128"/>
    </font>
    <font>
      <sz val="10"/>
      <color indexed="10"/>
      <name val="ＭＳ 明朝"/>
      <family val="1"/>
      <charset val="128"/>
    </font>
    <font>
      <sz val="11"/>
      <name val="ＭＳ ゴシック"/>
      <family val="3"/>
      <charset val="128"/>
    </font>
    <font>
      <sz val="6"/>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0"/>
      <color indexed="12"/>
      <name val="ＭＳ 明朝"/>
      <family val="1"/>
      <charset val="128"/>
    </font>
    <font>
      <sz val="10"/>
      <color theme="1"/>
      <name val="ＭＳ 明朝"/>
      <family val="1"/>
      <charset val="128"/>
    </font>
    <font>
      <sz val="10"/>
      <color indexed="8"/>
      <name val="ＭＳ 明朝"/>
      <family val="1"/>
      <charset val="128"/>
    </font>
    <font>
      <vertAlign val="subscript"/>
      <sz val="10"/>
      <name val="ＭＳ 明朝"/>
      <family val="1"/>
      <charset val="128"/>
    </font>
    <font>
      <sz val="6"/>
      <name val="游ゴシック"/>
      <family val="2"/>
      <charset val="128"/>
      <scheme val="minor"/>
    </font>
    <font>
      <b/>
      <sz val="10"/>
      <color rgb="FF000000"/>
      <name val="ＭＳ 明朝"/>
      <family val="1"/>
      <charset val="128"/>
    </font>
    <font>
      <sz val="10"/>
      <color rgb="FF0000FF"/>
      <name val="ＭＳ 明朝"/>
      <family val="1"/>
      <charset val="128"/>
    </font>
    <font>
      <vertAlign val="subscript"/>
      <sz val="10.5"/>
      <name val="ＭＳ 明朝"/>
      <family val="1"/>
      <charset val="128"/>
    </font>
    <font>
      <sz val="10.5"/>
      <color indexed="8"/>
      <name val="ＭＳ 明朝"/>
      <family val="1"/>
      <charset val="128"/>
    </font>
    <font>
      <vertAlign val="superscript"/>
      <sz val="10.5"/>
      <color indexed="8"/>
      <name val="ＭＳ 明朝"/>
      <family val="1"/>
      <charset val="128"/>
    </font>
    <font>
      <vertAlign val="subscript"/>
      <sz val="10"/>
      <color indexed="8"/>
      <name val="ＭＳ 明朝"/>
      <family val="1"/>
      <charset val="128"/>
    </font>
    <font>
      <b/>
      <sz val="10"/>
      <color theme="1"/>
      <name val="ＭＳ 明朝"/>
      <family val="1"/>
      <charset val="128"/>
    </font>
  </fonts>
  <fills count="2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1"/>
        <bgColor indexed="64"/>
      </patternFill>
    </fill>
    <fill>
      <patternFill patternType="solid">
        <fgColor rgb="FFCCFFFF"/>
        <bgColor indexed="64"/>
      </patternFill>
    </fill>
    <fill>
      <patternFill patternType="solid">
        <fgColor rgb="FFFFFF00"/>
        <bgColor indexed="64"/>
      </patternFill>
    </fill>
  </fills>
  <borders count="6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hair">
        <color indexed="64"/>
      </top>
      <bottom style="hair">
        <color indexed="64"/>
      </bottom>
      <diagonal/>
    </border>
    <border>
      <left/>
      <right/>
      <top style="hair">
        <color indexed="64"/>
      </top>
      <bottom style="thin">
        <color indexed="64"/>
      </bottom>
      <diagonal/>
    </border>
    <border>
      <left/>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style="thin">
        <color indexed="64"/>
      </top>
      <bottom style="hair">
        <color indexed="64"/>
      </bottom>
      <diagonal/>
    </border>
    <border>
      <left/>
      <right style="hair">
        <color indexed="64"/>
      </right>
      <top/>
      <bottom style="hair">
        <color indexed="64"/>
      </bottom>
      <diagonal/>
    </border>
    <border>
      <left style="hair">
        <color indexed="64"/>
      </left>
      <right/>
      <top style="hair">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top style="thin">
        <color auto="1"/>
      </top>
      <bottom style="double">
        <color auto="1"/>
      </bottom>
      <diagonal/>
    </border>
    <border>
      <left/>
      <right/>
      <top style="double">
        <color auto="1"/>
      </top>
      <bottom/>
      <diagonal/>
    </border>
    <border>
      <left style="thin">
        <color auto="1"/>
      </left>
      <right style="thin">
        <color auto="1"/>
      </right>
      <top style="thin">
        <color auto="1"/>
      </top>
      <bottom style="thin">
        <color indexed="64"/>
      </bottom>
      <diagonal/>
    </border>
    <border>
      <left style="thin">
        <color auto="1"/>
      </left>
      <right/>
      <top style="thin">
        <color auto="1"/>
      </top>
      <bottom style="double">
        <color auto="1"/>
      </bottom>
      <diagonal/>
    </border>
    <border>
      <left/>
      <right style="thin">
        <color auto="1"/>
      </right>
      <top style="thin">
        <color auto="1"/>
      </top>
      <bottom style="double">
        <color auto="1"/>
      </bottom>
      <diagonal/>
    </border>
    <border>
      <left style="thin">
        <color auto="1"/>
      </left>
      <right/>
      <top style="double">
        <color auto="1"/>
      </top>
      <bottom/>
      <diagonal/>
    </border>
    <border>
      <left/>
      <right style="thin">
        <color auto="1"/>
      </right>
      <top style="double">
        <color auto="1"/>
      </top>
      <bottom/>
      <diagonal/>
    </border>
  </borders>
  <cellStyleXfs count="47">
    <xf numFmtId="0" fontId="0" fillId="0" borderId="0">
      <alignment vertical="center"/>
    </xf>
    <xf numFmtId="0" fontId="15" fillId="2" borderId="0" applyNumberFormat="0" applyBorder="0" applyAlignment="0" applyProtection="0">
      <alignment vertical="center"/>
    </xf>
    <xf numFmtId="0" fontId="15" fillId="3" borderId="0" applyNumberFormat="0" applyBorder="0" applyAlignment="0" applyProtection="0">
      <alignment vertical="center"/>
    </xf>
    <xf numFmtId="0" fontId="15" fillId="4" borderId="0" applyNumberFormat="0" applyBorder="0" applyAlignment="0" applyProtection="0">
      <alignment vertical="center"/>
    </xf>
    <xf numFmtId="0" fontId="15" fillId="5" borderId="0" applyNumberFormat="0" applyBorder="0" applyAlignment="0" applyProtection="0">
      <alignment vertical="center"/>
    </xf>
    <xf numFmtId="0" fontId="15" fillId="6" borderId="0" applyNumberFormat="0" applyBorder="0" applyAlignment="0" applyProtection="0">
      <alignment vertical="center"/>
    </xf>
    <xf numFmtId="0" fontId="15" fillId="7" borderId="0" applyNumberFormat="0" applyBorder="0" applyAlignment="0" applyProtection="0">
      <alignment vertical="center"/>
    </xf>
    <xf numFmtId="0" fontId="15" fillId="8" borderId="0" applyNumberFormat="0" applyBorder="0" applyAlignment="0" applyProtection="0">
      <alignment vertical="center"/>
    </xf>
    <xf numFmtId="0" fontId="15" fillId="9" borderId="0" applyNumberFormat="0" applyBorder="0" applyAlignment="0" applyProtection="0">
      <alignment vertical="center"/>
    </xf>
    <xf numFmtId="0" fontId="15" fillId="10" borderId="0" applyNumberFormat="0" applyBorder="0" applyAlignment="0" applyProtection="0">
      <alignment vertical="center"/>
    </xf>
    <xf numFmtId="0" fontId="15" fillId="5" borderId="0" applyNumberFormat="0" applyBorder="0" applyAlignment="0" applyProtection="0">
      <alignment vertical="center"/>
    </xf>
    <xf numFmtId="0" fontId="15" fillId="8" borderId="0" applyNumberFormat="0" applyBorder="0" applyAlignment="0" applyProtection="0">
      <alignment vertical="center"/>
    </xf>
    <xf numFmtId="0" fontId="15" fillId="11" borderId="0" applyNumberFormat="0" applyBorder="0" applyAlignment="0" applyProtection="0">
      <alignment vertical="center"/>
    </xf>
    <xf numFmtId="0" fontId="16" fillId="12" borderId="0" applyNumberFormat="0" applyBorder="0" applyAlignment="0" applyProtection="0">
      <alignment vertical="center"/>
    </xf>
    <xf numFmtId="0" fontId="16" fillId="9" borderId="0" applyNumberFormat="0" applyBorder="0" applyAlignment="0" applyProtection="0">
      <alignment vertical="center"/>
    </xf>
    <xf numFmtId="0" fontId="16" fillId="10"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5" borderId="0" applyNumberFormat="0" applyBorder="0" applyAlignment="0" applyProtection="0">
      <alignment vertical="center"/>
    </xf>
    <xf numFmtId="0" fontId="16" fillId="16" borderId="0" applyNumberFormat="0" applyBorder="0" applyAlignment="0" applyProtection="0">
      <alignment vertical="center"/>
    </xf>
    <xf numFmtId="0" fontId="16" fillId="17" borderId="0" applyNumberFormat="0" applyBorder="0" applyAlignment="0" applyProtection="0">
      <alignment vertical="center"/>
    </xf>
    <xf numFmtId="0" fontId="16" fillId="18"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9" borderId="0" applyNumberFormat="0" applyBorder="0" applyAlignment="0" applyProtection="0">
      <alignment vertical="center"/>
    </xf>
    <xf numFmtId="0" fontId="17" fillId="0" borderId="0" applyNumberFormat="0" applyFill="0" applyBorder="0" applyAlignment="0" applyProtection="0">
      <alignment vertical="center"/>
    </xf>
    <xf numFmtId="0" fontId="18" fillId="20" borderId="1" applyNumberFormat="0" applyAlignment="0" applyProtection="0">
      <alignment vertical="center"/>
    </xf>
    <xf numFmtId="0" fontId="19" fillId="21" borderId="0" applyNumberFormat="0" applyBorder="0" applyAlignment="0" applyProtection="0">
      <alignment vertical="center"/>
    </xf>
    <xf numFmtId="0" fontId="4" fillId="22" borderId="2" applyNumberFormat="0" applyFont="0" applyAlignment="0" applyProtection="0">
      <alignment vertical="center"/>
    </xf>
    <xf numFmtId="0" fontId="20" fillId="0" borderId="3" applyNumberFormat="0" applyFill="0" applyAlignment="0" applyProtection="0">
      <alignment vertical="center"/>
    </xf>
    <xf numFmtId="0" fontId="21" fillId="3" borderId="0" applyNumberFormat="0" applyBorder="0" applyAlignment="0" applyProtection="0">
      <alignment vertical="center"/>
    </xf>
    <xf numFmtId="0" fontId="22" fillId="23" borderId="4" applyNumberFormat="0" applyAlignment="0" applyProtection="0">
      <alignment vertical="center"/>
    </xf>
    <xf numFmtId="0" fontId="23" fillId="0" borderId="0" applyNumberFormat="0" applyFill="0" applyBorder="0" applyAlignment="0" applyProtection="0">
      <alignment vertical="center"/>
    </xf>
    <xf numFmtId="0" fontId="24" fillId="0" borderId="5"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0" borderId="8" applyNumberFormat="0" applyFill="0" applyAlignment="0" applyProtection="0">
      <alignment vertical="center"/>
    </xf>
    <xf numFmtId="0" fontId="28" fillId="23" borderId="9" applyNumberFormat="0" applyAlignment="0" applyProtection="0">
      <alignment vertical="center"/>
    </xf>
    <xf numFmtId="0" fontId="29" fillId="0" borderId="0" applyNumberFormat="0" applyFill="0" applyBorder="0" applyAlignment="0" applyProtection="0">
      <alignment vertical="center"/>
    </xf>
    <xf numFmtId="0" fontId="30" fillId="7" borderId="4" applyNumberFormat="0" applyAlignment="0" applyProtection="0">
      <alignment vertical="center"/>
    </xf>
    <xf numFmtId="0" fontId="31" fillId="4" borderId="0" applyNumberFormat="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cellStyleXfs>
  <cellXfs count="429">
    <xf numFmtId="0" fontId="0" fillId="0" borderId="0" xfId="0">
      <alignment vertical="center"/>
    </xf>
    <xf numFmtId="1" fontId="0" fillId="0" borderId="0" xfId="0" applyNumberFormat="1" applyAlignment="1" applyProtection="1">
      <alignment vertical="top"/>
      <protection hidden="1"/>
    </xf>
    <xf numFmtId="0" fontId="0" fillId="0" borderId="0" xfId="0" applyProtection="1">
      <alignment vertical="center"/>
      <protection hidden="1"/>
    </xf>
    <xf numFmtId="0" fontId="0" fillId="0" borderId="0" xfId="0" applyAlignment="1" applyProtection="1">
      <alignment horizontal="left" vertical="center"/>
      <protection hidden="1"/>
    </xf>
    <xf numFmtId="2" fontId="0" fillId="0" borderId="0" xfId="0" applyNumberFormat="1" applyAlignment="1" applyProtection="1">
      <alignment horizontal="left" vertical="center"/>
      <protection hidden="1"/>
    </xf>
    <xf numFmtId="0" fontId="0" fillId="0" borderId="0" xfId="0" quotePrefix="1" applyAlignment="1" applyProtection="1">
      <alignment horizontal="left" vertical="center"/>
      <protection hidden="1"/>
    </xf>
    <xf numFmtId="0" fontId="0" fillId="0" borderId="0" xfId="0" quotePrefix="1" applyAlignment="1" applyProtection="1">
      <alignment horizontal="center" vertical="center"/>
      <protection hidden="1"/>
    </xf>
    <xf numFmtId="0" fontId="0" fillId="0" borderId="0" xfId="0" applyAlignment="1" applyProtection="1">
      <alignment horizontal="center" vertical="center"/>
      <protection hidden="1"/>
    </xf>
    <xf numFmtId="178" fontId="0" fillId="0" borderId="0" xfId="0" applyNumberFormat="1" applyProtection="1">
      <alignment vertical="center"/>
      <protection hidden="1"/>
    </xf>
    <xf numFmtId="0" fontId="0" fillId="0" borderId="0" xfId="0" applyAlignment="1" applyProtection="1">
      <alignment horizontal="right" vertical="center" shrinkToFit="1"/>
      <protection hidden="1"/>
    </xf>
    <xf numFmtId="0" fontId="0" fillId="0" borderId="0" xfId="0" quotePrefix="1" applyAlignment="1" applyProtection="1">
      <alignment horizontal="right" vertical="center"/>
      <protection hidden="1"/>
    </xf>
    <xf numFmtId="0" fontId="0" fillId="0" borderId="0" xfId="0" applyAlignment="1" applyProtection="1">
      <alignment horizontal="left" vertical="center" shrinkToFit="1"/>
      <protection hidden="1"/>
    </xf>
    <xf numFmtId="0" fontId="0" fillId="0" borderId="0" xfId="0" quotePrefix="1" applyAlignment="1" applyProtection="1">
      <alignment horizontal="right" vertical="center" shrinkToFit="1"/>
      <protection hidden="1"/>
    </xf>
    <xf numFmtId="178" fontId="0" fillId="0" borderId="0" xfId="0" applyNumberFormat="1" applyAlignment="1" applyProtection="1">
      <alignment horizontal="right" vertical="center" shrinkToFit="1"/>
      <protection hidden="1"/>
    </xf>
    <xf numFmtId="178" fontId="0" fillId="0" borderId="0" xfId="0" quotePrefix="1" applyNumberFormat="1" applyAlignment="1" applyProtection="1">
      <alignment horizontal="left" vertical="center" shrinkToFit="1"/>
      <protection hidden="1"/>
    </xf>
    <xf numFmtId="185" fontId="0" fillId="0" borderId="0" xfId="0" applyNumberFormat="1" applyAlignment="1" applyProtection="1">
      <alignment horizontal="left" vertical="center"/>
      <protection hidden="1"/>
    </xf>
    <xf numFmtId="179" fontId="0" fillId="0" borderId="0" xfId="0" applyNumberFormat="1" applyAlignment="1" applyProtection="1">
      <alignment horizontal="center" vertical="center" shrinkToFit="1"/>
      <protection hidden="1"/>
    </xf>
    <xf numFmtId="0" fontId="0" fillId="0" borderId="0" xfId="0" quotePrefix="1" applyAlignment="1" applyProtection="1">
      <alignment vertical="center" shrinkToFit="1"/>
      <protection hidden="1"/>
    </xf>
    <xf numFmtId="0" fontId="4" fillId="0" borderId="0" xfId="0" quotePrefix="1" applyFont="1" applyAlignment="1" applyProtection="1">
      <alignment horizontal="left" vertical="center"/>
      <protection hidden="1"/>
    </xf>
    <xf numFmtId="0" fontId="4" fillId="0" borderId="0" xfId="0" applyFont="1" applyAlignment="1" applyProtection="1">
      <alignment horizontal="center" vertical="center"/>
      <protection hidden="1"/>
    </xf>
    <xf numFmtId="179" fontId="4" fillId="0" borderId="0" xfId="0" applyNumberFormat="1" applyFont="1" applyProtection="1">
      <alignment vertical="center"/>
      <protection hidden="1"/>
    </xf>
    <xf numFmtId="0" fontId="4" fillId="0" borderId="0" xfId="0" applyFont="1" applyProtection="1">
      <alignment vertical="center"/>
      <protection hidden="1"/>
    </xf>
    <xf numFmtId="0" fontId="4" fillId="0" borderId="0" xfId="0" applyFont="1" applyAlignment="1" applyProtection="1">
      <alignment horizontal="right"/>
      <protection hidden="1"/>
    </xf>
    <xf numFmtId="0" fontId="4" fillId="0" borderId="0" xfId="0" applyFont="1" applyAlignment="1" applyProtection="1">
      <alignment horizontal="center"/>
      <protection hidden="1"/>
    </xf>
    <xf numFmtId="2" fontId="4" fillId="0" borderId="0" xfId="0" applyNumberFormat="1" applyFont="1" applyAlignment="1" applyProtection="1">
      <alignment horizontal="center"/>
      <protection hidden="1"/>
    </xf>
    <xf numFmtId="178" fontId="4" fillId="0" borderId="0" xfId="0" applyNumberFormat="1" applyFont="1" applyProtection="1">
      <alignment vertical="center"/>
      <protection hidden="1"/>
    </xf>
    <xf numFmtId="0" fontId="9" fillId="0" borderId="0" xfId="0" applyFont="1">
      <alignment vertical="center"/>
    </xf>
    <xf numFmtId="0" fontId="4" fillId="0" borderId="0" xfId="0" applyFont="1">
      <alignment vertical="center"/>
    </xf>
    <xf numFmtId="184" fontId="4" fillId="0" borderId="0" xfId="0" applyNumberFormat="1" applyFont="1">
      <alignment vertical="center"/>
    </xf>
    <xf numFmtId="0" fontId="4" fillId="0" borderId="0" xfId="0" quotePrefix="1" applyFont="1">
      <alignment vertical="center"/>
    </xf>
    <xf numFmtId="178" fontId="0" fillId="0" borderId="0" xfId="0" applyNumberFormat="1" applyAlignment="1" applyProtection="1">
      <alignment vertical="center" shrinkToFit="1"/>
      <protection hidden="1"/>
    </xf>
    <xf numFmtId="0" fontId="4"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right" vertical="center"/>
    </xf>
    <xf numFmtId="0" fontId="4" fillId="0" borderId="0" xfId="0" applyFont="1" applyAlignment="1">
      <alignment vertical="top"/>
    </xf>
    <xf numFmtId="184" fontId="0" fillId="0" borderId="0" xfId="0" applyNumberFormat="1" applyAlignment="1">
      <alignment horizontal="center" vertical="center"/>
    </xf>
    <xf numFmtId="0" fontId="4" fillId="0" borderId="0" xfId="0" quotePrefix="1" applyFont="1" applyAlignment="1">
      <alignment horizontal="center" vertical="center"/>
    </xf>
    <xf numFmtId="0" fontId="5" fillId="0" borderId="0" xfId="0" quotePrefix="1" applyFont="1">
      <alignment vertical="center"/>
    </xf>
    <xf numFmtId="0" fontId="0" fillId="0" borderId="0" xfId="0" applyAlignment="1">
      <alignment vertical="top"/>
    </xf>
    <xf numFmtId="0" fontId="4" fillId="0" borderId="0" xfId="0" applyFont="1" applyAlignment="1">
      <alignment horizontal="right" vertical="center"/>
    </xf>
    <xf numFmtId="0" fontId="4" fillId="0" borderId="0" xfId="0" quotePrefix="1" applyFont="1" applyAlignment="1">
      <alignment vertical="top"/>
    </xf>
    <xf numFmtId="11" fontId="4" fillId="0" borderId="0" xfId="0" applyNumberFormat="1" applyFont="1">
      <alignment vertical="center"/>
    </xf>
    <xf numFmtId="20" fontId="0" fillId="0" borderId="0" xfId="0" applyNumberFormat="1">
      <alignment vertical="center"/>
    </xf>
    <xf numFmtId="184" fontId="0" fillId="0" borderId="0" xfId="0" applyNumberFormat="1">
      <alignment vertical="center"/>
    </xf>
    <xf numFmtId="183" fontId="4" fillId="0" borderId="0" xfId="0" applyNumberFormat="1" applyFont="1">
      <alignment vertical="center"/>
    </xf>
    <xf numFmtId="0" fontId="0" fillId="0" borderId="0" xfId="0" quotePrefix="1">
      <alignment vertical="center"/>
    </xf>
    <xf numFmtId="184" fontId="4" fillId="0" borderId="0" xfId="0" applyNumberFormat="1" applyFont="1" applyAlignment="1">
      <alignment horizontal="center" vertical="center"/>
    </xf>
    <xf numFmtId="20" fontId="4" fillId="0" borderId="0" xfId="0" applyNumberFormat="1" applyFont="1">
      <alignment vertical="center"/>
    </xf>
    <xf numFmtId="0" fontId="13" fillId="0" borderId="0" xfId="0" applyFont="1">
      <alignment vertical="center"/>
    </xf>
    <xf numFmtId="0" fontId="10" fillId="0" borderId="0" xfId="0" applyFont="1">
      <alignment vertical="center"/>
    </xf>
    <xf numFmtId="0" fontId="4" fillId="0" borderId="0" xfId="0" applyFont="1" applyAlignment="1">
      <alignment horizontal="center" vertical="top"/>
    </xf>
    <xf numFmtId="178" fontId="4" fillId="0" borderId="0" xfId="0" applyNumberFormat="1" applyFont="1">
      <alignment vertical="center"/>
    </xf>
    <xf numFmtId="178" fontId="4" fillId="0" borderId="0" xfId="0" applyNumberFormat="1" applyFont="1" applyAlignment="1">
      <alignment horizontal="right" vertical="center"/>
    </xf>
    <xf numFmtId="178" fontId="4" fillId="0" borderId="0" xfId="0" applyNumberFormat="1" applyFont="1" applyAlignment="1">
      <alignment horizontal="center" vertical="center"/>
    </xf>
    <xf numFmtId="2" fontId="4" fillId="0" borderId="0" xfId="0" applyNumberFormat="1" applyFont="1" applyAlignment="1">
      <alignment horizontal="center" vertical="center"/>
    </xf>
    <xf numFmtId="0" fontId="0" fillId="0" borderId="0" xfId="0" quotePrefix="1" applyAlignment="1">
      <alignment horizontal="center" vertical="center"/>
    </xf>
    <xf numFmtId="0" fontId="4" fillId="0" borderId="0" xfId="0" applyFont="1" applyAlignment="1">
      <alignment horizontal="left" vertical="center"/>
    </xf>
    <xf numFmtId="0" fontId="7" fillId="0" borderId="0" xfId="0" applyFont="1" applyAlignment="1">
      <alignment horizontal="center" vertical="center"/>
    </xf>
    <xf numFmtId="187" fontId="4" fillId="0" borderId="0" xfId="0" applyNumberFormat="1" applyFont="1" applyAlignment="1">
      <alignment horizontal="right" vertical="center"/>
    </xf>
    <xf numFmtId="0" fontId="4" fillId="0" borderId="10"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179" fontId="4" fillId="0" borderId="0" xfId="0" applyNumberFormat="1" applyFont="1" applyAlignment="1">
      <alignment horizontal="center" vertical="center"/>
    </xf>
    <xf numFmtId="191" fontId="4" fillId="0" borderId="0" xfId="0" applyNumberFormat="1" applyFont="1">
      <alignment vertical="center"/>
    </xf>
    <xf numFmtId="0" fontId="4" fillId="0" borderId="0" xfId="0" applyFont="1" applyAlignment="1">
      <alignment horizontal="left" vertical="top"/>
    </xf>
    <xf numFmtId="0" fontId="4" fillId="0" borderId="0" xfId="0" quotePrefix="1" applyFont="1" applyAlignment="1">
      <alignment horizontal="left" vertical="center"/>
    </xf>
    <xf numFmtId="181" fontId="4" fillId="0" borderId="0" xfId="0" applyNumberFormat="1" applyFont="1" applyAlignment="1">
      <alignment horizontal="center" vertical="center"/>
    </xf>
    <xf numFmtId="185" fontId="4" fillId="0" borderId="0" xfId="0" applyNumberFormat="1" applyFont="1" applyAlignment="1">
      <alignment horizontal="center" vertical="center"/>
    </xf>
    <xf numFmtId="1" fontId="4" fillId="0" borderId="0" xfId="0" applyNumberFormat="1" applyFont="1" applyAlignment="1">
      <alignment horizontal="center" vertical="center"/>
    </xf>
    <xf numFmtId="190" fontId="4" fillId="0" borderId="0" xfId="0" applyNumberFormat="1" applyFont="1" applyAlignment="1">
      <alignment horizontal="center" vertical="center"/>
    </xf>
    <xf numFmtId="0" fontId="0" fillId="0" borderId="0" xfId="0" applyAlignment="1">
      <alignment horizontal="left" vertical="center"/>
    </xf>
    <xf numFmtId="178" fontId="0" fillId="0" borderId="0" xfId="0" applyNumberFormat="1" applyAlignment="1">
      <alignment horizontal="center" vertical="center"/>
    </xf>
    <xf numFmtId="0" fontId="0" fillId="0" borderId="35" xfId="0" applyBorder="1" applyAlignment="1">
      <alignment horizontal="center" vertical="center"/>
    </xf>
    <xf numFmtId="0" fontId="0" fillId="0" borderId="36" xfId="0" applyBorder="1">
      <alignment vertical="center"/>
    </xf>
    <xf numFmtId="0" fontId="0" fillId="0" borderId="37" xfId="0" applyBorder="1">
      <alignment vertical="center"/>
    </xf>
    <xf numFmtId="178" fontId="0" fillId="0" borderId="35" xfId="0" applyNumberFormat="1" applyBorder="1" applyAlignment="1">
      <alignment horizontal="center" vertical="center"/>
    </xf>
    <xf numFmtId="0" fontId="0" fillId="0" borderId="52" xfId="0" applyBorder="1">
      <alignment vertical="center"/>
    </xf>
    <xf numFmtId="0" fontId="0" fillId="0" borderId="44" xfId="0" applyBorder="1">
      <alignment vertical="center"/>
    </xf>
    <xf numFmtId="0" fontId="5" fillId="0" borderId="0" xfId="0" applyFont="1" applyAlignment="1">
      <alignment horizontal="left" vertical="center"/>
    </xf>
    <xf numFmtId="0" fontId="4" fillId="0" borderId="53" xfId="0" applyFont="1" applyBorder="1">
      <alignment vertical="center"/>
    </xf>
    <xf numFmtId="0" fontId="4" fillId="25" borderId="0" xfId="0" applyFont="1" applyFill="1" applyAlignment="1">
      <alignment horizontal="center" vertical="center"/>
    </xf>
    <xf numFmtId="0" fontId="0" fillId="0" borderId="0" xfId="0" applyAlignment="1">
      <alignment vertical="center" shrinkToFit="1"/>
    </xf>
    <xf numFmtId="12" fontId="4" fillId="0" borderId="0" xfId="0" applyNumberFormat="1" applyFont="1" applyAlignment="1">
      <alignment horizontal="left" vertical="top" shrinkToFit="1"/>
    </xf>
    <xf numFmtId="0" fontId="5" fillId="0" borderId="0" xfId="0" applyFont="1" applyAlignment="1">
      <alignment horizontal="left" vertical="top"/>
    </xf>
    <xf numFmtId="0" fontId="4" fillId="0" borderId="57" xfId="0" applyFont="1" applyBorder="1" applyAlignment="1">
      <alignment horizontal="center" vertical="center"/>
    </xf>
    <xf numFmtId="0" fontId="0" fillId="0" borderId="57" xfId="0" applyBorder="1">
      <alignment vertical="center"/>
    </xf>
    <xf numFmtId="0" fontId="0" fillId="0" borderId="57" xfId="0" applyBorder="1" applyAlignment="1">
      <alignment vertical="center" shrinkToFit="1"/>
    </xf>
    <xf numFmtId="0" fontId="5" fillId="0" borderId="57" xfId="0" applyFont="1" applyBorder="1" applyAlignment="1">
      <alignment horizontal="left" vertical="center"/>
    </xf>
    <xf numFmtId="0" fontId="4" fillId="0" borderId="57" xfId="0" applyFont="1" applyBorder="1">
      <alignment vertical="center"/>
    </xf>
    <xf numFmtId="0" fontId="4" fillId="0" borderId="59" xfId="0" applyFont="1" applyBorder="1">
      <alignment vertical="center"/>
    </xf>
    <xf numFmtId="0" fontId="0" fillId="0" borderId="59" xfId="0" applyBorder="1">
      <alignment vertical="center"/>
    </xf>
    <xf numFmtId="0" fontId="4" fillId="26" borderId="0" xfId="0" applyFont="1" applyFill="1">
      <alignment vertical="center"/>
    </xf>
    <xf numFmtId="0" fontId="4" fillId="0" borderId="57" xfId="0" quotePrefix="1" applyFont="1" applyBorder="1" applyAlignment="1">
      <alignment vertical="top"/>
    </xf>
    <xf numFmtId="0" fontId="33" fillId="0" borderId="0" xfId="0" applyFont="1" applyAlignment="1">
      <alignment horizontal="left" vertical="center"/>
    </xf>
    <xf numFmtId="0" fontId="33" fillId="0" borderId="0" xfId="0" applyFont="1" applyAlignment="1">
      <alignment horizontal="center" vertical="center"/>
    </xf>
    <xf numFmtId="0" fontId="34" fillId="0" borderId="0" xfId="0" applyFont="1">
      <alignment vertical="center"/>
    </xf>
    <xf numFmtId="1" fontId="32" fillId="0" borderId="0" xfId="0" applyNumberFormat="1" applyFont="1" applyAlignment="1">
      <alignment horizontal="center" vertical="center"/>
    </xf>
    <xf numFmtId="0" fontId="33" fillId="0" borderId="0" xfId="0" quotePrefix="1" applyFont="1" applyAlignment="1">
      <alignment horizontal="center" vertical="center"/>
    </xf>
    <xf numFmtId="178" fontId="33" fillId="0" borderId="0" xfId="0" applyNumberFormat="1" applyFont="1" applyAlignment="1">
      <alignment horizontal="center" vertical="center"/>
    </xf>
    <xf numFmtId="178" fontId="32" fillId="0" borderId="0" xfId="0" applyNumberFormat="1" applyFont="1" applyAlignment="1">
      <alignment horizontal="center" vertical="center"/>
    </xf>
    <xf numFmtId="178" fontId="12" fillId="0" borderId="0" xfId="0" applyNumberFormat="1" applyFont="1" applyAlignment="1">
      <alignment horizontal="center" vertical="center"/>
    </xf>
    <xf numFmtId="0" fontId="33" fillId="0" borderId="0" xfId="0" quotePrefix="1" applyFont="1" applyAlignment="1">
      <alignment horizontal="right" vertical="center"/>
    </xf>
    <xf numFmtId="0" fontId="33" fillId="0" borderId="0" xfId="0" applyFont="1" applyAlignment="1">
      <alignment horizontal="right" vertical="center"/>
    </xf>
    <xf numFmtId="2" fontId="12" fillId="0" borderId="0" xfId="0" applyNumberFormat="1" applyFont="1">
      <alignment vertical="center"/>
    </xf>
    <xf numFmtId="0" fontId="33" fillId="0" borderId="0" xfId="0" applyFont="1">
      <alignment vertical="center"/>
    </xf>
    <xf numFmtId="195" fontId="32" fillId="0" borderId="0" xfId="0" applyNumberFormat="1" applyFont="1" applyAlignment="1">
      <alignment horizontal="center" vertical="center"/>
    </xf>
    <xf numFmtId="0" fontId="34" fillId="0" borderId="0" xfId="0" applyFont="1" applyAlignment="1">
      <alignment horizontal="center" vertical="center"/>
    </xf>
    <xf numFmtId="196" fontId="32" fillId="0" borderId="0" xfId="0" applyNumberFormat="1" applyFont="1" applyAlignment="1">
      <alignment horizontal="center" vertical="center"/>
    </xf>
    <xf numFmtId="0" fontId="33" fillId="0" borderId="0" xfId="0" quotePrefix="1" applyFont="1" applyAlignment="1">
      <alignment horizontal="left" vertical="center"/>
    </xf>
    <xf numFmtId="0" fontId="33" fillId="0" borderId="0" xfId="0" quotePrefix="1" applyFont="1" applyAlignment="1">
      <alignment horizontal="center" vertical="center" shrinkToFit="1"/>
    </xf>
    <xf numFmtId="0" fontId="33" fillId="0" borderId="0" xfId="0" applyFont="1" applyAlignment="1">
      <alignment horizontal="center" vertical="center" shrinkToFit="1"/>
    </xf>
    <xf numFmtId="0" fontId="33" fillId="0" borderId="60" xfId="0" applyFont="1" applyBorder="1">
      <alignment vertical="center"/>
    </xf>
    <xf numFmtId="2" fontId="33" fillId="0" borderId="60" xfId="0" applyNumberFormat="1" applyFont="1" applyBorder="1">
      <alignment vertical="center"/>
    </xf>
    <xf numFmtId="0" fontId="0" fillId="0" borderId="0" xfId="0" applyAlignment="1">
      <alignment horizontal="center" vertical="center" shrinkToFit="1"/>
    </xf>
    <xf numFmtId="2" fontId="0" fillId="0" borderId="0" xfId="0" applyNumberFormat="1" applyAlignment="1">
      <alignment horizontal="center" vertical="center"/>
    </xf>
    <xf numFmtId="179" fontId="0" fillId="0" borderId="0" xfId="0" applyNumberFormat="1" applyAlignment="1">
      <alignment horizontal="center" vertical="center"/>
    </xf>
    <xf numFmtId="0" fontId="0" fillId="0" borderId="0" xfId="0" applyAlignment="1">
      <alignment horizontal="center" vertical="center"/>
    </xf>
    <xf numFmtId="178" fontId="4" fillId="0" borderId="57" xfId="0" applyNumberFormat="1" applyFont="1" applyBorder="1" applyAlignment="1">
      <alignment horizontal="center" vertical="center"/>
    </xf>
    <xf numFmtId="1" fontId="4" fillId="0" borderId="57" xfId="0" applyNumberFormat="1" applyFont="1" applyBorder="1" applyAlignment="1">
      <alignment horizontal="center" vertical="center"/>
    </xf>
    <xf numFmtId="178" fontId="4" fillId="0" borderId="0" xfId="0" applyNumberFormat="1" applyFont="1" applyAlignment="1">
      <alignment horizontal="center" vertical="center"/>
    </xf>
    <xf numFmtId="187" fontId="4" fillId="0" borderId="0" xfId="0" applyNumberFormat="1" applyFont="1" applyAlignment="1">
      <alignment horizontal="center" vertical="center"/>
    </xf>
    <xf numFmtId="0" fontId="7" fillId="0" borderId="0" xfId="0" applyFont="1" applyAlignment="1">
      <alignment horizontal="center" vertical="center"/>
    </xf>
    <xf numFmtId="178" fontId="4" fillId="25" borderId="0" xfId="0" applyNumberFormat="1" applyFont="1" applyFill="1" applyAlignment="1">
      <alignment horizontal="center" vertical="center"/>
    </xf>
    <xf numFmtId="178" fontId="0" fillId="25" borderId="0" xfId="0" applyNumberFormat="1" applyFill="1" applyAlignment="1">
      <alignment horizontal="center" vertical="center"/>
    </xf>
    <xf numFmtId="0" fontId="4" fillId="0" borderId="0" xfId="0" applyFont="1" applyAlignment="1">
      <alignment horizontal="center" vertical="center"/>
    </xf>
    <xf numFmtId="2" fontId="4" fillId="0" borderId="0" xfId="0" applyNumberFormat="1" applyFont="1" applyAlignment="1">
      <alignment horizontal="center" vertical="center"/>
    </xf>
    <xf numFmtId="2" fontId="4" fillId="25" borderId="0" xfId="0" applyNumberFormat="1" applyFont="1" applyFill="1" applyAlignment="1">
      <alignment horizontal="center" vertical="center"/>
    </xf>
    <xf numFmtId="0" fontId="0" fillId="25" borderId="0" xfId="0" applyFill="1" applyAlignment="1">
      <alignment horizontal="center" vertical="center"/>
    </xf>
    <xf numFmtId="180" fontId="4" fillId="0" borderId="0" xfId="0" applyNumberFormat="1" applyFont="1" applyAlignment="1">
      <alignment horizontal="center" vertical="center"/>
    </xf>
    <xf numFmtId="178" fontId="4" fillId="0" borderId="0" xfId="0" applyNumberFormat="1" applyFont="1">
      <alignment vertical="center"/>
    </xf>
    <xf numFmtId="0" fontId="4" fillId="0" borderId="0" xfId="0" applyFont="1" applyAlignment="1">
      <alignment horizontal="center" vertical="top"/>
    </xf>
    <xf numFmtId="0" fontId="4" fillId="25" borderId="0" xfId="0" applyFont="1" applyFill="1" applyAlignment="1">
      <alignment horizontal="center" vertical="center"/>
    </xf>
    <xf numFmtId="2" fontId="0" fillId="25" borderId="0" xfId="0" applyNumberFormat="1" applyFill="1" applyAlignment="1">
      <alignment horizontal="center" vertical="center"/>
    </xf>
    <xf numFmtId="2" fontId="4" fillId="0" borderId="57" xfId="0" applyNumberFormat="1" applyFont="1" applyBorder="1" applyAlignment="1">
      <alignment horizontal="center" vertical="center"/>
    </xf>
    <xf numFmtId="179" fontId="4" fillId="0" borderId="0" xfId="0" applyNumberFormat="1" applyFont="1" applyAlignment="1">
      <alignment horizontal="center" vertical="center"/>
    </xf>
    <xf numFmtId="1" fontId="0" fillId="0" borderId="0" xfId="0" applyNumberFormat="1" applyAlignment="1">
      <alignment horizontal="center" vertical="center"/>
    </xf>
    <xf numFmtId="183" fontId="4" fillId="0" borderId="0" xfId="0" applyNumberFormat="1" applyFont="1" applyAlignment="1">
      <alignment horizontal="center" vertical="center"/>
    </xf>
    <xf numFmtId="184" fontId="0" fillId="0" borderId="0" xfId="0" applyNumberFormat="1" applyAlignment="1">
      <alignment horizontal="center" vertical="center"/>
    </xf>
    <xf numFmtId="184" fontId="7" fillId="0" borderId="0" xfId="0" applyNumberFormat="1" applyFont="1" applyAlignment="1">
      <alignment horizontal="center" vertical="center"/>
    </xf>
    <xf numFmtId="184" fontId="4" fillId="0" borderId="0" xfId="0" applyNumberFormat="1" applyFont="1" applyAlignment="1">
      <alignment horizontal="center" vertical="center"/>
    </xf>
    <xf numFmtId="178" fontId="4" fillId="24" borderId="0" xfId="0" applyNumberFormat="1" applyFont="1" applyFill="1" applyAlignment="1">
      <alignment horizontal="center" vertical="center"/>
    </xf>
    <xf numFmtId="178" fontId="4" fillId="0" borderId="0" xfId="0" applyNumberFormat="1" applyFont="1" applyAlignment="1">
      <alignment horizontal="right" vertical="center"/>
    </xf>
    <xf numFmtId="1" fontId="4" fillId="24" borderId="0" xfId="0" applyNumberFormat="1" applyFont="1" applyFill="1">
      <alignment vertical="center"/>
    </xf>
    <xf numFmtId="181" fontId="12" fillId="25" borderId="0" xfId="0" applyNumberFormat="1" applyFont="1" applyFill="1" applyAlignment="1">
      <alignment horizontal="center" vertical="center"/>
    </xf>
    <xf numFmtId="185" fontId="4" fillId="0" borderId="0" xfId="0" applyNumberFormat="1" applyFont="1" applyAlignment="1">
      <alignment horizontal="center" vertical="center"/>
    </xf>
    <xf numFmtId="1" fontId="4" fillId="0" borderId="0" xfId="0" applyNumberFormat="1" applyFont="1" applyAlignment="1">
      <alignment horizontal="center" vertical="center"/>
    </xf>
    <xf numFmtId="0" fontId="4" fillId="0" borderId="0" xfId="0" applyFont="1">
      <alignment vertical="center"/>
    </xf>
    <xf numFmtId="181" fontId="4" fillId="0" borderId="0" xfId="0" applyNumberFormat="1" applyFont="1" applyAlignment="1">
      <alignment horizontal="center" vertical="center"/>
    </xf>
    <xf numFmtId="1" fontId="4" fillId="0" borderId="0" xfId="0" applyNumberFormat="1" applyFont="1">
      <alignment vertical="center"/>
    </xf>
    <xf numFmtId="178" fontId="4" fillId="25" borderId="0" xfId="0" applyNumberFormat="1" applyFont="1" applyFill="1" applyAlignment="1">
      <alignment horizontal="right" vertical="center"/>
    </xf>
    <xf numFmtId="1" fontId="4" fillId="0" borderId="0" xfId="0" applyNumberFormat="1" applyFont="1" applyAlignment="1">
      <alignment horizontal="right" vertical="center"/>
    </xf>
    <xf numFmtId="1" fontId="4" fillId="25" borderId="0" xfId="0" applyNumberFormat="1" applyFont="1" applyFill="1" applyAlignment="1">
      <alignment horizontal="center" vertical="center"/>
    </xf>
    <xf numFmtId="190" fontId="4" fillId="25" borderId="0" xfId="0" applyNumberFormat="1" applyFont="1" applyFill="1" applyAlignment="1">
      <alignment horizontal="center" vertical="center"/>
    </xf>
    <xf numFmtId="0" fontId="4" fillId="24" borderId="0" xfId="0" applyFont="1" applyFill="1" applyAlignment="1">
      <alignment horizontal="center" vertical="center"/>
    </xf>
    <xf numFmtId="193" fontId="4" fillId="25" borderId="0" xfId="0" quotePrefix="1" applyNumberFormat="1" applyFont="1" applyFill="1" applyAlignment="1">
      <alignment horizontal="left" vertical="center" shrinkToFit="1"/>
    </xf>
    <xf numFmtId="178" fontId="0" fillId="0" borderId="0" xfId="0" applyNumberFormat="1" applyAlignment="1">
      <alignment horizontal="center" vertical="center"/>
    </xf>
    <xf numFmtId="0" fontId="0" fillId="0" borderId="0" xfId="0" applyAlignment="1">
      <alignment horizontal="right" vertical="center"/>
    </xf>
    <xf numFmtId="179" fontId="4" fillId="25" borderId="0" xfId="0" applyNumberFormat="1" applyFont="1" applyFill="1" applyAlignment="1">
      <alignment horizontal="center" vertical="center"/>
    </xf>
    <xf numFmtId="190" fontId="4" fillId="24" borderId="0" xfId="0" applyNumberFormat="1" applyFont="1" applyFill="1" applyAlignment="1">
      <alignment horizontal="center" vertical="center"/>
    </xf>
    <xf numFmtId="0" fontId="4" fillId="0" borderId="0" xfId="0" applyFont="1" applyAlignment="1">
      <alignment horizontal="right" vertical="center"/>
    </xf>
    <xf numFmtId="0" fontId="0" fillId="0" borderId="54" xfId="0" applyBorder="1" applyAlignment="1">
      <alignment horizontal="left" vertical="center"/>
    </xf>
    <xf numFmtId="0" fontId="4" fillId="0" borderId="55" xfId="0" applyFont="1" applyBorder="1" applyAlignment="1">
      <alignment horizontal="left" vertical="center"/>
    </xf>
    <xf numFmtId="0" fontId="4" fillId="0" borderId="56" xfId="0" applyFont="1" applyBorder="1" applyAlignment="1">
      <alignment horizontal="left" vertical="center"/>
    </xf>
    <xf numFmtId="0" fontId="0" fillId="0" borderId="0" xfId="0" applyAlignment="1">
      <alignment horizontal="left" vertical="center"/>
    </xf>
    <xf numFmtId="192" fontId="4" fillId="0" borderId="0" xfId="0" applyNumberFormat="1" applyFont="1" applyAlignment="1">
      <alignment horizontal="right" vertical="center" shrinkToFit="1"/>
    </xf>
    <xf numFmtId="192" fontId="4" fillId="0" borderId="57" xfId="0" applyNumberFormat="1" applyFont="1" applyBorder="1" applyAlignment="1">
      <alignment horizontal="center" vertical="center" shrinkToFit="1"/>
    </xf>
    <xf numFmtId="0" fontId="0" fillId="25" borderId="0" xfId="0" quotePrefix="1" applyFill="1" applyAlignment="1">
      <alignment horizontal="center" vertical="center"/>
    </xf>
    <xf numFmtId="12" fontId="0" fillId="25" borderId="0" xfId="0" quotePrefix="1" applyNumberFormat="1" applyFill="1" applyAlignment="1">
      <alignment horizontal="left" vertical="center" shrinkToFit="1"/>
    </xf>
    <xf numFmtId="12" fontId="4" fillId="25" borderId="0" xfId="0" applyNumberFormat="1" applyFont="1" applyFill="1" applyAlignment="1">
      <alignment horizontal="left" vertical="center" shrinkToFit="1"/>
    </xf>
    <xf numFmtId="0" fontId="0" fillId="0" borderId="0" xfId="0" applyAlignment="1">
      <alignment horizontal="center" vertical="center" shrinkToFit="1"/>
    </xf>
    <xf numFmtId="0" fontId="0" fillId="0" borderId="0" xfId="0" applyAlignment="1">
      <alignment horizontal="left" vertical="center" shrinkToFit="1"/>
    </xf>
    <xf numFmtId="0" fontId="0" fillId="0" borderId="57" xfId="0" applyBorder="1" applyAlignment="1">
      <alignment horizontal="center" vertical="center"/>
    </xf>
    <xf numFmtId="0" fontId="0" fillId="0" borderId="57" xfId="0" applyBorder="1" applyAlignment="1">
      <alignment horizontal="center" vertical="center" shrinkToFit="1"/>
    </xf>
    <xf numFmtId="179" fontId="4" fillId="0" borderId="0" xfId="0" applyNumberFormat="1" applyFont="1" applyAlignment="1">
      <alignment horizontal="right" vertical="center"/>
    </xf>
    <xf numFmtId="181" fontId="4" fillId="0" borderId="0" xfId="0" applyNumberFormat="1" applyFont="1" applyAlignment="1">
      <alignment horizontal="center" vertical="center" shrinkToFit="1"/>
    </xf>
    <xf numFmtId="0" fontId="4" fillId="0" borderId="0" xfId="0" applyFont="1" applyAlignment="1">
      <alignment horizontal="center" vertical="center" shrinkToFit="1"/>
    </xf>
    <xf numFmtId="2" fontId="4" fillId="0" borderId="0" xfId="0" applyNumberFormat="1" applyFont="1" applyAlignment="1">
      <alignment horizontal="center" vertical="center" shrinkToFit="1"/>
    </xf>
    <xf numFmtId="190" fontId="4" fillId="0" borderId="0" xfId="0" applyNumberFormat="1" applyFont="1" applyAlignment="1">
      <alignment horizontal="center" vertical="center"/>
    </xf>
    <xf numFmtId="0" fontId="4" fillId="0" borderId="0" xfId="0" applyFont="1" applyAlignment="1">
      <alignment horizontal="left" vertical="top"/>
    </xf>
    <xf numFmtId="178" fontId="4" fillId="0" borderId="57" xfId="0" applyNumberFormat="1" applyFont="1" applyBorder="1" applyAlignment="1">
      <alignment horizontal="right" vertical="center"/>
    </xf>
    <xf numFmtId="0" fontId="4" fillId="0" borderId="57" xfId="0" applyFont="1" applyBorder="1" applyAlignment="1">
      <alignment horizontal="center" vertical="center"/>
    </xf>
    <xf numFmtId="194" fontId="4" fillId="0" borderId="0" xfId="0" applyNumberFormat="1" applyFont="1" applyAlignment="1">
      <alignment horizontal="center" vertical="center"/>
    </xf>
    <xf numFmtId="194" fontId="4" fillId="0" borderId="0" xfId="0" applyNumberFormat="1" applyFont="1" applyAlignment="1">
      <alignment horizontal="right" vertical="center"/>
    </xf>
    <xf numFmtId="0" fontId="0" fillId="0" borderId="61" xfId="0" applyBorder="1" applyAlignment="1">
      <alignment horizontal="center" vertical="center"/>
    </xf>
    <xf numFmtId="0" fontId="0" fillId="0" borderId="58" xfId="0" applyBorder="1" applyAlignment="1">
      <alignment horizontal="center" vertical="center"/>
    </xf>
    <xf numFmtId="0" fontId="0" fillId="0" borderId="62" xfId="0" applyBorder="1" applyAlignment="1">
      <alignment horizontal="center" vertical="center"/>
    </xf>
    <xf numFmtId="0" fontId="4" fillId="25" borderId="59" xfId="0" applyFont="1" applyFill="1" applyBorder="1" applyAlignment="1">
      <alignment horizontal="center" vertical="center"/>
    </xf>
    <xf numFmtId="0" fontId="0" fillId="0" borderId="63" xfId="0" applyBorder="1" applyAlignment="1">
      <alignment horizontal="center" vertical="center"/>
    </xf>
    <xf numFmtId="0" fontId="0" fillId="0" borderId="59" xfId="0" applyBorder="1" applyAlignment="1">
      <alignment horizontal="center" vertical="center"/>
    </xf>
    <xf numFmtId="0" fontId="0" fillId="0" borderId="48" xfId="0" applyBorder="1" applyAlignment="1">
      <alignment horizontal="center" vertical="center"/>
    </xf>
    <xf numFmtId="0" fontId="0" fillId="0" borderId="50" xfId="0" applyBorder="1" applyAlignment="1">
      <alignment horizontal="center" vertical="center"/>
    </xf>
    <xf numFmtId="0" fontId="4" fillId="0" borderId="59" xfId="0" applyFont="1" applyBorder="1" applyAlignment="1">
      <alignment horizontal="center" vertical="center"/>
    </xf>
    <xf numFmtId="178" fontId="4" fillId="0" borderId="0" xfId="0" applyNumberFormat="1" applyFont="1" applyAlignment="1">
      <alignment horizontal="center" vertical="center" shrinkToFit="1"/>
    </xf>
    <xf numFmtId="194" fontId="4" fillId="0" borderId="59" xfId="0" applyNumberFormat="1" applyFont="1" applyBorder="1" applyAlignment="1">
      <alignment horizontal="center" vertical="center"/>
    </xf>
    <xf numFmtId="194" fontId="4" fillId="0" borderId="64" xfId="0" applyNumberFormat="1" applyFont="1" applyBorder="1" applyAlignment="1">
      <alignment horizontal="center" vertical="center"/>
    </xf>
    <xf numFmtId="194" fontId="4" fillId="0" borderId="49" xfId="0" applyNumberFormat="1" applyFont="1" applyBorder="1" applyAlignment="1">
      <alignment horizontal="center" vertical="center"/>
    </xf>
    <xf numFmtId="194" fontId="4" fillId="0" borderId="57" xfId="0" applyNumberFormat="1" applyFont="1" applyBorder="1" applyAlignment="1">
      <alignment horizontal="center" vertical="center"/>
    </xf>
    <xf numFmtId="194" fontId="4" fillId="0" borderId="51" xfId="0" applyNumberFormat="1" applyFont="1" applyBorder="1" applyAlignment="1">
      <alignment horizontal="center" vertical="center"/>
    </xf>
    <xf numFmtId="12" fontId="0" fillId="25" borderId="57" xfId="0" quotePrefix="1" applyNumberFormat="1" applyFill="1" applyBorder="1" applyAlignment="1">
      <alignment horizontal="center" vertical="center" shrinkToFit="1"/>
    </xf>
    <xf numFmtId="12" fontId="4" fillId="25" borderId="57" xfId="0" applyNumberFormat="1" applyFont="1" applyFill="1" applyBorder="1" applyAlignment="1">
      <alignment horizontal="center" vertical="center" shrinkToFit="1"/>
    </xf>
    <xf numFmtId="178" fontId="4" fillId="0" borderId="57" xfId="0" applyNumberFormat="1" applyFont="1" applyBorder="1" applyAlignment="1">
      <alignment horizontal="center" vertical="center" shrinkToFit="1"/>
    </xf>
    <xf numFmtId="0" fontId="33" fillId="0" borderId="0" xfId="0" quotePrefix="1" applyFont="1" applyAlignment="1">
      <alignment horizontal="center" vertical="center"/>
    </xf>
    <xf numFmtId="0" fontId="34" fillId="0" borderId="0" xfId="0" applyFont="1" applyAlignment="1">
      <alignment horizontal="center" vertical="center" shrinkToFit="1"/>
    </xf>
    <xf numFmtId="179" fontId="33" fillId="0" borderId="0" xfId="0" applyNumberFormat="1" applyFont="1" applyAlignment="1">
      <alignment horizontal="center" vertical="center"/>
    </xf>
    <xf numFmtId="0" fontId="33" fillId="0" borderId="0" xfId="0" applyFont="1" applyAlignment="1">
      <alignment horizontal="center" vertical="center"/>
    </xf>
    <xf numFmtId="2" fontId="33" fillId="0" borderId="0" xfId="0" applyNumberFormat="1" applyFont="1" applyAlignment="1">
      <alignment horizontal="center" vertical="center"/>
    </xf>
    <xf numFmtId="0" fontId="34" fillId="0" borderId="0" xfId="0" applyFont="1" applyAlignment="1">
      <alignment horizontal="center" vertical="center"/>
    </xf>
    <xf numFmtId="0" fontId="4" fillId="0" borderId="0" xfId="0" quotePrefix="1" applyFont="1" applyAlignment="1">
      <alignment horizontal="center" vertical="center"/>
    </xf>
    <xf numFmtId="181" fontId="12" fillId="0" borderId="0" xfId="0" applyNumberFormat="1" applyFont="1" applyAlignment="1">
      <alignment horizontal="center" vertical="center"/>
    </xf>
    <xf numFmtId="0" fontId="0" fillId="0" borderId="0" xfId="0" quotePrefix="1" applyAlignment="1">
      <alignment horizontal="center" vertical="center"/>
    </xf>
    <xf numFmtId="0" fontId="0" fillId="24" borderId="0" xfId="0" applyFill="1" applyAlignment="1" applyProtection="1">
      <alignment horizontal="center" vertical="center" shrinkToFit="1"/>
      <protection hidden="1"/>
    </xf>
    <xf numFmtId="0" fontId="0" fillId="0" borderId="0" xfId="0" quotePrefix="1" applyAlignment="1" applyProtection="1">
      <alignment horizontal="center" vertical="center"/>
      <protection hidden="1"/>
    </xf>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0" fillId="0" borderId="0" xfId="0" quotePrefix="1" applyAlignment="1" applyProtection="1">
      <alignment horizontal="left" vertical="center"/>
      <protection hidden="1"/>
    </xf>
    <xf numFmtId="178" fontId="0" fillId="0" borderId="0" xfId="0" applyNumberFormat="1" applyAlignment="1" applyProtection="1">
      <alignment vertical="center" shrinkToFit="1"/>
      <protection hidden="1"/>
    </xf>
    <xf numFmtId="182" fontId="0" fillId="24" borderId="0" xfId="0" quotePrefix="1" applyNumberFormat="1" applyFill="1" applyAlignment="1" applyProtection="1">
      <alignment horizontal="left" vertical="center" shrinkToFit="1"/>
      <protection hidden="1"/>
    </xf>
    <xf numFmtId="178" fontId="0" fillId="24" borderId="0" xfId="0" applyNumberFormat="1" applyFill="1" applyAlignment="1" applyProtection="1">
      <alignment horizontal="center" vertical="center" shrinkToFit="1"/>
      <protection hidden="1"/>
    </xf>
    <xf numFmtId="178" fontId="0" fillId="0" borderId="0" xfId="0" applyNumberFormat="1" applyAlignment="1" applyProtection="1">
      <alignment horizontal="center" vertical="center" shrinkToFit="1"/>
      <protection hidden="1"/>
    </xf>
    <xf numFmtId="178" fontId="0" fillId="24" borderId="0" xfId="0" quotePrefix="1" applyNumberFormat="1" applyFill="1" applyAlignment="1" applyProtection="1">
      <alignment horizontal="center" vertical="center" shrinkToFit="1"/>
      <protection hidden="1"/>
    </xf>
    <xf numFmtId="0" fontId="0" fillId="24" borderId="0" xfId="0" quotePrefix="1" applyFill="1" applyAlignment="1" applyProtection="1">
      <alignment horizontal="center" vertical="center" shrinkToFit="1"/>
      <protection hidden="1"/>
    </xf>
    <xf numFmtId="182" fontId="0" fillId="24" borderId="0" xfId="0" applyNumberFormat="1" applyFill="1" applyAlignment="1" applyProtection="1">
      <alignment horizontal="left" vertical="center" shrinkToFit="1"/>
      <protection hidden="1"/>
    </xf>
    <xf numFmtId="0" fontId="0" fillId="0" borderId="0" xfId="0" quotePrefix="1" applyAlignment="1" applyProtection="1">
      <alignment horizontal="left" vertical="center" shrinkToFit="1"/>
      <protection hidden="1"/>
    </xf>
    <xf numFmtId="0" fontId="0" fillId="0" borderId="0" xfId="0" applyAlignment="1" applyProtection="1">
      <alignment horizontal="left" vertical="center" shrinkToFit="1"/>
      <protection hidden="1"/>
    </xf>
    <xf numFmtId="180" fontId="0" fillId="0" borderId="0" xfId="0" applyNumberFormat="1" applyAlignment="1" applyProtection="1">
      <alignment horizontal="center" vertical="center" shrinkToFit="1"/>
      <protection hidden="1"/>
    </xf>
    <xf numFmtId="0" fontId="0" fillId="0" borderId="0" xfId="0" applyProtection="1">
      <alignment vertical="center"/>
      <protection hidden="1"/>
    </xf>
    <xf numFmtId="185" fontId="0" fillId="24" borderId="0" xfId="0" applyNumberFormat="1" applyFill="1" applyAlignment="1" applyProtection="1">
      <alignment horizontal="right" vertical="center" shrinkToFit="1"/>
      <protection hidden="1"/>
    </xf>
    <xf numFmtId="178" fontId="0" fillId="0" borderId="0" xfId="0" applyNumberFormat="1" applyAlignment="1" applyProtection="1">
      <alignment horizontal="right" vertical="center" shrinkToFit="1"/>
      <protection hidden="1"/>
    </xf>
    <xf numFmtId="0" fontId="0" fillId="0" borderId="0" xfId="0" applyAlignment="1" applyProtection="1">
      <alignment horizontal="center" vertical="center" shrinkToFit="1"/>
      <protection hidden="1"/>
    </xf>
    <xf numFmtId="186" fontId="0" fillId="24" borderId="0" xfId="0" applyNumberFormat="1" applyFill="1" applyAlignment="1" applyProtection="1">
      <alignment horizontal="right" vertical="center" shrinkToFit="1"/>
      <protection hidden="1"/>
    </xf>
    <xf numFmtId="189" fontId="0" fillId="24" borderId="0" xfId="0" quotePrefix="1" applyNumberFormat="1" applyFill="1" applyAlignment="1" applyProtection="1">
      <alignment horizontal="left" vertical="center" shrinkToFit="1"/>
      <protection hidden="1"/>
    </xf>
    <xf numFmtId="183" fontId="0" fillId="0" borderId="0" xfId="0" applyNumberFormat="1" applyAlignment="1" applyProtection="1">
      <alignment horizontal="center" vertical="center" shrinkToFit="1"/>
      <protection hidden="1"/>
    </xf>
    <xf numFmtId="1" fontId="0" fillId="24" borderId="0" xfId="0" applyNumberFormat="1" applyFill="1" applyAlignment="1" applyProtection="1">
      <alignment horizontal="right" vertical="center" shrinkToFit="1"/>
      <protection hidden="1"/>
    </xf>
    <xf numFmtId="179" fontId="0" fillId="0" borderId="0" xfId="0" applyNumberFormat="1" applyAlignment="1" applyProtection="1">
      <alignment horizontal="right" vertical="center" shrinkToFit="1"/>
      <protection hidden="1"/>
    </xf>
    <xf numFmtId="2" fontId="0" fillId="0" borderId="0" xfId="0" applyNumberFormat="1" applyAlignment="1" applyProtection="1">
      <alignment horizontal="left" vertical="center" shrinkToFit="1"/>
      <protection hidden="1"/>
    </xf>
    <xf numFmtId="183" fontId="0" fillId="24" borderId="0" xfId="0" applyNumberFormat="1" applyFill="1" applyAlignment="1" applyProtection="1">
      <alignment horizontal="center" vertical="center" shrinkToFit="1"/>
      <protection hidden="1"/>
    </xf>
    <xf numFmtId="188" fontId="4" fillId="0" borderId="29" xfId="0" applyNumberFormat="1" applyFont="1" applyBorder="1" applyAlignment="1">
      <alignment horizontal="right" vertical="center"/>
    </xf>
    <xf numFmtId="0" fontId="4" fillId="0" borderId="11" xfId="0" applyFont="1" applyBorder="1" applyAlignment="1">
      <alignment horizontal="right" vertical="center"/>
    </xf>
    <xf numFmtId="0" fontId="4" fillId="0" borderId="11" xfId="0" applyFont="1" applyBorder="1" applyAlignment="1">
      <alignment horizontal="left" vertical="center"/>
    </xf>
    <xf numFmtId="0" fontId="4" fillId="0" borderId="34" xfId="0" applyFont="1" applyBorder="1" applyAlignment="1">
      <alignment horizontal="left" vertical="center"/>
    </xf>
    <xf numFmtId="2" fontId="4" fillId="24" borderId="0" xfId="0" applyNumberFormat="1" applyFont="1" applyFill="1" applyAlignment="1">
      <alignment horizontal="center" vertical="center"/>
    </xf>
    <xf numFmtId="0" fontId="4" fillId="0" borderId="23" xfId="0" applyFont="1" applyBorder="1" applyAlignment="1">
      <alignment horizontal="center" vertical="center" wrapText="1"/>
    </xf>
    <xf numFmtId="0" fontId="4" fillId="0" borderId="23" xfId="0" applyFont="1" applyBorder="1" applyAlignment="1">
      <alignment horizontal="center" vertical="center"/>
    </xf>
    <xf numFmtId="0" fontId="4" fillId="0" borderId="24" xfId="0" applyFont="1" applyBorder="1" applyAlignment="1">
      <alignment horizontal="center" vertical="center"/>
    </xf>
    <xf numFmtId="0" fontId="4" fillId="0" borderId="18" xfId="0" applyFont="1" applyBorder="1" applyAlignment="1">
      <alignment horizontal="center" vertical="center"/>
    </xf>
    <xf numFmtId="0" fontId="4" fillId="0" borderId="21" xfId="0" applyFont="1" applyBorder="1" applyAlignment="1">
      <alignment horizontal="center" vertical="center"/>
    </xf>
    <xf numFmtId="178" fontId="4" fillId="0" borderId="30" xfId="0" applyNumberFormat="1" applyFont="1" applyBorder="1" applyAlignment="1">
      <alignment horizontal="right" vertical="center"/>
    </xf>
    <xf numFmtId="0" fontId="4" fillId="0" borderId="12" xfId="0" applyFont="1" applyBorder="1" applyAlignment="1">
      <alignment horizontal="right" vertical="center"/>
    </xf>
    <xf numFmtId="178" fontId="4" fillId="0" borderId="31" xfId="0" applyNumberFormat="1" applyFont="1" applyBorder="1" applyAlignment="1">
      <alignment horizontal="right" vertical="center"/>
    </xf>
    <xf numFmtId="0" fontId="4" fillId="0" borderId="10" xfId="0" applyFont="1" applyBorder="1" applyAlignment="1">
      <alignment horizontal="right" vertical="center"/>
    </xf>
    <xf numFmtId="0" fontId="4" fillId="0" borderId="12" xfId="0" applyFont="1" applyBorder="1" applyAlignment="1">
      <alignment horizontal="left" vertical="center"/>
    </xf>
    <xf numFmtId="0" fontId="4" fillId="0" borderId="28" xfId="0" applyFont="1" applyBorder="1" applyAlignment="1">
      <alignment horizontal="left" vertical="center"/>
    </xf>
    <xf numFmtId="0" fontId="4" fillId="0" borderId="10" xfId="0" applyFont="1" applyBorder="1" applyAlignment="1">
      <alignment horizontal="left" vertical="center"/>
    </xf>
    <xf numFmtId="0" fontId="4" fillId="0" borderId="25" xfId="0" applyFont="1" applyBorder="1" applyAlignment="1">
      <alignment horizontal="left" vertical="center"/>
    </xf>
    <xf numFmtId="188" fontId="4" fillId="0" borderId="30" xfId="0" applyNumberFormat="1" applyFont="1" applyBorder="1" applyAlignment="1">
      <alignment horizontal="right" vertical="center"/>
    </xf>
    <xf numFmtId="0" fontId="4" fillId="0" borderId="32" xfId="0" applyFont="1" applyBorder="1" applyAlignment="1">
      <alignment horizontal="left" vertical="center"/>
    </xf>
    <xf numFmtId="188" fontId="4" fillId="0" borderId="31" xfId="0" applyNumberFormat="1" applyFont="1" applyBorder="1" applyAlignment="1">
      <alignment horizontal="right" vertical="center"/>
    </xf>
    <xf numFmtId="0" fontId="4" fillId="0" borderId="33" xfId="0" applyFont="1" applyBorder="1" applyAlignment="1">
      <alignment horizontal="left" vertical="center"/>
    </xf>
    <xf numFmtId="188" fontId="4" fillId="0" borderId="16" xfId="0" applyNumberFormat="1" applyFont="1" applyBorder="1" applyAlignment="1">
      <alignment horizontal="right" vertical="center"/>
    </xf>
    <xf numFmtId="188" fontId="4" fillId="0" borderId="18" xfId="0" applyNumberFormat="1" applyFont="1" applyBorder="1" applyAlignment="1">
      <alignment horizontal="right" vertical="center"/>
    </xf>
    <xf numFmtId="178" fontId="4" fillId="0" borderId="29" xfId="0" applyNumberFormat="1" applyFont="1" applyBorder="1" applyAlignment="1">
      <alignment horizontal="right" vertical="center"/>
    </xf>
    <xf numFmtId="0" fontId="4" fillId="0" borderId="26" xfId="0" applyFont="1" applyBorder="1" applyAlignment="1">
      <alignment horizontal="left" vertical="center"/>
    </xf>
    <xf numFmtId="188" fontId="4" fillId="0" borderId="14" xfId="0" applyNumberFormat="1" applyFont="1" applyBorder="1" applyAlignment="1">
      <alignment horizontal="right" vertical="center"/>
    </xf>
    <xf numFmtId="190" fontId="4" fillId="0" borderId="12" xfId="0" applyNumberFormat="1" applyFont="1" applyBorder="1" applyAlignment="1">
      <alignment horizontal="center" vertical="center"/>
    </xf>
    <xf numFmtId="0" fontId="4" fillId="0" borderId="28" xfId="0" applyFont="1" applyBorder="1" applyAlignment="1">
      <alignment horizontal="center" vertical="center"/>
    </xf>
    <xf numFmtId="0" fontId="4" fillId="0" borderId="22" xfId="0" applyFont="1" applyBorder="1" applyAlignment="1">
      <alignment horizontal="center" vertical="center"/>
    </xf>
    <xf numFmtId="0" fontId="4" fillId="0" borderId="17" xfId="0" applyFont="1" applyBorder="1" applyAlignment="1">
      <alignment horizontal="center" vertical="center"/>
    </xf>
    <xf numFmtId="190" fontId="4" fillId="0" borderId="10" xfId="0" applyNumberFormat="1"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3"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 fillId="0" borderId="19" xfId="0" applyFont="1" applyBorder="1" applyAlignment="1">
      <alignment horizontal="center" vertical="center"/>
    </xf>
    <xf numFmtId="0" fontId="4" fillId="0" borderId="20" xfId="0" applyFont="1" applyBorder="1" applyAlignment="1">
      <alignment horizontal="center" vertical="center"/>
    </xf>
    <xf numFmtId="1" fontId="4" fillId="24" borderId="0" xfId="0" applyNumberFormat="1" applyFont="1" applyFill="1" applyAlignment="1">
      <alignment horizontal="center" vertical="center"/>
    </xf>
    <xf numFmtId="185" fontId="4" fillId="24" borderId="0" xfId="0" applyNumberFormat="1" applyFont="1" applyFill="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32" fillId="0" borderId="35" xfId="0" applyFont="1" applyBorder="1" applyAlignment="1">
      <alignment horizontal="center" vertical="center"/>
    </xf>
    <xf numFmtId="0" fontId="32" fillId="0" borderId="36" xfId="0" applyFont="1" applyBorder="1" applyAlignment="1">
      <alignment horizontal="center" vertical="center"/>
    </xf>
    <xf numFmtId="178" fontId="0" fillId="0" borderId="35" xfId="0" applyNumberFormat="1" applyBorder="1" applyAlignment="1">
      <alignment horizontal="center" vertical="center"/>
    </xf>
    <xf numFmtId="178" fontId="0" fillId="0" borderId="36" xfId="0" applyNumberFormat="1" applyBorder="1" applyAlignment="1">
      <alignment horizontal="center" vertical="center"/>
    </xf>
    <xf numFmtId="178" fontId="0" fillId="0" borderId="37" xfId="0" applyNumberFormat="1" applyBorder="1" applyAlignment="1">
      <alignment horizontal="center" vertical="center"/>
    </xf>
    <xf numFmtId="178" fontId="0" fillId="0" borderId="41" xfId="0" applyNumberFormat="1" applyBorder="1" applyAlignment="1">
      <alignment horizontal="center" vertical="center"/>
    </xf>
    <xf numFmtId="178" fontId="0" fillId="0" borderId="42" xfId="0" applyNumberFormat="1" applyBorder="1" applyAlignment="1">
      <alignment horizontal="center" vertical="center"/>
    </xf>
    <xf numFmtId="178" fontId="0" fillId="0" borderId="45" xfId="0" applyNumberFormat="1" applyBorder="1" applyAlignment="1">
      <alignment horizontal="center" vertical="center"/>
    </xf>
    <xf numFmtId="178" fontId="0" fillId="0" borderId="46" xfId="0" applyNumberFormat="1" applyBorder="1" applyAlignment="1">
      <alignment horizontal="center" vertical="center"/>
    </xf>
    <xf numFmtId="178" fontId="0" fillId="0" borderId="47" xfId="0" applyNumberFormat="1" applyBorder="1" applyAlignment="1">
      <alignment horizontal="center" vertical="center"/>
    </xf>
    <xf numFmtId="178" fontId="0" fillId="24" borderId="0" xfId="0" applyNumberFormat="1" applyFill="1" applyAlignment="1">
      <alignment horizontal="center" vertical="center"/>
    </xf>
    <xf numFmtId="0" fontId="0" fillId="0" borderId="43" xfId="0" applyBorder="1" applyAlignment="1">
      <alignment horizontal="center" vertical="center" textRotation="255"/>
    </xf>
    <xf numFmtId="0" fontId="0" fillId="0" borderId="44" xfId="0" applyBorder="1" applyAlignment="1">
      <alignment horizontal="center" vertical="center" textRotation="255"/>
    </xf>
    <xf numFmtId="0" fontId="0" fillId="0" borderId="48" xfId="0" applyBorder="1" applyAlignment="1">
      <alignment horizontal="center" vertical="center" textRotation="255"/>
    </xf>
    <xf numFmtId="0" fontId="0" fillId="0" borderId="49" xfId="0" applyBorder="1" applyAlignment="1">
      <alignment horizontal="center" vertical="center" textRotation="255"/>
    </xf>
    <xf numFmtId="0" fontId="0" fillId="0" borderId="50" xfId="0" applyBorder="1" applyAlignment="1">
      <alignment horizontal="center" vertical="center" textRotation="255"/>
    </xf>
    <xf numFmtId="0" fontId="0" fillId="0" borderId="51" xfId="0" applyBorder="1" applyAlignment="1">
      <alignment horizontal="center" vertical="center" textRotation="255"/>
    </xf>
    <xf numFmtId="0" fontId="32" fillId="0" borderId="43" xfId="0" applyFont="1" applyBorder="1" applyAlignment="1">
      <alignment horizontal="center" vertical="center"/>
    </xf>
    <xf numFmtId="0" fontId="32" fillId="0" borderId="52" xfId="0" applyFont="1" applyBorder="1" applyAlignment="1">
      <alignment horizontal="center" vertical="center"/>
    </xf>
    <xf numFmtId="0" fontId="0" fillId="0" borderId="43" xfId="0" applyBorder="1" applyAlignment="1">
      <alignment horizontal="center" vertical="center"/>
    </xf>
    <xf numFmtId="0" fontId="0" fillId="0" borderId="44" xfId="0" applyBorder="1" applyAlignment="1">
      <alignment horizontal="center" vertical="center"/>
    </xf>
    <xf numFmtId="0" fontId="0" fillId="0" borderId="0" xfId="0" applyFont="1">
      <alignment vertical="center"/>
    </xf>
    <xf numFmtId="0" fontId="0" fillId="0" borderId="0" xfId="0" applyFont="1" applyAlignment="1">
      <alignment horizontal="center" vertical="center"/>
    </xf>
    <xf numFmtId="203" fontId="4" fillId="25" borderId="0" xfId="0" applyNumberFormat="1" applyFont="1" applyFill="1" applyAlignment="1">
      <alignment horizontal="center" vertical="center"/>
    </xf>
    <xf numFmtId="197" fontId="4" fillId="0" borderId="0" xfId="0" applyNumberFormat="1" applyFont="1" applyFill="1" applyAlignment="1">
      <alignment horizontal="center" vertical="center"/>
    </xf>
    <xf numFmtId="0" fontId="33" fillId="0" borderId="0" xfId="0" quotePrefix="1" applyFont="1" applyAlignment="1">
      <alignment vertical="center"/>
    </xf>
    <xf numFmtId="0" fontId="0" fillId="0" borderId="0" xfId="0" applyFont="1" applyAlignment="1">
      <alignment horizontal="right" vertical="center"/>
    </xf>
    <xf numFmtId="0" fontId="0" fillId="0" borderId="0" xfId="0" applyFont="1" applyAlignment="1">
      <alignment horizontal="left" vertical="center"/>
    </xf>
    <xf numFmtId="178" fontId="34" fillId="0" borderId="0" xfId="0" applyNumberFormat="1" applyFont="1" applyAlignment="1">
      <alignment horizontal="center" vertical="center" shrinkToFit="1"/>
    </xf>
    <xf numFmtId="0" fontId="4" fillId="0" borderId="0" xfId="0" applyFont="1" applyFill="1" applyAlignment="1">
      <alignment horizontal="center" vertical="center"/>
    </xf>
    <xf numFmtId="190" fontId="4" fillId="0" borderId="0" xfId="0" applyNumberFormat="1" applyFont="1" applyFill="1" applyAlignment="1">
      <alignment horizontal="center" vertical="center"/>
    </xf>
    <xf numFmtId="192" fontId="33" fillId="0" borderId="0" xfId="0" quotePrefix="1" applyNumberFormat="1" applyFont="1" applyAlignment="1">
      <alignment horizontal="center" vertical="center" shrinkToFit="1"/>
    </xf>
    <xf numFmtId="2" fontId="0" fillId="0" borderId="0" xfId="0" applyNumberFormat="1" applyFont="1" applyAlignment="1">
      <alignment horizontal="center" vertical="center"/>
    </xf>
    <xf numFmtId="205" fontId="4" fillId="0" borderId="0" xfId="0" applyNumberFormat="1" applyFont="1" applyAlignment="1">
      <alignment horizontal="left" vertical="center"/>
    </xf>
    <xf numFmtId="179" fontId="4" fillId="25" borderId="0" xfId="0" applyNumberFormat="1" applyFont="1" applyFill="1" applyAlignment="1">
      <alignment horizontal="center" vertical="center" shrinkToFit="1"/>
    </xf>
    <xf numFmtId="0" fontId="4" fillId="0" borderId="0" xfId="0" applyFont="1" applyFill="1">
      <alignment vertical="center"/>
    </xf>
    <xf numFmtId="0" fontId="33" fillId="0" borderId="0" xfId="0" quotePrefix="1" applyFont="1" applyFill="1" applyAlignment="1">
      <alignment horizontal="right" vertical="center"/>
    </xf>
    <xf numFmtId="179" fontId="4" fillId="0" borderId="0" xfId="0" applyNumberFormat="1" applyFont="1" applyFill="1" applyAlignment="1">
      <alignment horizontal="center" vertical="center" shrinkToFit="1"/>
    </xf>
    <xf numFmtId="0" fontId="33" fillId="0" borderId="0" xfId="0" quotePrefix="1" applyFont="1" applyFill="1" applyAlignment="1">
      <alignment horizontal="center" vertical="center" shrinkToFit="1"/>
    </xf>
    <xf numFmtId="0" fontId="33" fillId="0" borderId="0" xfId="0" applyFont="1" applyFill="1" applyAlignment="1">
      <alignment horizontal="center" vertical="center" shrinkToFit="1"/>
    </xf>
    <xf numFmtId="2" fontId="4" fillId="0" borderId="0" xfId="0" applyNumberFormat="1" applyFont="1" applyFill="1" applyAlignment="1">
      <alignment horizontal="center" vertical="center" shrinkToFit="1"/>
    </xf>
    <xf numFmtId="0" fontId="33" fillId="0" borderId="0" xfId="0" quotePrefix="1" applyFont="1" applyFill="1" applyAlignment="1">
      <alignment horizontal="center" vertical="center"/>
    </xf>
    <xf numFmtId="0" fontId="33" fillId="0" borderId="0" xfId="0" applyFont="1" applyFill="1" applyAlignment="1">
      <alignment horizontal="right" vertical="center"/>
    </xf>
    <xf numFmtId="0" fontId="33" fillId="0" borderId="0" xfId="0" applyFont="1" applyFill="1" applyAlignment="1">
      <alignment horizontal="center" vertical="center"/>
    </xf>
    <xf numFmtId="2" fontId="12" fillId="0" borderId="0" xfId="0" applyNumberFormat="1" applyFont="1" applyFill="1">
      <alignment vertical="center"/>
    </xf>
    <xf numFmtId="0" fontId="33" fillId="0" borderId="0" xfId="0" applyFont="1" applyFill="1">
      <alignment vertical="center"/>
    </xf>
    <xf numFmtId="0" fontId="33" fillId="0" borderId="0" xfId="0" applyFont="1" applyFill="1" applyAlignment="1">
      <alignment horizontal="left" vertical="center"/>
    </xf>
    <xf numFmtId="195" fontId="32" fillId="0" borderId="0" xfId="0" applyNumberFormat="1" applyFont="1" applyFill="1" applyAlignment="1">
      <alignment horizontal="center" vertical="center"/>
    </xf>
    <xf numFmtId="0" fontId="34" fillId="0" borderId="0" xfId="0" applyFont="1" applyFill="1" applyAlignment="1">
      <alignment horizontal="center" vertical="center"/>
    </xf>
    <xf numFmtId="0" fontId="34" fillId="0" borderId="0" xfId="0" applyFont="1" applyFill="1">
      <alignment vertical="center"/>
    </xf>
    <xf numFmtId="178" fontId="34" fillId="0" borderId="0" xfId="0" applyNumberFormat="1" applyFont="1" applyFill="1" applyAlignment="1">
      <alignment horizontal="center" vertical="center" shrinkToFit="1"/>
    </xf>
    <xf numFmtId="0" fontId="34" fillId="0" borderId="0" xfId="0" applyFont="1" applyFill="1" applyAlignment="1">
      <alignment horizontal="center" vertical="center" shrinkToFit="1"/>
    </xf>
    <xf numFmtId="192" fontId="33" fillId="0" borderId="0" xfId="0" quotePrefix="1" applyNumberFormat="1" applyFont="1" applyFill="1" applyAlignment="1">
      <alignment horizontal="center" vertical="center" shrinkToFit="1"/>
    </xf>
    <xf numFmtId="2" fontId="0" fillId="0" borderId="0" xfId="0" applyNumberFormat="1" applyFont="1" applyFill="1" applyAlignment="1">
      <alignment horizontal="center" vertical="center"/>
    </xf>
    <xf numFmtId="0" fontId="4" fillId="0" borderId="0" xfId="0" applyFont="1" applyFill="1" applyAlignment="1">
      <alignment horizontal="center" vertical="center"/>
    </xf>
    <xf numFmtId="0" fontId="33" fillId="0" borderId="0" xfId="0" quotePrefix="1" applyFont="1" applyFill="1" applyAlignment="1">
      <alignment horizontal="left" vertical="center"/>
    </xf>
    <xf numFmtId="205" fontId="4" fillId="0" borderId="0" xfId="0" applyNumberFormat="1" applyFont="1" applyFill="1" applyAlignment="1">
      <alignment horizontal="left" vertical="center"/>
    </xf>
    <xf numFmtId="198" fontId="38" fillId="0" borderId="0" xfId="0" applyNumberFormat="1" applyFont="1">
      <alignment vertical="center"/>
    </xf>
    <xf numFmtId="195" fontId="38" fillId="0" borderId="0" xfId="0" applyNumberFormat="1" applyFont="1">
      <alignment vertical="center"/>
    </xf>
    <xf numFmtId="199" fontId="38" fillId="0" borderId="0" xfId="0" applyNumberFormat="1" applyFont="1">
      <alignment vertical="center"/>
    </xf>
    <xf numFmtId="196" fontId="38" fillId="0" borderId="0" xfId="0" applyNumberFormat="1" applyFont="1">
      <alignment vertical="center"/>
    </xf>
    <xf numFmtId="0" fontId="40" fillId="0" borderId="0" xfId="0" quotePrefix="1" applyFont="1" applyAlignment="1">
      <alignment horizontal="center" vertical="center"/>
    </xf>
    <xf numFmtId="178" fontId="40" fillId="0" borderId="0" xfId="0" applyNumberFormat="1" applyFont="1" applyAlignment="1">
      <alignment horizontal="center" vertical="center"/>
    </xf>
    <xf numFmtId="0" fontId="34" fillId="0" borderId="0" xfId="0" quotePrefix="1" applyFont="1" applyAlignment="1">
      <alignment horizontal="center" vertical="center"/>
    </xf>
    <xf numFmtId="1" fontId="4" fillId="0" borderId="0" xfId="0" quotePrefix="1" applyNumberFormat="1" applyFont="1" applyAlignment="1">
      <alignment horizontal="center" vertical="center"/>
    </xf>
    <xf numFmtId="1" fontId="40" fillId="25" borderId="0" xfId="0" applyNumberFormat="1" applyFont="1" applyFill="1" applyAlignment="1">
      <alignment horizontal="center"/>
    </xf>
    <xf numFmtId="0" fontId="40" fillId="0" borderId="0" xfId="0" quotePrefix="1" applyFont="1" applyAlignment="1">
      <alignment horizontal="left"/>
    </xf>
    <xf numFmtId="1" fontId="34" fillId="0" borderId="0" xfId="0" quotePrefix="1" applyNumberFormat="1" applyFont="1" applyAlignment="1">
      <alignment horizontal="center" vertical="center"/>
    </xf>
    <xf numFmtId="1" fontId="34" fillId="0" borderId="0" xfId="0" quotePrefix="1" applyNumberFormat="1" applyFont="1" applyAlignment="1">
      <alignment horizontal="left" vertical="center"/>
    </xf>
    <xf numFmtId="0" fontId="34" fillId="0" borderId="0" xfId="0" quotePrefix="1" applyFont="1" applyAlignment="1">
      <alignment horizontal="center" vertical="center" shrinkToFit="1"/>
    </xf>
    <xf numFmtId="206" fontId="33" fillId="0" borderId="0" xfId="0" applyNumberFormat="1" applyFont="1" applyAlignment="1">
      <alignment horizontal="center" vertical="center" shrinkToFit="1"/>
    </xf>
    <xf numFmtId="2" fontId="4" fillId="26" borderId="0" xfId="0" applyNumberFormat="1" applyFont="1" applyFill="1" applyAlignment="1">
      <alignment horizontal="center" vertical="center"/>
    </xf>
    <xf numFmtId="178" fontId="40" fillId="0" borderId="0" xfId="0" applyNumberFormat="1" applyFont="1" applyAlignment="1">
      <alignment horizontal="center" vertical="center"/>
    </xf>
    <xf numFmtId="194" fontId="33" fillId="0" borderId="0" xfId="0" quotePrefix="1" applyNumberFormat="1" applyFont="1" applyAlignment="1">
      <alignment horizontal="center" vertical="center" shrinkToFit="1"/>
    </xf>
    <xf numFmtId="205" fontId="4" fillId="0" borderId="0" xfId="0" applyNumberFormat="1" applyFont="1" applyAlignment="1">
      <alignment horizontal="center" vertical="center"/>
    </xf>
    <xf numFmtId="1" fontId="0" fillId="0" borderId="0" xfId="0" quotePrefix="1" applyNumberFormat="1" applyFont="1" applyAlignment="1">
      <alignment horizontal="center" vertical="center"/>
    </xf>
    <xf numFmtId="178" fontId="33" fillId="0" borderId="0" xfId="0" applyNumberFormat="1" applyFont="1" applyFill="1" applyAlignment="1">
      <alignment horizontal="center" vertical="center" shrinkToFit="1"/>
    </xf>
    <xf numFmtId="0" fontId="33" fillId="0" borderId="0" xfId="0" applyFont="1" applyFill="1" applyAlignment="1">
      <alignment horizontal="center" vertical="center" shrinkToFit="1"/>
    </xf>
    <xf numFmtId="178" fontId="34" fillId="0" borderId="0" xfId="0" applyNumberFormat="1" applyFont="1" applyFill="1" applyAlignment="1">
      <alignment horizontal="center" vertical="center"/>
    </xf>
    <xf numFmtId="178" fontId="34" fillId="0" borderId="0" xfId="0" applyNumberFormat="1" applyFont="1" applyFill="1" applyAlignment="1">
      <alignment horizontal="center" vertical="center"/>
    </xf>
    <xf numFmtId="194" fontId="33" fillId="0" borderId="0" xfId="0" applyNumberFormat="1" applyFont="1" applyAlignment="1">
      <alignment horizontal="center" vertical="center" shrinkToFit="1"/>
    </xf>
    <xf numFmtId="178" fontId="33" fillId="0" borderId="0" xfId="0" applyNumberFormat="1" applyFont="1" applyAlignment="1">
      <alignment horizontal="center" vertical="center" shrinkToFit="1"/>
    </xf>
    <xf numFmtId="181" fontId="33" fillId="0" borderId="0" xfId="0" applyNumberFormat="1" applyFont="1" applyAlignment="1">
      <alignment horizontal="center" vertical="center" shrinkToFit="1"/>
    </xf>
    <xf numFmtId="181" fontId="33" fillId="0" borderId="0" xfId="0" applyNumberFormat="1" applyFont="1" applyFill="1" applyAlignment="1">
      <alignment horizontal="center" vertical="center" shrinkToFit="1"/>
    </xf>
    <xf numFmtId="194" fontId="33" fillId="0" borderId="0" xfId="0" applyNumberFormat="1" applyFont="1" applyFill="1" applyAlignment="1">
      <alignment horizontal="center" vertical="center" shrinkToFit="1"/>
    </xf>
    <xf numFmtId="0" fontId="34" fillId="0" borderId="0" xfId="0" quotePrefix="1" applyFont="1" applyFill="1" applyAlignment="1">
      <alignment horizontal="center" vertical="center" shrinkToFit="1"/>
    </xf>
    <xf numFmtId="206" fontId="33" fillId="0" borderId="0" xfId="0" applyNumberFormat="1" applyFont="1" applyFill="1" applyAlignment="1">
      <alignment horizontal="center" vertical="center" shrinkToFit="1"/>
    </xf>
    <xf numFmtId="178" fontId="33" fillId="0" borderId="0" xfId="0" applyNumberFormat="1" applyFont="1" applyFill="1" applyAlignment="1">
      <alignment horizontal="center" vertical="center" shrinkToFit="1"/>
    </xf>
    <xf numFmtId="2" fontId="33" fillId="0" borderId="0" xfId="0" applyNumberFormat="1" applyFont="1" applyFill="1" applyAlignment="1">
      <alignment horizontal="center" vertical="center"/>
    </xf>
    <xf numFmtId="2" fontId="4" fillId="0" borderId="0" xfId="0" applyNumberFormat="1" applyFont="1" applyFill="1" applyAlignment="1">
      <alignment horizontal="center" vertical="center"/>
    </xf>
    <xf numFmtId="179" fontId="43" fillId="0" borderId="0" xfId="0" applyNumberFormat="1" applyFont="1" applyAlignment="1">
      <alignment horizontal="center" vertical="center"/>
    </xf>
    <xf numFmtId="0" fontId="0" fillId="0" borderId="0" xfId="0" applyFill="1" applyAlignment="1" applyProtection="1">
      <alignment horizontal="right" vertical="center"/>
      <protection hidden="1"/>
    </xf>
    <xf numFmtId="1" fontId="0" fillId="0" borderId="0" xfId="0" applyNumberFormat="1" applyFill="1" applyAlignment="1" applyProtection="1">
      <alignment horizontal="right" vertical="center"/>
      <protection hidden="1"/>
    </xf>
    <xf numFmtId="178" fontId="0" fillId="0" borderId="0" xfId="0" applyNumberFormat="1" applyFill="1" applyAlignment="1" applyProtection="1">
      <alignment horizontal="center" vertical="center" shrinkToFit="1"/>
      <protection hidden="1"/>
    </xf>
    <xf numFmtId="0" fontId="0" fillId="0" borderId="0" xfId="0" applyFill="1" applyAlignment="1" applyProtection="1">
      <alignment horizontal="left" vertical="center" shrinkToFit="1"/>
      <protection hidden="1"/>
    </xf>
    <xf numFmtId="0" fontId="0" fillId="0" borderId="0" xfId="0" applyFill="1" applyAlignment="1" applyProtection="1">
      <alignment horizontal="center" vertical="center" shrinkToFit="1"/>
      <protection hidden="1"/>
    </xf>
    <xf numFmtId="185" fontId="0" fillId="0" borderId="0" xfId="0" applyNumberFormat="1" applyFill="1" applyAlignment="1" applyProtection="1">
      <alignment horizontal="right" vertical="center" shrinkToFit="1"/>
      <protection hidden="1"/>
    </xf>
    <xf numFmtId="0" fontId="0" fillId="0" borderId="0" xfId="0" applyFill="1" applyAlignment="1" applyProtection="1">
      <alignment horizontal="right" vertical="center" shrinkToFit="1"/>
      <protection hidden="1"/>
    </xf>
    <xf numFmtId="1" fontId="0" fillId="0" borderId="0" xfId="0" applyNumberFormat="1" applyFill="1" applyAlignment="1" applyProtection="1">
      <alignment horizontal="center" vertical="center" shrinkToFit="1"/>
      <protection hidden="1"/>
    </xf>
    <xf numFmtId="0" fontId="0" fillId="0" borderId="0" xfId="0" quotePrefix="1" applyFill="1" applyAlignment="1" applyProtection="1">
      <alignment horizontal="right" vertical="center" shrinkToFit="1"/>
      <protection hidden="1"/>
    </xf>
    <xf numFmtId="186" fontId="0" fillId="0" borderId="0" xfId="0" applyNumberFormat="1" applyFill="1" applyAlignment="1" applyProtection="1">
      <alignment horizontal="right" vertical="center" shrinkToFit="1"/>
      <protection hidden="1"/>
    </xf>
    <xf numFmtId="1" fontId="0" fillId="0" borderId="0" xfId="0" applyNumberFormat="1" applyFill="1" applyAlignment="1" applyProtection="1">
      <alignment horizontal="right" vertical="center" shrinkToFit="1"/>
      <protection hidden="1"/>
    </xf>
    <xf numFmtId="178" fontId="0" fillId="0" borderId="0" xfId="0" applyNumberFormat="1" applyFill="1" applyAlignment="1" applyProtection="1">
      <alignment horizontal="right" vertical="center" shrinkToFit="1"/>
      <protection hidden="1"/>
    </xf>
    <xf numFmtId="178" fontId="0" fillId="0" borderId="0" xfId="0" quotePrefix="1" applyNumberFormat="1" applyFill="1" applyAlignment="1" applyProtection="1">
      <alignment horizontal="left" vertical="center" shrinkToFit="1"/>
      <protection hidden="1"/>
    </xf>
    <xf numFmtId="178" fontId="0" fillId="0" borderId="0" xfId="0" applyNumberFormat="1" applyFill="1" applyAlignment="1" applyProtection="1">
      <alignment horizontal="right" vertical="center" shrinkToFit="1"/>
      <protection hidden="1"/>
    </xf>
    <xf numFmtId="0" fontId="0" fillId="0" borderId="0" xfId="0" applyFill="1" applyAlignment="1" applyProtection="1">
      <alignment horizontal="left" vertical="center" shrinkToFit="1"/>
      <protection hidden="1"/>
    </xf>
    <xf numFmtId="0" fontId="0" fillId="0" borderId="0" xfId="0" quotePrefix="1" applyFill="1" applyAlignment="1" applyProtection="1">
      <alignment horizontal="left" vertical="center" shrinkToFit="1"/>
      <protection hidden="1"/>
    </xf>
    <xf numFmtId="183" fontId="0" fillId="0" borderId="0" xfId="0" applyNumberFormat="1" applyFill="1" applyAlignment="1" applyProtection="1">
      <alignment horizontal="center" vertical="center" shrinkToFit="1"/>
      <protection hidden="1"/>
    </xf>
    <xf numFmtId="183" fontId="10" fillId="24" borderId="0" xfId="0" applyNumberFormat="1" applyFont="1" applyFill="1" applyAlignment="1" applyProtection="1">
      <alignment horizontal="center" vertical="center" shrinkToFit="1"/>
      <protection hidden="1"/>
    </xf>
    <xf numFmtId="2" fontId="10" fillId="24" borderId="0" xfId="0" applyNumberFormat="1" applyFont="1" applyFill="1" applyAlignment="1" applyProtection="1">
      <alignment horizontal="right" vertical="center"/>
      <protection hidden="1"/>
    </xf>
    <xf numFmtId="192" fontId="4" fillId="0" borderId="0" xfId="0" applyNumberFormat="1" applyFont="1" applyAlignment="1">
      <alignment horizontal="center" vertical="center" shrinkToFit="1"/>
    </xf>
    <xf numFmtId="0" fontId="4" fillId="25" borderId="0" xfId="0" quotePrefix="1" applyFont="1" applyFill="1" applyAlignment="1">
      <alignment horizontal="center" vertical="center"/>
    </xf>
    <xf numFmtId="0" fontId="5" fillId="25" borderId="0" xfId="0" quotePrefix="1" applyFont="1" applyFill="1">
      <alignment vertical="center"/>
    </xf>
    <xf numFmtId="178" fontId="4" fillId="0" borderId="0" xfId="0" applyNumberFormat="1" applyFont="1" applyFill="1" applyAlignment="1">
      <alignment horizontal="center" vertical="center"/>
    </xf>
    <xf numFmtId="179" fontId="0" fillId="25" borderId="0" xfId="0" applyNumberFormat="1" applyFill="1" applyAlignment="1">
      <alignment horizontal="center" vertical="center"/>
    </xf>
    <xf numFmtId="1" fontId="0" fillId="25" borderId="0" xfId="0" applyNumberFormat="1" applyFill="1" applyAlignment="1">
      <alignment horizontal="center" vertical="center"/>
    </xf>
    <xf numFmtId="12" fontId="0" fillId="0" borderId="0" xfId="0" quotePrefix="1" applyNumberFormat="1" applyAlignment="1">
      <alignment horizontal="center" vertical="center"/>
    </xf>
    <xf numFmtId="0" fontId="4" fillId="0" borderId="0" xfId="0" applyFont="1" applyBorder="1">
      <alignment vertical="center"/>
    </xf>
    <xf numFmtId="178" fontId="0" fillId="0" borderId="0" xfId="0" applyNumberFormat="1" applyFill="1" applyAlignment="1" applyProtection="1">
      <alignment vertical="center" shrinkToFit="1"/>
      <protection hidden="1"/>
    </xf>
    <xf numFmtId="189" fontId="0" fillId="0" borderId="0" xfId="0" quotePrefix="1" applyNumberFormat="1" applyFill="1" applyAlignment="1" applyProtection="1">
      <alignment horizontal="left" vertical="center" shrinkToFit="1"/>
      <protection hidden="1"/>
    </xf>
    <xf numFmtId="178" fontId="0" fillId="0" borderId="0" xfId="0" applyNumberFormat="1" applyFill="1" applyAlignment="1" applyProtection="1">
      <alignment vertical="center" shrinkToFit="1"/>
      <protection hidden="1"/>
    </xf>
    <xf numFmtId="182" fontId="0" fillId="0" borderId="0" xfId="0" quotePrefix="1" applyNumberFormat="1" applyFill="1" applyAlignment="1" applyProtection="1">
      <alignment horizontal="left" vertical="center" shrinkToFit="1"/>
      <protection hidden="1"/>
    </xf>
    <xf numFmtId="182" fontId="0" fillId="0" borderId="0" xfId="0" applyNumberFormat="1" applyFill="1" applyAlignment="1" applyProtection="1">
      <alignment horizontal="left" vertical="center" shrinkToFit="1"/>
      <protection hidden="1"/>
    </xf>
    <xf numFmtId="2" fontId="4" fillId="25" borderId="0" xfId="0" applyNumberFormat="1" applyFont="1" applyFill="1" applyAlignment="1">
      <alignment horizontal="center" vertical="center" shrinkToFit="1"/>
    </xf>
    <xf numFmtId="2" fontId="4" fillId="24" borderId="0" xfId="0" applyNumberFormat="1" applyFont="1" applyFill="1" applyAlignment="1">
      <alignment horizontal="center" vertical="center" shrinkToFit="1"/>
    </xf>
    <xf numFmtId="190" fontId="4" fillId="25" borderId="10" xfId="0" applyNumberFormat="1" applyFont="1" applyFill="1" applyBorder="1" applyAlignment="1">
      <alignment horizontal="center" vertical="center"/>
    </xf>
    <xf numFmtId="190" fontId="4" fillId="25" borderId="11" xfId="0" applyNumberFormat="1" applyFont="1" applyFill="1" applyBorder="1" applyAlignment="1">
      <alignment horizontal="center" vertical="center"/>
    </xf>
    <xf numFmtId="1" fontId="4" fillId="25" borderId="10" xfId="0" applyNumberFormat="1" applyFont="1" applyFill="1" applyBorder="1" applyAlignment="1">
      <alignment horizontal="center" vertical="center"/>
    </xf>
    <xf numFmtId="0" fontId="4" fillId="25" borderId="25" xfId="0" applyFont="1" applyFill="1" applyBorder="1" applyAlignment="1">
      <alignment horizontal="center" vertical="center"/>
    </xf>
    <xf numFmtId="1" fontId="4" fillId="25" borderId="11" xfId="0" applyNumberFormat="1" applyFont="1" applyFill="1" applyBorder="1" applyAlignment="1">
      <alignment horizontal="center" vertical="center"/>
    </xf>
    <xf numFmtId="0" fontId="4" fillId="25" borderId="26" xfId="0" applyFont="1" applyFill="1" applyBorder="1" applyAlignment="1">
      <alignment horizontal="center" vertical="center"/>
    </xf>
    <xf numFmtId="2" fontId="4" fillId="0" borderId="12" xfId="0" applyNumberFormat="1" applyFont="1" applyBorder="1" applyAlignment="1">
      <alignment horizontal="center" vertical="center"/>
    </xf>
    <xf numFmtId="2" fontId="4" fillId="0" borderId="10" xfId="0" applyNumberFormat="1" applyFont="1" applyBorder="1" applyAlignment="1">
      <alignment horizontal="center" vertical="center"/>
    </xf>
    <xf numFmtId="2" fontId="0" fillId="0" borderId="0" xfId="0" applyNumberFormat="1" applyFill="1" applyAlignment="1" applyProtection="1">
      <alignment horizontal="center" vertical="center" shrinkToFit="1"/>
      <protection hidden="1"/>
    </xf>
    <xf numFmtId="0" fontId="4" fillId="0" borderId="0" xfId="0" applyFont="1" applyAlignment="1">
      <alignment vertical="center"/>
    </xf>
    <xf numFmtId="0" fontId="0" fillId="0" borderId="0" xfId="0" applyAlignment="1">
      <alignment vertical="center"/>
    </xf>
    <xf numFmtId="178" fontId="0" fillId="0" borderId="0" xfId="0" applyNumberFormat="1" applyAlignment="1">
      <alignment vertical="center"/>
    </xf>
    <xf numFmtId="178" fontId="0" fillId="0" borderId="0" xfId="0" applyNumberFormat="1" applyAlignment="1">
      <alignment horizontal="center" vertical="center" shrinkToFit="1"/>
    </xf>
    <xf numFmtId="178" fontId="0" fillId="0" borderId="0" xfId="0" applyNumberFormat="1" applyAlignment="1">
      <alignment horizontal="center" vertical="center" shrinkToFit="1"/>
    </xf>
    <xf numFmtId="0" fontId="0" fillId="0" borderId="0" xfId="0" quotePrefix="1" applyAlignment="1">
      <alignment vertical="center"/>
    </xf>
    <xf numFmtId="0" fontId="0" fillId="25" borderId="0" xfId="0" applyFill="1" applyAlignment="1">
      <alignment vertical="center"/>
    </xf>
    <xf numFmtId="2" fontId="0" fillId="0" borderId="0" xfId="0" applyNumberFormat="1" applyAlignment="1">
      <alignment horizontal="center" vertical="center" shrinkToFit="1"/>
    </xf>
    <xf numFmtId="1" fontId="0" fillId="0" borderId="0" xfId="0" applyNumberFormat="1" applyAlignment="1">
      <alignment horizontal="center" vertical="center" shrinkToFit="1"/>
    </xf>
    <xf numFmtId="179" fontId="0" fillId="0" borderId="0" xfId="0" applyNumberFormat="1" applyAlignment="1">
      <alignment horizontal="center" vertical="center" shrinkToFit="1"/>
    </xf>
  </cellXfs>
  <cellStyles count="47">
    <cellStyle name="20% - アクセント 1" xfId="1" builtinId="30" hidden="1" customBuiltin="1"/>
    <cellStyle name="20% - アクセント 2" xfId="2" builtinId="34" hidden="1" customBuiltin="1"/>
    <cellStyle name="20% - アクセント 3" xfId="3" builtinId="38" hidden="1" customBuiltin="1"/>
    <cellStyle name="20% - アクセント 4" xfId="4" builtinId="42" hidden="1" customBuiltin="1"/>
    <cellStyle name="20% - アクセント 5" xfId="5" builtinId="46" hidden="1" customBuiltin="1"/>
    <cellStyle name="20% - アクセント 6" xfId="6" builtinId="50" hidden="1" customBuiltin="1"/>
    <cellStyle name="40% - アクセント 1" xfId="7" builtinId="31" hidden="1" customBuiltin="1"/>
    <cellStyle name="40% - アクセント 2" xfId="8" builtinId="35" hidden="1" customBuiltin="1"/>
    <cellStyle name="40% - アクセント 3" xfId="9" builtinId="39" hidden="1" customBuiltin="1"/>
    <cellStyle name="40% - アクセント 4" xfId="10" builtinId="43" hidden="1" customBuiltin="1"/>
    <cellStyle name="40% - アクセント 5" xfId="11" builtinId="47" hidden="1" customBuiltin="1"/>
    <cellStyle name="40% - アクセント 6" xfId="12" builtinId="51" hidden="1" customBuiltin="1"/>
    <cellStyle name="60% - アクセント 1" xfId="13" builtinId="32" hidden="1" customBuiltin="1"/>
    <cellStyle name="60% - アクセント 2" xfId="14" builtinId="36" hidden="1" customBuiltin="1"/>
    <cellStyle name="60% - アクセント 3" xfId="15" builtinId="40" hidden="1" customBuiltin="1"/>
    <cellStyle name="60% - アクセント 4" xfId="16" builtinId="44" hidden="1" customBuiltin="1"/>
    <cellStyle name="60% - アクセント 5" xfId="17" builtinId="48" hidden="1" customBuiltin="1"/>
    <cellStyle name="60% - アクセント 6" xfId="18" builtinId="52" hidden="1" customBuiltin="1"/>
    <cellStyle name="アクセント 1" xfId="19" builtinId="29" hidden="1" customBuiltin="1"/>
    <cellStyle name="アクセント 2" xfId="20" builtinId="33" hidden="1" customBuiltin="1"/>
    <cellStyle name="アクセント 3" xfId="21" builtinId="37" hidden="1" customBuiltin="1"/>
    <cellStyle name="アクセント 4" xfId="22" builtinId="41" hidden="1" customBuiltin="1"/>
    <cellStyle name="アクセント 5" xfId="23" builtinId="45" hidden="1" customBuiltin="1"/>
    <cellStyle name="アクセント 6" xfId="24" builtinId="49" hidden="1" customBuiltin="1"/>
    <cellStyle name="タイトル" xfId="25" builtinId="15" hidden="1" customBuiltin="1"/>
    <cellStyle name="チェック セル" xfId="26" builtinId="23" hidden="1" customBuiltin="1"/>
    <cellStyle name="どちらでもない" xfId="27" builtinId="28" hidden="1" customBuiltin="1"/>
    <cellStyle name="パーセント" xfId="46" builtinId="5" hidden="1"/>
    <cellStyle name="メモ" xfId="28" builtinId="10" hidden="1" customBuiltin="1"/>
    <cellStyle name="リンク セル" xfId="29" builtinId="24" hidden="1" customBuiltin="1"/>
    <cellStyle name="悪い" xfId="30" builtinId="27" hidden="1" customBuiltin="1"/>
    <cellStyle name="計算" xfId="31" builtinId="22" hidden="1" customBuiltin="1"/>
    <cellStyle name="警告文" xfId="32" builtinId="11" hidden="1" customBuiltin="1"/>
    <cellStyle name="桁区切り" xfId="43" builtinId="6" hidden="1"/>
    <cellStyle name="桁区切り [0.00]" xfId="42" builtinId="3" hidden="1"/>
    <cellStyle name="見出し 1" xfId="33" builtinId="16" hidden="1" customBuiltin="1"/>
    <cellStyle name="見出し 2" xfId="34" builtinId="17" hidden="1" customBuiltin="1"/>
    <cellStyle name="見出し 3" xfId="35" builtinId="18" hidden="1" customBuiltin="1"/>
    <cellStyle name="見出し 4" xfId="36" builtinId="19" hidden="1" customBuiltin="1"/>
    <cellStyle name="集計" xfId="37" builtinId="25" hidden="1" customBuiltin="1"/>
    <cellStyle name="出力" xfId="38" builtinId="21" hidden="1" customBuiltin="1"/>
    <cellStyle name="説明文" xfId="39" builtinId="53" hidden="1" customBuiltin="1"/>
    <cellStyle name="通貨" xfId="45" builtinId="7" hidden="1"/>
    <cellStyle name="通貨 [0.00]" xfId="44" builtinId="4" hidden="1"/>
    <cellStyle name="入力" xfId="40" builtinId="20" hidden="1" customBuiltin="1"/>
    <cellStyle name="標準" xfId="0" builtinId="0"/>
    <cellStyle name="良い" xfId="41" builtinId="26" hidden="1" customBuiltin="1"/>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9</xdr:col>
      <xdr:colOff>0</xdr:colOff>
      <xdr:row>159</xdr:row>
      <xdr:rowOff>0</xdr:rowOff>
    </xdr:from>
    <xdr:to>
      <xdr:col>14</xdr:col>
      <xdr:colOff>0</xdr:colOff>
      <xdr:row>159</xdr:row>
      <xdr:rowOff>0</xdr:rowOff>
    </xdr:to>
    <xdr:sp macro="" textlink="">
      <xdr:nvSpPr>
        <xdr:cNvPr id="12342" name="Line 1">
          <a:extLst>
            <a:ext uri="{FF2B5EF4-FFF2-40B4-BE49-F238E27FC236}">
              <a16:creationId xmlns:a16="http://schemas.microsoft.com/office/drawing/2014/main" id="{FD1092BE-84D4-7184-97B4-30EA4A2C3AF6}"/>
            </a:ext>
          </a:extLst>
        </xdr:cNvPr>
        <xdr:cNvSpPr>
          <a:spLocks noChangeShapeType="1"/>
        </xdr:cNvSpPr>
      </xdr:nvSpPr>
      <xdr:spPr bwMode="auto">
        <a:xfrm>
          <a:off x="1628775" y="22202775"/>
          <a:ext cx="90487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159</xdr:row>
      <xdr:rowOff>0</xdr:rowOff>
    </xdr:from>
    <xdr:to>
      <xdr:col>19</xdr:col>
      <xdr:colOff>0</xdr:colOff>
      <xdr:row>159</xdr:row>
      <xdr:rowOff>0</xdr:rowOff>
    </xdr:to>
    <xdr:sp macro="" textlink="">
      <xdr:nvSpPr>
        <xdr:cNvPr id="12343" name="Line 2">
          <a:extLst>
            <a:ext uri="{FF2B5EF4-FFF2-40B4-BE49-F238E27FC236}">
              <a16:creationId xmlns:a16="http://schemas.microsoft.com/office/drawing/2014/main" id="{52634DDD-9F0D-6EB3-0013-5569657D7170}"/>
            </a:ext>
          </a:extLst>
        </xdr:cNvPr>
        <xdr:cNvSpPr>
          <a:spLocks noChangeShapeType="1"/>
        </xdr:cNvSpPr>
      </xdr:nvSpPr>
      <xdr:spPr bwMode="auto">
        <a:xfrm>
          <a:off x="2714625" y="22202775"/>
          <a:ext cx="72390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159</xdr:row>
      <xdr:rowOff>0</xdr:rowOff>
    </xdr:from>
    <xdr:to>
      <xdr:col>22</xdr:col>
      <xdr:colOff>0</xdr:colOff>
      <xdr:row>159</xdr:row>
      <xdr:rowOff>0</xdr:rowOff>
    </xdr:to>
    <xdr:sp macro="" textlink="">
      <xdr:nvSpPr>
        <xdr:cNvPr id="12344" name="Line 3">
          <a:extLst>
            <a:ext uri="{FF2B5EF4-FFF2-40B4-BE49-F238E27FC236}">
              <a16:creationId xmlns:a16="http://schemas.microsoft.com/office/drawing/2014/main" id="{9EF6A206-185A-0A24-2CD2-7AE3F92D0F8B}"/>
            </a:ext>
          </a:extLst>
        </xdr:cNvPr>
        <xdr:cNvSpPr>
          <a:spLocks noChangeShapeType="1"/>
        </xdr:cNvSpPr>
      </xdr:nvSpPr>
      <xdr:spPr bwMode="auto">
        <a:xfrm>
          <a:off x="3619500" y="22202775"/>
          <a:ext cx="3619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0</xdr:colOff>
      <xdr:row>159</xdr:row>
      <xdr:rowOff>0</xdr:rowOff>
    </xdr:from>
    <xdr:to>
      <xdr:col>25</xdr:col>
      <xdr:colOff>0</xdr:colOff>
      <xdr:row>159</xdr:row>
      <xdr:rowOff>0</xdr:rowOff>
    </xdr:to>
    <xdr:sp macro="" textlink="">
      <xdr:nvSpPr>
        <xdr:cNvPr id="12345" name="Line 4">
          <a:extLst>
            <a:ext uri="{FF2B5EF4-FFF2-40B4-BE49-F238E27FC236}">
              <a16:creationId xmlns:a16="http://schemas.microsoft.com/office/drawing/2014/main" id="{33601F43-6EE3-3372-2493-859E8B20A1C8}"/>
            </a:ext>
          </a:extLst>
        </xdr:cNvPr>
        <xdr:cNvSpPr>
          <a:spLocks noChangeShapeType="1"/>
        </xdr:cNvSpPr>
      </xdr:nvSpPr>
      <xdr:spPr bwMode="auto">
        <a:xfrm>
          <a:off x="4162425" y="22202775"/>
          <a:ext cx="3619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159</xdr:row>
      <xdr:rowOff>0</xdr:rowOff>
    </xdr:from>
    <xdr:to>
      <xdr:col>28</xdr:col>
      <xdr:colOff>0</xdr:colOff>
      <xdr:row>159</xdr:row>
      <xdr:rowOff>0</xdr:rowOff>
    </xdr:to>
    <xdr:sp macro="" textlink="">
      <xdr:nvSpPr>
        <xdr:cNvPr id="12346" name="Line 5">
          <a:extLst>
            <a:ext uri="{FF2B5EF4-FFF2-40B4-BE49-F238E27FC236}">
              <a16:creationId xmlns:a16="http://schemas.microsoft.com/office/drawing/2014/main" id="{6AF9E786-13C8-569A-E02A-6C328D5F690C}"/>
            </a:ext>
          </a:extLst>
        </xdr:cNvPr>
        <xdr:cNvSpPr>
          <a:spLocks noChangeShapeType="1"/>
        </xdr:cNvSpPr>
      </xdr:nvSpPr>
      <xdr:spPr bwMode="auto">
        <a:xfrm>
          <a:off x="4705350" y="22202775"/>
          <a:ext cx="3619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165</xdr:row>
      <xdr:rowOff>0</xdr:rowOff>
    </xdr:from>
    <xdr:to>
      <xdr:col>16</xdr:col>
      <xdr:colOff>0</xdr:colOff>
      <xdr:row>165</xdr:row>
      <xdr:rowOff>0</xdr:rowOff>
    </xdr:to>
    <xdr:sp macro="" textlink="">
      <xdr:nvSpPr>
        <xdr:cNvPr id="12347" name="Line 6">
          <a:extLst>
            <a:ext uri="{FF2B5EF4-FFF2-40B4-BE49-F238E27FC236}">
              <a16:creationId xmlns:a16="http://schemas.microsoft.com/office/drawing/2014/main" id="{A58F555A-C619-A44C-6CD2-2BA4D1241523}"/>
            </a:ext>
          </a:extLst>
        </xdr:cNvPr>
        <xdr:cNvSpPr>
          <a:spLocks noChangeShapeType="1"/>
        </xdr:cNvSpPr>
      </xdr:nvSpPr>
      <xdr:spPr bwMode="auto">
        <a:xfrm>
          <a:off x="1990725" y="23402925"/>
          <a:ext cx="90487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0</xdr:colOff>
      <xdr:row>165</xdr:row>
      <xdr:rowOff>0</xdr:rowOff>
    </xdr:from>
    <xdr:to>
      <xdr:col>22</xdr:col>
      <xdr:colOff>0</xdr:colOff>
      <xdr:row>165</xdr:row>
      <xdr:rowOff>0</xdr:rowOff>
    </xdr:to>
    <xdr:sp macro="" textlink="">
      <xdr:nvSpPr>
        <xdr:cNvPr id="12348" name="Line 7">
          <a:extLst>
            <a:ext uri="{FF2B5EF4-FFF2-40B4-BE49-F238E27FC236}">
              <a16:creationId xmlns:a16="http://schemas.microsoft.com/office/drawing/2014/main" id="{23A21BF7-E5B5-043D-B6AB-4821D09FCD12}"/>
            </a:ext>
          </a:extLst>
        </xdr:cNvPr>
        <xdr:cNvSpPr>
          <a:spLocks noChangeShapeType="1"/>
        </xdr:cNvSpPr>
      </xdr:nvSpPr>
      <xdr:spPr bwMode="auto">
        <a:xfrm>
          <a:off x="3076575" y="23402925"/>
          <a:ext cx="90487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178</xdr:row>
      <xdr:rowOff>0</xdr:rowOff>
    </xdr:from>
    <xdr:to>
      <xdr:col>18</xdr:col>
      <xdr:colOff>0</xdr:colOff>
      <xdr:row>178</xdr:row>
      <xdr:rowOff>0</xdr:rowOff>
    </xdr:to>
    <xdr:sp macro="" textlink="">
      <xdr:nvSpPr>
        <xdr:cNvPr id="12349" name="Line 9">
          <a:extLst>
            <a:ext uri="{FF2B5EF4-FFF2-40B4-BE49-F238E27FC236}">
              <a16:creationId xmlns:a16="http://schemas.microsoft.com/office/drawing/2014/main" id="{3CBD0BE2-27FC-5509-E41B-15C2CB88BB96}"/>
            </a:ext>
          </a:extLst>
        </xdr:cNvPr>
        <xdr:cNvSpPr>
          <a:spLocks noChangeShapeType="1"/>
        </xdr:cNvSpPr>
      </xdr:nvSpPr>
      <xdr:spPr bwMode="auto">
        <a:xfrm>
          <a:off x="1990725" y="26003250"/>
          <a:ext cx="12668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178</xdr:row>
      <xdr:rowOff>0</xdr:rowOff>
    </xdr:from>
    <xdr:to>
      <xdr:col>29</xdr:col>
      <xdr:colOff>0</xdr:colOff>
      <xdr:row>178</xdr:row>
      <xdr:rowOff>0</xdr:rowOff>
    </xdr:to>
    <xdr:sp macro="" textlink="">
      <xdr:nvSpPr>
        <xdr:cNvPr id="12350" name="Line 10">
          <a:extLst>
            <a:ext uri="{FF2B5EF4-FFF2-40B4-BE49-F238E27FC236}">
              <a16:creationId xmlns:a16="http://schemas.microsoft.com/office/drawing/2014/main" id="{210553B8-29F3-1F30-54D9-C09BE2145FB1}"/>
            </a:ext>
          </a:extLst>
        </xdr:cNvPr>
        <xdr:cNvSpPr>
          <a:spLocks noChangeShapeType="1"/>
        </xdr:cNvSpPr>
      </xdr:nvSpPr>
      <xdr:spPr bwMode="auto">
        <a:xfrm>
          <a:off x="3438525" y="26003250"/>
          <a:ext cx="18097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178</xdr:row>
      <xdr:rowOff>0</xdr:rowOff>
    </xdr:from>
    <xdr:to>
      <xdr:col>33</xdr:col>
      <xdr:colOff>0</xdr:colOff>
      <xdr:row>178</xdr:row>
      <xdr:rowOff>0</xdr:rowOff>
    </xdr:to>
    <xdr:sp macro="" textlink="">
      <xdr:nvSpPr>
        <xdr:cNvPr id="12351" name="Line 11">
          <a:extLst>
            <a:ext uri="{FF2B5EF4-FFF2-40B4-BE49-F238E27FC236}">
              <a16:creationId xmlns:a16="http://schemas.microsoft.com/office/drawing/2014/main" id="{ED0063DC-F71B-9EB4-5BC9-7589AFCE00AD}"/>
            </a:ext>
          </a:extLst>
        </xdr:cNvPr>
        <xdr:cNvSpPr>
          <a:spLocks noChangeShapeType="1"/>
        </xdr:cNvSpPr>
      </xdr:nvSpPr>
      <xdr:spPr bwMode="auto">
        <a:xfrm>
          <a:off x="5610225" y="26003250"/>
          <a:ext cx="3619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180</xdr:row>
      <xdr:rowOff>0</xdr:rowOff>
    </xdr:from>
    <xdr:to>
      <xdr:col>14</xdr:col>
      <xdr:colOff>0</xdr:colOff>
      <xdr:row>180</xdr:row>
      <xdr:rowOff>0</xdr:rowOff>
    </xdr:to>
    <xdr:sp macro="" textlink="">
      <xdr:nvSpPr>
        <xdr:cNvPr id="12352" name="Line 12">
          <a:extLst>
            <a:ext uri="{FF2B5EF4-FFF2-40B4-BE49-F238E27FC236}">
              <a16:creationId xmlns:a16="http://schemas.microsoft.com/office/drawing/2014/main" id="{0F6E15A2-9D3A-0912-C5AF-092DBD03E724}"/>
            </a:ext>
          </a:extLst>
        </xdr:cNvPr>
        <xdr:cNvSpPr>
          <a:spLocks noChangeShapeType="1"/>
        </xdr:cNvSpPr>
      </xdr:nvSpPr>
      <xdr:spPr bwMode="auto">
        <a:xfrm>
          <a:off x="1266825" y="26403300"/>
          <a:ext cx="12668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180</xdr:row>
      <xdr:rowOff>0</xdr:rowOff>
    </xdr:from>
    <xdr:to>
      <xdr:col>18</xdr:col>
      <xdr:colOff>0</xdr:colOff>
      <xdr:row>180</xdr:row>
      <xdr:rowOff>0</xdr:rowOff>
    </xdr:to>
    <xdr:sp macro="" textlink="">
      <xdr:nvSpPr>
        <xdr:cNvPr id="12353" name="Line 13">
          <a:extLst>
            <a:ext uri="{FF2B5EF4-FFF2-40B4-BE49-F238E27FC236}">
              <a16:creationId xmlns:a16="http://schemas.microsoft.com/office/drawing/2014/main" id="{B44D7437-AFDB-EB02-EF49-1BAA96E2E6BD}"/>
            </a:ext>
          </a:extLst>
        </xdr:cNvPr>
        <xdr:cNvSpPr>
          <a:spLocks noChangeShapeType="1"/>
        </xdr:cNvSpPr>
      </xdr:nvSpPr>
      <xdr:spPr bwMode="auto">
        <a:xfrm>
          <a:off x="2714625" y="26403300"/>
          <a:ext cx="5429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0</xdr:colOff>
      <xdr:row>66</xdr:row>
      <xdr:rowOff>0</xdr:rowOff>
    </xdr:from>
    <xdr:to>
      <xdr:col>25</xdr:col>
      <xdr:colOff>0</xdr:colOff>
      <xdr:row>66</xdr:row>
      <xdr:rowOff>0</xdr:rowOff>
    </xdr:to>
    <xdr:sp macro="" textlink="">
      <xdr:nvSpPr>
        <xdr:cNvPr id="12354" name="Line 14">
          <a:extLst>
            <a:ext uri="{FF2B5EF4-FFF2-40B4-BE49-F238E27FC236}">
              <a16:creationId xmlns:a16="http://schemas.microsoft.com/office/drawing/2014/main" id="{03AAC87B-3E1B-ABC3-C10E-9DF84146324E}"/>
            </a:ext>
          </a:extLst>
        </xdr:cNvPr>
        <xdr:cNvSpPr>
          <a:spLocks noChangeShapeType="1"/>
        </xdr:cNvSpPr>
      </xdr:nvSpPr>
      <xdr:spPr bwMode="auto">
        <a:xfrm>
          <a:off x="2533650" y="8401050"/>
          <a:ext cx="19907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0</xdr:colOff>
      <xdr:row>58</xdr:row>
      <xdr:rowOff>0</xdr:rowOff>
    </xdr:from>
    <xdr:to>
      <xdr:col>15</xdr:col>
      <xdr:colOff>0</xdr:colOff>
      <xdr:row>58</xdr:row>
      <xdr:rowOff>0</xdr:rowOff>
    </xdr:to>
    <xdr:sp macro="" textlink="">
      <xdr:nvSpPr>
        <xdr:cNvPr id="12355" name="Line 15">
          <a:extLst>
            <a:ext uri="{FF2B5EF4-FFF2-40B4-BE49-F238E27FC236}">
              <a16:creationId xmlns:a16="http://schemas.microsoft.com/office/drawing/2014/main" id="{928F63F6-F893-D2A1-D5F1-F9D83A074C16}"/>
            </a:ext>
          </a:extLst>
        </xdr:cNvPr>
        <xdr:cNvSpPr>
          <a:spLocks noChangeShapeType="1"/>
        </xdr:cNvSpPr>
      </xdr:nvSpPr>
      <xdr:spPr bwMode="auto">
        <a:xfrm>
          <a:off x="1447800" y="6800850"/>
          <a:ext cx="12668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0</xdr:colOff>
      <xdr:row>80</xdr:row>
      <xdr:rowOff>0</xdr:rowOff>
    </xdr:from>
    <xdr:to>
      <xdr:col>28</xdr:col>
      <xdr:colOff>0</xdr:colOff>
      <xdr:row>80</xdr:row>
      <xdr:rowOff>0</xdr:rowOff>
    </xdr:to>
    <xdr:sp macro="" textlink="">
      <xdr:nvSpPr>
        <xdr:cNvPr id="12356" name="Line 16">
          <a:extLst>
            <a:ext uri="{FF2B5EF4-FFF2-40B4-BE49-F238E27FC236}">
              <a16:creationId xmlns:a16="http://schemas.microsoft.com/office/drawing/2014/main" id="{1864B06A-2520-81A1-0BAC-079B2C3A6218}"/>
            </a:ext>
          </a:extLst>
        </xdr:cNvPr>
        <xdr:cNvSpPr>
          <a:spLocks noChangeShapeType="1"/>
        </xdr:cNvSpPr>
      </xdr:nvSpPr>
      <xdr:spPr bwMode="auto">
        <a:xfrm>
          <a:off x="2533650" y="11201400"/>
          <a:ext cx="25336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108</xdr:row>
      <xdr:rowOff>0</xdr:rowOff>
    </xdr:from>
    <xdr:to>
      <xdr:col>15</xdr:col>
      <xdr:colOff>0</xdr:colOff>
      <xdr:row>108</xdr:row>
      <xdr:rowOff>0</xdr:rowOff>
    </xdr:to>
    <xdr:sp macro="" textlink="">
      <xdr:nvSpPr>
        <xdr:cNvPr id="12358" name="Line 18">
          <a:extLst>
            <a:ext uri="{FF2B5EF4-FFF2-40B4-BE49-F238E27FC236}">
              <a16:creationId xmlns:a16="http://schemas.microsoft.com/office/drawing/2014/main" id="{F71327DF-DC5E-31A1-4F37-EB4D1646FB1A}"/>
            </a:ext>
          </a:extLst>
        </xdr:cNvPr>
        <xdr:cNvSpPr>
          <a:spLocks noChangeShapeType="1"/>
        </xdr:cNvSpPr>
      </xdr:nvSpPr>
      <xdr:spPr bwMode="auto">
        <a:xfrm>
          <a:off x="1266825" y="15801975"/>
          <a:ext cx="144780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121</xdr:row>
      <xdr:rowOff>0</xdr:rowOff>
    </xdr:from>
    <xdr:to>
      <xdr:col>20</xdr:col>
      <xdr:colOff>0</xdr:colOff>
      <xdr:row>121</xdr:row>
      <xdr:rowOff>0</xdr:rowOff>
    </xdr:to>
    <xdr:sp macro="" textlink="">
      <xdr:nvSpPr>
        <xdr:cNvPr id="12359" name="Line 19">
          <a:extLst>
            <a:ext uri="{FF2B5EF4-FFF2-40B4-BE49-F238E27FC236}">
              <a16:creationId xmlns:a16="http://schemas.microsoft.com/office/drawing/2014/main" id="{A93E6F6D-A261-B3AD-0A43-B5287CD271EF}"/>
            </a:ext>
          </a:extLst>
        </xdr:cNvPr>
        <xdr:cNvSpPr>
          <a:spLocks noChangeShapeType="1"/>
        </xdr:cNvSpPr>
      </xdr:nvSpPr>
      <xdr:spPr bwMode="auto">
        <a:xfrm>
          <a:off x="1266825" y="18402300"/>
          <a:ext cx="235267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0</xdr:colOff>
      <xdr:row>313</xdr:row>
      <xdr:rowOff>0</xdr:rowOff>
    </xdr:from>
    <xdr:to>
      <xdr:col>14</xdr:col>
      <xdr:colOff>0</xdr:colOff>
      <xdr:row>313</xdr:row>
      <xdr:rowOff>0</xdr:rowOff>
    </xdr:to>
    <xdr:sp macro="" textlink="">
      <xdr:nvSpPr>
        <xdr:cNvPr id="12360" name="Line 20">
          <a:extLst>
            <a:ext uri="{FF2B5EF4-FFF2-40B4-BE49-F238E27FC236}">
              <a16:creationId xmlns:a16="http://schemas.microsoft.com/office/drawing/2014/main" id="{CA97DB0C-15EE-93D3-C8AC-3D11B90BCED9}"/>
            </a:ext>
          </a:extLst>
        </xdr:cNvPr>
        <xdr:cNvSpPr>
          <a:spLocks noChangeShapeType="1"/>
        </xdr:cNvSpPr>
      </xdr:nvSpPr>
      <xdr:spPr bwMode="auto">
        <a:xfrm>
          <a:off x="1447800" y="32604075"/>
          <a:ext cx="10858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313</xdr:row>
      <xdr:rowOff>0</xdr:rowOff>
    </xdr:from>
    <xdr:to>
      <xdr:col>21</xdr:col>
      <xdr:colOff>0</xdr:colOff>
      <xdr:row>313</xdr:row>
      <xdr:rowOff>0</xdr:rowOff>
    </xdr:to>
    <xdr:sp macro="" textlink="">
      <xdr:nvSpPr>
        <xdr:cNvPr id="12361" name="Line 21">
          <a:extLst>
            <a:ext uri="{FF2B5EF4-FFF2-40B4-BE49-F238E27FC236}">
              <a16:creationId xmlns:a16="http://schemas.microsoft.com/office/drawing/2014/main" id="{EC04F211-3AC2-E8FB-77DC-0C143D11974D}"/>
            </a:ext>
          </a:extLst>
        </xdr:cNvPr>
        <xdr:cNvSpPr>
          <a:spLocks noChangeShapeType="1"/>
        </xdr:cNvSpPr>
      </xdr:nvSpPr>
      <xdr:spPr bwMode="auto">
        <a:xfrm>
          <a:off x="2714625" y="32604075"/>
          <a:ext cx="10858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59</xdr:row>
      <xdr:rowOff>0</xdr:rowOff>
    </xdr:from>
    <xdr:to>
      <xdr:col>14</xdr:col>
      <xdr:colOff>0</xdr:colOff>
      <xdr:row>59</xdr:row>
      <xdr:rowOff>0</xdr:rowOff>
    </xdr:to>
    <xdr:sp macro="" textlink="">
      <xdr:nvSpPr>
        <xdr:cNvPr id="15404" name="Line 1">
          <a:extLst>
            <a:ext uri="{FF2B5EF4-FFF2-40B4-BE49-F238E27FC236}">
              <a16:creationId xmlns:a16="http://schemas.microsoft.com/office/drawing/2014/main" id="{0857B138-C4B6-3377-E727-F358D6903441}"/>
            </a:ext>
          </a:extLst>
        </xdr:cNvPr>
        <xdr:cNvSpPr>
          <a:spLocks noChangeShapeType="1"/>
        </xdr:cNvSpPr>
      </xdr:nvSpPr>
      <xdr:spPr bwMode="auto">
        <a:xfrm>
          <a:off x="1628775" y="11601450"/>
          <a:ext cx="90487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59</xdr:row>
      <xdr:rowOff>0</xdr:rowOff>
    </xdr:from>
    <xdr:to>
      <xdr:col>19</xdr:col>
      <xdr:colOff>0</xdr:colOff>
      <xdr:row>59</xdr:row>
      <xdr:rowOff>0</xdr:rowOff>
    </xdr:to>
    <xdr:sp macro="" textlink="">
      <xdr:nvSpPr>
        <xdr:cNvPr id="15405" name="Line 2">
          <a:extLst>
            <a:ext uri="{FF2B5EF4-FFF2-40B4-BE49-F238E27FC236}">
              <a16:creationId xmlns:a16="http://schemas.microsoft.com/office/drawing/2014/main" id="{BB5C8495-169F-01F1-684D-63A658824207}"/>
            </a:ext>
          </a:extLst>
        </xdr:cNvPr>
        <xdr:cNvSpPr>
          <a:spLocks noChangeShapeType="1"/>
        </xdr:cNvSpPr>
      </xdr:nvSpPr>
      <xdr:spPr bwMode="auto">
        <a:xfrm>
          <a:off x="2714625" y="11601450"/>
          <a:ext cx="72390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59</xdr:row>
      <xdr:rowOff>0</xdr:rowOff>
    </xdr:from>
    <xdr:to>
      <xdr:col>22</xdr:col>
      <xdr:colOff>0</xdr:colOff>
      <xdr:row>59</xdr:row>
      <xdr:rowOff>0</xdr:rowOff>
    </xdr:to>
    <xdr:sp macro="" textlink="">
      <xdr:nvSpPr>
        <xdr:cNvPr id="15406" name="Line 3">
          <a:extLst>
            <a:ext uri="{FF2B5EF4-FFF2-40B4-BE49-F238E27FC236}">
              <a16:creationId xmlns:a16="http://schemas.microsoft.com/office/drawing/2014/main" id="{47FA0986-5E0A-6D62-0C41-317E1DE3D17B}"/>
            </a:ext>
          </a:extLst>
        </xdr:cNvPr>
        <xdr:cNvSpPr>
          <a:spLocks noChangeShapeType="1"/>
        </xdr:cNvSpPr>
      </xdr:nvSpPr>
      <xdr:spPr bwMode="auto">
        <a:xfrm>
          <a:off x="3619500" y="11601450"/>
          <a:ext cx="3619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0</xdr:colOff>
      <xdr:row>59</xdr:row>
      <xdr:rowOff>0</xdr:rowOff>
    </xdr:from>
    <xdr:to>
      <xdr:col>25</xdr:col>
      <xdr:colOff>0</xdr:colOff>
      <xdr:row>59</xdr:row>
      <xdr:rowOff>0</xdr:rowOff>
    </xdr:to>
    <xdr:sp macro="" textlink="">
      <xdr:nvSpPr>
        <xdr:cNvPr id="15407" name="Line 4">
          <a:extLst>
            <a:ext uri="{FF2B5EF4-FFF2-40B4-BE49-F238E27FC236}">
              <a16:creationId xmlns:a16="http://schemas.microsoft.com/office/drawing/2014/main" id="{F64E024E-66A6-72F6-D3BA-E516C6FA98E5}"/>
            </a:ext>
          </a:extLst>
        </xdr:cNvPr>
        <xdr:cNvSpPr>
          <a:spLocks noChangeShapeType="1"/>
        </xdr:cNvSpPr>
      </xdr:nvSpPr>
      <xdr:spPr bwMode="auto">
        <a:xfrm>
          <a:off x="4162425" y="11601450"/>
          <a:ext cx="3619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59</xdr:row>
      <xdr:rowOff>0</xdr:rowOff>
    </xdr:from>
    <xdr:to>
      <xdr:col>28</xdr:col>
      <xdr:colOff>0</xdr:colOff>
      <xdr:row>59</xdr:row>
      <xdr:rowOff>0</xdr:rowOff>
    </xdr:to>
    <xdr:sp macro="" textlink="">
      <xdr:nvSpPr>
        <xdr:cNvPr id="15408" name="Line 5">
          <a:extLst>
            <a:ext uri="{FF2B5EF4-FFF2-40B4-BE49-F238E27FC236}">
              <a16:creationId xmlns:a16="http://schemas.microsoft.com/office/drawing/2014/main" id="{BF026310-64E3-89C4-FCD1-95737318FC2D}"/>
            </a:ext>
          </a:extLst>
        </xdr:cNvPr>
        <xdr:cNvSpPr>
          <a:spLocks noChangeShapeType="1"/>
        </xdr:cNvSpPr>
      </xdr:nvSpPr>
      <xdr:spPr bwMode="auto">
        <a:xfrm>
          <a:off x="4705350" y="11601450"/>
          <a:ext cx="3619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65</xdr:row>
      <xdr:rowOff>0</xdr:rowOff>
    </xdr:from>
    <xdr:to>
      <xdr:col>16</xdr:col>
      <xdr:colOff>0</xdr:colOff>
      <xdr:row>65</xdr:row>
      <xdr:rowOff>0</xdr:rowOff>
    </xdr:to>
    <xdr:sp macro="" textlink="">
      <xdr:nvSpPr>
        <xdr:cNvPr id="15409" name="Line 6">
          <a:extLst>
            <a:ext uri="{FF2B5EF4-FFF2-40B4-BE49-F238E27FC236}">
              <a16:creationId xmlns:a16="http://schemas.microsoft.com/office/drawing/2014/main" id="{B7658F4D-0C96-EEC0-F3E8-FF0E50C6FB2B}"/>
            </a:ext>
          </a:extLst>
        </xdr:cNvPr>
        <xdr:cNvSpPr>
          <a:spLocks noChangeShapeType="1"/>
        </xdr:cNvSpPr>
      </xdr:nvSpPr>
      <xdr:spPr bwMode="auto">
        <a:xfrm>
          <a:off x="1990725" y="12801600"/>
          <a:ext cx="90487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0</xdr:colOff>
      <xdr:row>65</xdr:row>
      <xdr:rowOff>0</xdr:rowOff>
    </xdr:from>
    <xdr:to>
      <xdr:col>22</xdr:col>
      <xdr:colOff>0</xdr:colOff>
      <xdr:row>65</xdr:row>
      <xdr:rowOff>0</xdr:rowOff>
    </xdr:to>
    <xdr:sp macro="" textlink="">
      <xdr:nvSpPr>
        <xdr:cNvPr id="15410" name="Line 7">
          <a:extLst>
            <a:ext uri="{FF2B5EF4-FFF2-40B4-BE49-F238E27FC236}">
              <a16:creationId xmlns:a16="http://schemas.microsoft.com/office/drawing/2014/main" id="{0F8D8EA3-F839-C114-A0EC-F34711FA7100}"/>
            </a:ext>
          </a:extLst>
        </xdr:cNvPr>
        <xdr:cNvSpPr>
          <a:spLocks noChangeShapeType="1"/>
        </xdr:cNvSpPr>
      </xdr:nvSpPr>
      <xdr:spPr bwMode="auto">
        <a:xfrm>
          <a:off x="3076575" y="12801600"/>
          <a:ext cx="90487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78</xdr:row>
      <xdr:rowOff>0</xdr:rowOff>
    </xdr:from>
    <xdr:to>
      <xdr:col>18</xdr:col>
      <xdr:colOff>0</xdr:colOff>
      <xdr:row>78</xdr:row>
      <xdr:rowOff>0</xdr:rowOff>
    </xdr:to>
    <xdr:sp macro="" textlink="">
      <xdr:nvSpPr>
        <xdr:cNvPr id="15411" name="Line 9">
          <a:extLst>
            <a:ext uri="{FF2B5EF4-FFF2-40B4-BE49-F238E27FC236}">
              <a16:creationId xmlns:a16="http://schemas.microsoft.com/office/drawing/2014/main" id="{69EA07C3-BAF2-618F-5E1F-C7CEBD7A751A}"/>
            </a:ext>
          </a:extLst>
        </xdr:cNvPr>
        <xdr:cNvSpPr>
          <a:spLocks noChangeShapeType="1"/>
        </xdr:cNvSpPr>
      </xdr:nvSpPr>
      <xdr:spPr bwMode="auto">
        <a:xfrm>
          <a:off x="1990725" y="15401925"/>
          <a:ext cx="12668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78</xdr:row>
      <xdr:rowOff>0</xdr:rowOff>
    </xdr:from>
    <xdr:to>
      <xdr:col>29</xdr:col>
      <xdr:colOff>0</xdr:colOff>
      <xdr:row>78</xdr:row>
      <xdr:rowOff>0</xdr:rowOff>
    </xdr:to>
    <xdr:sp macro="" textlink="">
      <xdr:nvSpPr>
        <xdr:cNvPr id="15412" name="Line 10">
          <a:extLst>
            <a:ext uri="{FF2B5EF4-FFF2-40B4-BE49-F238E27FC236}">
              <a16:creationId xmlns:a16="http://schemas.microsoft.com/office/drawing/2014/main" id="{BFC8934A-1739-DE2C-AD97-E0C34FBB9D19}"/>
            </a:ext>
          </a:extLst>
        </xdr:cNvPr>
        <xdr:cNvSpPr>
          <a:spLocks noChangeShapeType="1"/>
        </xdr:cNvSpPr>
      </xdr:nvSpPr>
      <xdr:spPr bwMode="auto">
        <a:xfrm>
          <a:off x="3438525" y="15401925"/>
          <a:ext cx="18097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78</xdr:row>
      <xdr:rowOff>0</xdr:rowOff>
    </xdr:from>
    <xdr:to>
      <xdr:col>33</xdr:col>
      <xdr:colOff>0</xdr:colOff>
      <xdr:row>78</xdr:row>
      <xdr:rowOff>0</xdr:rowOff>
    </xdr:to>
    <xdr:sp macro="" textlink="">
      <xdr:nvSpPr>
        <xdr:cNvPr id="15413" name="Line 11">
          <a:extLst>
            <a:ext uri="{FF2B5EF4-FFF2-40B4-BE49-F238E27FC236}">
              <a16:creationId xmlns:a16="http://schemas.microsoft.com/office/drawing/2014/main" id="{65B1DF81-C9AE-7E5B-C358-17C0E804F2EC}"/>
            </a:ext>
          </a:extLst>
        </xdr:cNvPr>
        <xdr:cNvSpPr>
          <a:spLocks noChangeShapeType="1"/>
        </xdr:cNvSpPr>
      </xdr:nvSpPr>
      <xdr:spPr bwMode="auto">
        <a:xfrm>
          <a:off x="5610225" y="15401925"/>
          <a:ext cx="3619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80</xdr:row>
      <xdr:rowOff>0</xdr:rowOff>
    </xdr:from>
    <xdr:to>
      <xdr:col>14</xdr:col>
      <xdr:colOff>0</xdr:colOff>
      <xdr:row>80</xdr:row>
      <xdr:rowOff>0</xdr:rowOff>
    </xdr:to>
    <xdr:sp macro="" textlink="">
      <xdr:nvSpPr>
        <xdr:cNvPr id="15414" name="Line 12">
          <a:extLst>
            <a:ext uri="{FF2B5EF4-FFF2-40B4-BE49-F238E27FC236}">
              <a16:creationId xmlns:a16="http://schemas.microsoft.com/office/drawing/2014/main" id="{E2768707-5565-217B-9943-CC99B10790CF}"/>
            </a:ext>
          </a:extLst>
        </xdr:cNvPr>
        <xdr:cNvSpPr>
          <a:spLocks noChangeShapeType="1"/>
        </xdr:cNvSpPr>
      </xdr:nvSpPr>
      <xdr:spPr bwMode="auto">
        <a:xfrm>
          <a:off x="1266825" y="15801975"/>
          <a:ext cx="12668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80</xdr:row>
      <xdr:rowOff>0</xdr:rowOff>
    </xdr:from>
    <xdr:to>
      <xdr:col>18</xdr:col>
      <xdr:colOff>0</xdr:colOff>
      <xdr:row>80</xdr:row>
      <xdr:rowOff>0</xdr:rowOff>
    </xdr:to>
    <xdr:sp macro="" textlink="">
      <xdr:nvSpPr>
        <xdr:cNvPr id="15415" name="Line 13">
          <a:extLst>
            <a:ext uri="{FF2B5EF4-FFF2-40B4-BE49-F238E27FC236}">
              <a16:creationId xmlns:a16="http://schemas.microsoft.com/office/drawing/2014/main" id="{9EF416B5-2E2D-9791-5219-4ED352C1DD07}"/>
            </a:ext>
          </a:extLst>
        </xdr:cNvPr>
        <xdr:cNvSpPr>
          <a:spLocks noChangeShapeType="1"/>
        </xdr:cNvSpPr>
      </xdr:nvSpPr>
      <xdr:spPr bwMode="auto">
        <a:xfrm>
          <a:off x="2714625" y="15801975"/>
          <a:ext cx="5429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0</xdr:colOff>
      <xdr:row>19</xdr:row>
      <xdr:rowOff>0</xdr:rowOff>
    </xdr:from>
    <xdr:to>
      <xdr:col>25</xdr:col>
      <xdr:colOff>0</xdr:colOff>
      <xdr:row>19</xdr:row>
      <xdr:rowOff>0</xdr:rowOff>
    </xdr:to>
    <xdr:sp macro="" textlink="">
      <xdr:nvSpPr>
        <xdr:cNvPr id="15416" name="Line 14">
          <a:extLst>
            <a:ext uri="{FF2B5EF4-FFF2-40B4-BE49-F238E27FC236}">
              <a16:creationId xmlns:a16="http://schemas.microsoft.com/office/drawing/2014/main" id="{F1FBA438-D390-E484-8527-38ECD92E9920}"/>
            </a:ext>
          </a:extLst>
        </xdr:cNvPr>
        <xdr:cNvSpPr>
          <a:spLocks noChangeShapeType="1"/>
        </xdr:cNvSpPr>
      </xdr:nvSpPr>
      <xdr:spPr bwMode="auto">
        <a:xfrm>
          <a:off x="2533650" y="3800475"/>
          <a:ext cx="19907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0</xdr:colOff>
      <xdr:row>11</xdr:row>
      <xdr:rowOff>0</xdr:rowOff>
    </xdr:from>
    <xdr:to>
      <xdr:col>15</xdr:col>
      <xdr:colOff>0</xdr:colOff>
      <xdr:row>11</xdr:row>
      <xdr:rowOff>0</xdr:rowOff>
    </xdr:to>
    <xdr:sp macro="" textlink="">
      <xdr:nvSpPr>
        <xdr:cNvPr id="15417" name="Line 15">
          <a:extLst>
            <a:ext uri="{FF2B5EF4-FFF2-40B4-BE49-F238E27FC236}">
              <a16:creationId xmlns:a16="http://schemas.microsoft.com/office/drawing/2014/main" id="{F547C1F8-67BE-6C5E-022A-04C8F07E3EE2}"/>
            </a:ext>
          </a:extLst>
        </xdr:cNvPr>
        <xdr:cNvSpPr>
          <a:spLocks noChangeShapeType="1"/>
        </xdr:cNvSpPr>
      </xdr:nvSpPr>
      <xdr:spPr bwMode="auto">
        <a:xfrm>
          <a:off x="1447800" y="2200275"/>
          <a:ext cx="12668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0</xdr:colOff>
      <xdr:row>32</xdr:row>
      <xdr:rowOff>0</xdr:rowOff>
    </xdr:from>
    <xdr:to>
      <xdr:col>28</xdr:col>
      <xdr:colOff>0</xdr:colOff>
      <xdr:row>32</xdr:row>
      <xdr:rowOff>0</xdr:rowOff>
    </xdr:to>
    <xdr:sp macro="" textlink="">
      <xdr:nvSpPr>
        <xdr:cNvPr id="15418" name="Line 16">
          <a:extLst>
            <a:ext uri="{FF2B5EF4-FFF2-40B4-BE49-F238E27FC236}">
              <a16:creationId xmlns:a16="http://schemas.microsoft.com/office/drawing/2014/main" id="{E63C99D8-6E62-AC2F-295A-2BA5426C8363}"/>
            </a:ext>
          </a:extLst>
        </xdr:cNvPr>
        <xdr:cNvSpPr>
          <a:spLocks noChangeShapeType="1"/>
        </xdr:cNvSpPr>
      </xdr:nvSpPr>
      <xdr:spPr bwMode="auto">
        <a:xfrm>
          <a:off x="2533650" y="6400800"/>
          <a:ext cx="25336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0</xdr:colOff>
      <xdr:row>37</xdr:row>
      <xdr:rowOff>0</xdr:rowOff>
    </xdr:from>
    <xdr:to>
      <xdr:col>32</xdr:col>
      <xdr:colOff>0</xdr:colOff>
      <xdr:row>37</xdr:row>
      <xdr:rowOff>0</xdr:rowOff>
    </xdr:to>
    <xdr:sp macro="" textlink="">
      <xdr:nvSpPr>
        <xdr:cNvPr id="15419" name="Line 17">
          <a:extLst>
            <a:ext uri="{FF2B5EF4-FFF2-40B4-BE49-F238E27FC236}">
              <a16:creationId xmlns:a16="http://schemas.microsoft.com/office/drawing/2014/main" id="{976FE7FF-6A11-7138-C51E-91A31B2C4B69}"/>
            </a:ext>
          </a:extLst>
        </xdr:cNvPr>
        <xdr:cNvSpPr>
          <a:spLocks noChangeShapeType="1"/>
        </xdr:cNvSpPr>
      </xdr:nvSpPr>
      <xdr:spPr bwMode="auto">
        <a:xfrm>
          <a:off x="2171700" y="7400925"/>
          <a:ext cx="361950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0</xdr:colOff>
      <xdr:row>211</xdr:row>
      <xdr:rowOff>0</xdr:rowOff>
    </xdr:from>
    <xdr:to>
      <xdr:col>14</xdr:col>
      <xdr:colOff>0</xdr:colOff>
      <xdr:row>211</xdr:row>
      <xdr:rowOff>0</xdr:rowOff>
    </xdr:to>
    <xdr:sp macro="" textlink="">
      <xdr:nvSpPr>
        <xdr:cNvPr id="15420" name="Line 20">
          <a:extLst>
            <a:ext uri="{FF2B5EF4-FFF2-40B4-BE49-F238E27FC236}">
              <a16:creationId xmlns:a16="http://schemas.microsoft.com/office/drawing/2014/main" id="{7C3DF3E7-AC7E-C447-9E85-752E309D1250}"/>
            </a:ext>
          </a:extLst>
        </xdr:cNvPr>
        <xdr:cNvSpPr>
          <a:spLocks noChangeShapeType="1"/>
        </xdr:cNvSpPr>
      </xdr:nvSpPr>
      <xdr:spPr bwMode="auto">
        <a:xfrm>
          <a:off x="1447800" y="22002750"/>
          <a:ext cx="10858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211</xdr:row>
      <xdr:rowOff>0</xdr:rowOff>
    </xdr:from>
    <xdr:to>
      <xdr:col>21</xdr:col>
      <xdr:colOff>0</xdr:colOff>
      <xdr:row>211</xdr:row>
      <xdr:rowOff>0</xdr:rowOff>
    </xdr:to>
    <xdr:sp macro="" textlink="">
      <xdr:nvSpPr>
        <xdr:cNvPr id="15421" name="Line 21">
          <a:extLst>
            <a:ext uri="{FF2B5EF4-FFF2-40B4-BE49-F238E27FC236}">
              <a16:creationId xmlns:a16="http://schemas.microsoft.com/office/drawing/2014/main" id="{B0ABEDD2-7C0D-79CF-4B38-B3ADF6D02821}"/>
            </a:ext>
          </a:extLst>
        </xdr:cNvPr>
        <xdr:cNvSpPr>
          <a:spLocks noChangeShapeType="1"/>
        </xdr:cNvSpPr>
      </xdr:nvSpPr>
      <xdr:spPr bwMode="auto">
        <a:xfrm>
          <a:off x="2714625" y="22002750"/>
          <a:ext cx="10858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0</xdr:colOff>
      <xdr:row>308</xdr:row>
      <xdr:rowOff>0</xdr:rowOff>
    </xdr:from>
    <xdr:to>
      <xdr:col>14</xdr:col>
      <xdr:colOff>0</xdr:colOff>
      <xdr:row>308</xdr:row>
      <xdr:rowOff>0</xdr:rowOff>
    </xdr:to>
    <xdr:sp macro="" textlink="">
      <xdr:nvSpPr>
        <xdr:cNvPr id="15422" name="Line 22">
          <a:extLst>
            <a:ext uri="{FF2B5EF4-FFF2-40B4-BE49-F238E27FC236}">
              <a16:creationId xmlns:a16="http://schemas.microsoft.com/office/drawing/2014/main" id="{3D462B11-A101-53C5-E27A-587D74E6BAC6}"/>
            </a:ext>
          </a:extLst>
        </xdr:cNvPr>
        <xdr:cNvSpPr>
          <a:spLocks noChangeShapeType="1"/>
        </xdr:cNvSpPr>
      </xdr:nvSpPr>
      <xdr:spPr bwMode="auto">
        <a:xfrm>
          <a:off x="1447800" y="31003875"/>
          <a:ext cx="10858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308</xdr:row>
      <xdr:rowOff>0</xdr:rowOff>
    </xdr:from>
    <xdr:to>
      <xdr:col>21</xdr:col>
      <xdr:colOff>0</xdr:colOff>
      <xdr:row>308</xdr:row>
      <xdr:rowOff>0</xdr:rowOff>
    </xdr:to>
    <xdr:sp macro="" textlink="">
      <xdr:nvSpPr>
        <xdr:cNvPr id="15423" name="Line 23">
          <a:extLst>
            <a:ext uri="{FF2B5EF4-FFF2-40B4-BE49-F238E27FC236}">
              <a16:creationId xmlns:a16="http://schemas.microsoft.com/office/drawing/2014/main" id="{020FE388-1EB0-2200-8C17-C0215D30ABC1}"/>
            </a:ext>
          </a:extLst>
        </xdr:cNvPr>
        <xdr:cNvSpPr>
          <a:spLocks noChangeShapeType="1"/>
        </xdr:cNvSpPr>
      </xdr:nvSpPr>
      <xdr:spPr bwMode="auto">
        <a:xfrm>
          <a:off x="2714625" y="31003875"/>
          <a:ext cx="10858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11</xdr:row>
      <xdr:rowOff>0</xdr:rowOff>
    </xdr:from>
    <xdr:to>
      <xdr:col>33</xdr:col>
      <xdr:colOff>0</xdr:colOff>
      <xdr:row>44</xdr:row>
      <xdr:rowOff>14654</xdr:rowOff>
    </xdr:to>
    <xdr:grpSp>
      <xdr:nvGrpSpPr>
        <xdr:cNvPr id="2" name="グループ化 1">
          <a:extLst>
            <a:ext uri="{FF2B5EF4-FFF2-40B4-BE49-F238E27FC236}">
              <a16:creationId xmlns:a16="http://schemas.microsoft.com/office/drawing/2014/main" id="{5F81AF71-8F45-6763-C795-ED9755E3A72F}"/>
            </a:ext>
          </a:extLst>
        </xdr:cNvPr>
        <xdr:cNvGrpSpPr/>
      </xdr:nvGrpSpPr>
      <xdr:grpSpPr>
        <a:xfrm>
          <a:off x="549519" y="2176096"/>
          <a:ext cx="5495193" cy="6542943"/>
          <a:chOff x="530679" y="2245179"/>
          <a:chExt cx="5316310" cy="6735535"/>
        </a:xfrm>
      </xdr:grpSpPr>
      <xdr:sp macro="" textlink="">
        <xdr:nvSpPr>
          <xdr:cNvPr id="4343" name="Line 2">
            <a:extLst>
              <a:ext uri="{FF2B5EF4-FFF2-40B4-BE49-F238E27FC236}">
                <a16:creationId xmlns:a16="http://schemas.microsoft.com/office/drawing/2014/main" id="{E30E2D62-0DB8-3C35-B764-1AC8C65C0272}"/>
              </a:ext>
            </a:extLst>
          </xdr:cNvPr>
          <xdr:cNvSpPr>
            <a:spLocks noChangeShapeType="1"/>
          </xdr:cNvSpPr>
        </xdr:nvSpPr>
        <xdr:spPr bwMode="auto">
          <a:xfrm>
            <a:off x="530679" y="2245179"/>
            <a:ext cx="5306785"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44" name="Line 3">
            <a:extLst>
              <a:ext uri="{FF2B5EF4-FFF2-40B4-BE49-F238E27FC236}">
                <a16:creationId xmlns:a16="http://schemas.microsoft.com/office/drawing/2014/main" id="{07BF20F5-BD70-89D1-048D-BB003FD929E8}"/>
              </a:ext>
            </a:extLst>
          </xdr:cNvPr>
          <xdr:cNvSpPr>
            <a:spLocks noChangeShapeType="1"/>
          </xdr:cNvSpPr>
        </xdr:nvSpPr>
        <xdr:spPr bwMode="auto">
          <a:xfrm>
            <a:off x="530679" y="8980714"/>
            <a:ext cx="5306785"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45" name="Line 4">
            <a:extLst>
              <a:ext uri="{FF2B5EF4-FFF2-40B4-BE49-F238E27FC236}">
                <a16:creationId xmlns:a16="http://schemas.microsoft.com/office/drawing/2014/main" id="{35719236-6BEE-A1BA-9C88-2C9ADBDAD51E}"/>
              </a:ext>
            </a:extLst>
          </xdr:cNvPr>
          <xdr:cNvSpPr>
            <a:spLocks noChangeShapeType="1"/>
          </xdr:cNvSpPr>
        </xdr:nvSpPr>
        <xdr:spPr bwMode="auto">
          <a:xfrm>
            <a:off x="1592036" y="2245179"/>
            <a:ext cx="0" cy="672192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46" name="Line 5">
            <a:extLst>
              <a:ext uri="{FF2B5EF4-FFF2-40B4-BE49-F238E27FC236}">
                <a16:creationId xmlns:a16="http://schemas.microsoft.com/office/drawing/2014/main" id="{49038C9B-D5DC-FB9C-D4DA-C80C9B47F200}"/>
              </a:ext>
            </a:extLst>
          </xdr:cNvPr>
          <xdr:cNvSpPr>
            <a:spLocks noChangeShapeType="1"/>
          </xdr:cNvSpPr>
        </xdr:nvSpPr>
        <xdr:spPr bwMode="auto">
          <a:xfrm>
            <a:off x="530679" y="2245179"/>
            <a:ext cx="0" cy="6721928"/>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47" name="Line 6">
            <a:extLst>
              <a:ext uri="{FF2B5EF4-FFF2-40B4-BE49-F238E27FC236}">
                <a16:creationId xmlns:a16="http://schemas.microsoft.com/office/drawing/2014/main" id="{38A733A1-8D26-DCA8-5CB9-09C1D34DEE02}"/>
              </a:ext>
            </a:extLst>
          </xdr:cNvPr>
          <xdr:cNvSpPr>
            <a:spLocks noChangeShapeType="1"/>
          </xdr:cNvSpPr>
        </xdr:nvSpPr>
        <xdr:spPr bwMode="auto">
          <a:xfrm>
            <a:off x="5837464" y="2245179"/>
            <a:ext cx="0" cy="6735535"/>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48" name="Line 7">
            <a:extLst>
              <a:ext uri="{FF2B5EF4-FFF2-40B4-BE49-F238E27FC236}">
                <a16:creationId xmlns:a16="http://schemas.microsoft.com/office/drawing/2014/main" id="{B4D6A1EB-F833-8865-D687-5D510AC7DA73}"/>
              </a:ext>
            </a:extLst>
          </xdr:cNvPr>
          <xdr:cNvSpPr>
            <a:spLocks noChangeShapeType="1"/>
          </xdr:cNvSpPr>
        </xdr:nvSpPr>
        <xdr:spPr bwMode="auto">
          <a:xfrm flipV="1">
            <a:off x="530679" y="2653393"/>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49" name="Line 8">
            <a:extLst>
              <a:ext uri="{FF2B5EF4-FFF2-40B4-BE49-F238E27FC236}">
                <a16:creationId xmlns:a16="http://schemas.microsoft.com/office/drawing/2014/main" id="{2F0BF92E-41D1-0C3B-CC36-047F2362E529}"/>
              </a:ext>
            </a:extLst>
          </xdr:cNvPr>
          <xdr:cNvSpPr>
            <a:spLocks noChangeShapeType="1"/>
          </xdr:cNvSpPr>
        </xdr:nvSpPr>
        <xdr:spPr bwMode="auto">
          <a:xfrm>
            <a:off x="530679" y="2449286"/>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50" name="Line 10">
            <a:extLst>
              <a:ext uri="{FF2B5EF4-FFF2-40B4-BE49-F238E27FC236}">
                <a16:creationId xmlns:a16="http://schemas.microsoft.com/office/drawing/2014/main" id="{21020A53-DBC4-C784-507D-54D2AC1FBA77}"/>
              </a:ext>
            </a:extLst>
          </xdr:cNvPr>
          <xdr:cNvSpPr>
            <a:spLocks noChangeShapeType="1"/>
          </xdr:cNvSpPr>
        </xdr:nvSpPr>
        <xdr:spPr bwMode="auto">
          <a:xfrm>
            <a:off x="530679" y="3061607"/>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51" name="Line 11">
            <a:extLst>
              <a:ext uri="{FF2B5EF4-FFF2-40B4-BE49-F238E27FC236}">
                <a16:creationId xmlns:a16="http://schemas.microsoft.com/office/drawing/2014/main" id="{6C566D2E-FADF-183E-7582-46590CE2FE98}"/>
              </a:ext>
            </a:extLst>
          </xdr:cNvPr>
          <xdr:cNvSpPr>
            <a:spLocks noChangeShapeType="1"/>
          </xdr:cNvSpPr>
        </xdr:nvSpPr>
        <xdr:spPr bwMode="auto">
          <a:xfrm>
            <a:off x="530679" y="3469821"/>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52" name="Line 12">
            <a:extLst>
              <a:ext uri="{FF2B5EF4-FFF2-40B4-BE49-F238E27FC236}">
                <a16:creationId xmlns:a16="http://schemas.microsoft.com/office/drawing/2014/main" id="{CD7F596A-E277-8BD9-399A-01653FA1A32A}"/>
              </a:ext>
            </a:extLst>
          </xdr:cNvPr>
          <xdr:cNvSpPr>
            <a:spLocks noChangeShapeType="1"/>
          </xdr:cNvSpPr>
        </xdr:nvSpPr>
        <xdr:spPr bwMode="auto">
          <a:xfrm>
            <a:off x="530679" y="4490357"/>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53" name="Line 13">
            <a:extLst>
              <a:ext uri="{FF2B5EF4-FFF2-40B4-BE49-F238E27FC236}">
                <a16:creationId xmlns:a16="http://schemas.microsoft.com/office/drawing/2014/main" id="{62EDF7CE-FE1E-3E8D-14C0-37037727AD1F}"/>
              </a:ext>
            </a:extLst>
          </xdr:cNvPr>
          <xdr:cNvSpPr>
            <a:spLocks noChangeShapeType="1"/>
          </xdr:cNvSpPr>
        </xdr:nvSpPr>
        <xdr:spPr bwMode="auto">
          <a:xfrm>
            <a:off x="530679" y="5306786"/>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54" name="Line 15">
            <a:extLst>
              <a:ext uri="{FF2B5EF4-FFF2-40B4-BE49-F238E27FC236}">
                <a16:creationId xmlns:a16="http://schemas.microsoft.com/office/drawing/2014/main" id="{DCF7976A-5B06-F9B2-38D9-7E5A640D34FD}"/>
              </a:ext>
            </a:extLst>
          </xdr:cNvPr>
          <xdr:cNvSpPr>
            <a:spLocks noChangeShapeType="1"/>
          </xdr:cNvSpPr>
        </xdr:nvSpPr>
        <xdr:spPr bwMode="auto">
          <a:xfrm>
            <a:off x="530679" y="5510893"/>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55" name="Line 16">
            <a:extLst>
              <a:ext uri="{FF2B5EF4-FFF2-40B4-BE49-F238E27FC236}">
                <a16:creationId xmlns:a16="http://schemas.microsoft.com/office/drawing/2014/main" id="{973D88E0-7951-7490-20D8-1024726C576D}"/>
              </a:ext>
            </a:extLst>
          </xdr:cNvPr>
          <xdr:cNvSpPr>
            <a:spLocks noChangeShapeType="1"/>
          </xdr:cNvSpPr>
        </xdr:nvSpPr>
        <xdr:spPr bwMode="auto">
          <a:xfrm>
            <a:off x="530679" y="6327321"/>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56" name="Line 17">
            <a:extLst>
              <a:ext uri="{FF2B5EF4-FFF2-40B4-BE49-F238E27FC236}">
                <a16:creationId xmlns:a16="http://schemas.microsoft.com/office/drawing/2014/main" id="{ACADF2CB-29F0-5DA7-C608-AC77B1039D60}"/>
              </a:ext>
            </a:extLst>
          </xdr:cNvPr>
          <xdr:cNvSpPr>
            <a:spLocks noChangeShapeType="1"/>
          </xdr:cNvSpPr>
        </xdr:nvSpPr>
        <xdr:spPr bwMode="auto">
          <a:xfrm>
            <a:off x="530679" y="6735536"/>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57" name="Line 19">
            <a:extLst>
              <a:ext uri="{FF2B5EF4-FFF2-40B4-BE49-F238E27FC236}">
                <a16:creationId xmlns:a16="http://schemas.microsoft.com/office/drawing/2014/main" id="{F78771E0-C959-BDA3-3050-E121FCD2F8C1}"/>
              </a:ext>
            </a:extLst>
          </xdr:cNvPr>
          <xdr:cNvSpPr>
            <a:spLocks noChangeShapeType="1"/>
          </xdr:cNvSpPr>
        </xdr:nvSpPr>
        <xdr:spPr bwMode="auto">
          <a:xfrm>
            <a:off x="530679" y="7143750"/>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58" name="Line 23">
            <a:extLst>
              <a:ext uri="{FF2B5EF4-FFF2-40B4-BE49-F238E27FC236}">
                <a16:creationId xmlns:a16="http://schemas.microsoft.com/office/drawing/2014/main" id="{26A45532-04D6-7EED-C46C-0DDF2E5D28BB}"/>
              </a:ext>
            </a:extLst>
          </xdr:cNvPr>
          <xdr:cNvSpPr>
            <a:spLocks noChangeShapeType="1"/>
          </xdr:cNvSpPr>
        </xdr:nvSpPr>
        <xdr:spPr bwMode="auto">
          <a:xfrm>
            <a:off x="530679" y="7756071"/>
            <a:ext cx="531631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59" name="Line 24">
            <a:extLst>
              <a:ext uri="{FF2B5EF4-FFF2-40B4-BE49-F238E27FC236}">
                <a16:creationId xmlns:a16="http://schemas.microsoft.com/office/drawing/2014/main" id="{BC9180AD-62AB-DCEB-D561-A3E050A6F8A3}"/>
              </a:ext>
            </a:extLst>
          </xdr:cNvPr>
          <xdr:cNvSpPr>
            <a:spLocks noChangeShapeType="1"/>
          </xdr:cNvSpPr>
        </xdr:nvSpPr>
        <xdr:spPr bwMode="auto">
          <a:xfrm>
            <a:off x="530679" y="7960179"/>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60" name="Line 25">
            <a:extLst>
              <a:ext uri="{FF2B5EF4-FFF2-40B4-BE49-F238E27FC236}">
                <a16:creationId xmlns:a16="http://schemas.microsoft.com/office/drawing/2014/main" id="{622BFD47-05C1-612B-8490-510EE84C955B}"/>
              </a:ext>
            </a:extLst>
          </xdr:cNvPr>
          <xdr:cNvSpPr>
            <a:spLocks noChangeShapeType="1"/>
          </xdr:cNvSpPr>
        </xdr:nvSpPr>
        <xdr:spPr bwMode="auto">
          <a:xfrm>
            <a:off x="530679" y="8164286"/>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61" name="Line 26">
            <a:extLst>
              <a:ext uri="{FF2B5EF4-FFF2-40B4-BE49-F238E27FC236}">
                <a16:creationId xmlns:a16="http://schemas.microsoft.com/office/drawing/2014/main" id="{30DBCA9C-4035-8B22-7D37-6354ABABED4C}"/>
              </a:ext>
            </a:extLst>
          </xdr:cNvPr>
          <xdr:cNvSpPr>
            <a:spLocks noChangeShapeType="1"/>
          </xdr:cNvSpPr>
        </xdr:nvSpPr>
        <xdr:spPr bwMode="auto">
          <a:xfrm>
            <a:off x="530679" y="8368393"/>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62" name="Line 27">
            <a:extLst>
              <a:ext uri="{FF2B5EF4-FFF2-40B4-BE49-F238E27FC236}">
                <a16:creationId xmlns:a16="http://schemas.microsoft.com/office/drawing/2014/main" id="{3B413844-A096-386C-122A-5CE0BC8170BB}"/>
              </a:ext>
            </a:extLst>
          </xdr:cNvPr>
          <xdr:cNvSpPr>
            <a:spLocks noChangeShapeType="1"/>
          </xdr:cNvSpPr>
        </xdr:nvSpPr>
        <xdr:spPr bwMode="auto">
          <a:xfrm>
            <a:off x="530679" y="8572500"/>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63" name="Line 28">
            <a:extLst>
              <a:ext uri="{FF2B5EF4-FFF2-40B4-BE49-F238E27FC236}">
                <a16:creationId xmlns:a16="http://schemas.microsoft.com/office/drawing/2014/main" id="{9535B640-3267-0FBB-F534-4AB43ADFF5EA}"/>
              </a:ext>
            </a:extLst>
          </xdr:cNvPr>
          <xdr:cNvSpPr>
            <a:spLocks noChangeShapeType="1"/>
          </xdr:cNvSpPr>
        </xdr:nvSpPr>
        <xdr:spPr bwMode="auto">
          <a:xfrm>
            <a:off x="2653393" y="2245179"/>
            <a:ext cx="0" cy="6735535"/>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64" name="Line 29">
            <a:extLst>
              <a:ext uri="{FF2B5EF4-FFF2-40B4-BE49-F238E27FC236}">
                <a16:creationId xmlns:a16="http://schemas.microsoft.com/office/drawing/2014/main" id="{C4C5CA8F-71FE-F6B5-588C-1EDBD465F4B3}"/>
              </a:ext>
            </a:extLst>
          </xdr:cNvPr>
          <xdr:cNvSpPr>
            <a:spLocks noChangeShapeType="1"/>
          </xdr:cNvSpPr>
        </xdr:nvSpPr>
        <xdr:spPr bwMode="auto">
          <a:xfrm>
            <a:off x="3714750" y="2245179"/>
            <a:ext cx="0" cy="6721928"/>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65" name="Line 30">
            <a:extLst>
              <a:ext uri="{FF2B5EF4-FFF2-40B4-BE49-F238E27FC236}">
                <a16:creationId xmlns:a16="http://schemas.microsoft.com/office/drawing/2014/main" id="{1C99E64D-36A2-EC3C-EF0C-CD55A8DD872A}"/>
              </a:ext>
            </a:extLst>
          </xdr:cNvPr>
          <xdr:cNvSpPr>
            <a:spLocks noChangeShapeType="1"/>
          </xdr:cNvSpPr>
        </xdr:nvSpPr>
        <xdr:spPr bwMode="auto">
          <a:xfrm>
            <a:off x="4776107" y="2245179"/>
            <a:ext cx="0" cy="6735535"/>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66" name="Line 50">
            <a:extLst>
              <a:ext uri="{FF2B5EF4-FFF2-40B4-BE49-F238E27FC236}">
                <a16:creationId xmlns:a16="http://schemas.microsoft.com/office/drawing/2014/main" id="{E9989B30-4FA4-3473-2B81-70E0798BDF86}"/>
              </a:ext>
            </a:extLst>
          </xdr:cNvPr>
          <xdr:cNvSpPr>
            <a:spLocks noChangeShapeType="1"/>
          </xdr:cNvSpPr>
        </xdr:nvSpPr>
        <xdr:spPr bwMode="auto">
          <a:xfrm>
            <a:off x="530679" y="7551964"/>
            <a:ext cx="530678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0</xdr:colOff>
      <xdr:row>55</xdr:row>
      <xdr:rowOff>0</xdr:rowOff>
    </xdr:from>
    <xdr:to>
      <xdr:col>28</xdr:col>
      <xdr:colOff>0</xdr:colOff>
      <xdr:row>55</xdr:row>
      <xdr:rowOff>0</xdr:rowOff>
    </xdr:to>
    <xdr:sp macro="" textlink="">
      <xdr:nvSpPr>
        <xdr:cNvPr id="13373" name="Line 16">
          <a:extLst>
            <a:ext uri="{FF2B5EF4-FFF2-40B4-BE49-F238E27FC236}">
              <a16:creationId xmlns:a16="http://schemas.microsoft.com/office/drawing/2014/main" id="{EDB6B2FF-2EDB-079A-B372-01E195973979}"/>
            </a:ext>
          </a:extLst>
        </xdr:cNvPr>
        <xdr:cNvSpPr>
          <a:spLocks noChangeShapeType="1"/>
        </xdr:cNvSpPr>
      </xdr:nvSpPr>
      <xdr:spPr bwMode="auto">
        <a:xfrm>
          <a:off x="2533650" y="10601325"/>
          <a:ext cx="25336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0</xdr:colOff>
      <xdr:row>60</xdr:row>
      <xdr:rowOff>0</xdr:rowOff>
    </xdr:from>
    <xdr:to>
      <xdr:col>19</xdr:col>
      <xdr:colOff>0</xdr:colOff>
      <xdr:row>60</xdr:row>
      <xdr:rowOff>0</xdr:rowOff>
    </xdr:to>
    <xdr:sp macro="" textlink="">
      <xdr:nvSpPr>
        <xdr:cNvPr id="13374" name="Line 17">
          <a:extLst>
            <a:ext uri="{FF2B5EF4-FFF2-40B4-BE49-F238E27FC236}">
              <a16:creationId xmlns:a16="http://schemas.microsoft.com/office/drawing/2014/main" id="{2C90EDAB-2932-44DC-C14E-C65852149E2C}"/>
            </a:ext>
          </a:extLst>
        </xdr:cNvPr>
        <xdr:cNvSpPr>
          <a:spLocks noChangeShapeType="1"/>
        </xdr:cNvSpPr>
      </xdr:nvSpPr>
      <xdr:spPr bwMode="auto">
        <a:xfrm>
          <a:off x="2171700" y="11601450"/>
          <a:ext cx="12668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159</xdr:row>
      <xdr:rowOff>0</xdr:rowOff>
    </xdr:from>
    <xdr:to>
      <xdr:col>14</xdr:col>
      <xdr:colOff>0</xdr:colOff>
      <xdr:row>159</xdr:row>
      <xdr:rowOff>0</xdr:rowOff>
    </xdr:to>
    <xdr:sp macro="" textlink="">
      <xdr:nvSpPr>
        <xdr:cNvPr id="2" name="Line 1">
          <a:extLst>
            <a:ext uri="{FF2B5EF4-FFF2-40B4-BE49-F238E27FC236}">
              <a16:creationId xmlns:a16="http://schemas.microsoft.com/office/drawing/2014/main" id="{AED93D0B-6E2B-40EB-983C-8E9FF66E89DF}"/>
            </a:ext>
          </a:extLst>
        </xdr:cNvPr>
        <xdr:cNvSpPr>
          <a:spLocks noChangeShapeType="1"/>
        </xdr:cNvSpPr>
      </xdr:nvSpPr>
      <xdr:spPr bwMode="auto">
        <a:xfrm>
          <a:off x="1628775" y="31803975"/>
          <a:ext cx="90487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159</xdr:row>
      <xdr:rowOff>0</xdr:rowOff>
    </xdr:from>
    <xdr:to>
      <xdr:col>19</xdr:col>
      <xdr:colOff>0</xdr:colOff>
      <xdr:row>159</xdr:row>
      <xdr:rowOff>0</xdr:rowOff>
    </xdr:to>
    <xdr:sp macro="" textlink="">
      <xdr:nvSpPr>
        <xdr:cNvPr id="3" name="Line 2">
          <a:extLst>
            <a:ext uri="{FF2B5EF4-FFF2-40B4-BE49-F238E27FC236}">
              <a16:creationId xmlns:a16="http://schemas.microsoft.com/office/drawing/2014/main" id="{64E48125-E466-4B71-B681-579C7053E70D}"/>
            </a:ext>
          </a:extLst>
        </xdr:cNvPr>
        <xdr:cNvSpPr>
          <a:spLocks noChangeShapeType="1"/>
        </xdr:cNvSpPr>
      </xdr:nvSpPr>
      <xdr:spPr bwMode="auto">
        <a:xfrm>
          <a:off x="2714625" y="31803975"/>
          <a:ext cx="72390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159</xdr:row>
      <xdr:rowOff>0</xdr:rowOff>
    </xdr:from>
    <xdr:to>
      <xdr:col>22</xdr:col>
      <xdr:colOff>0</xdr:colOff>
      <xdr:row>159</xdr:row>
      <xdr:rowOff>0</xdr:rowOff>
    </xdr:to>
    <xdr:sp macro="" textlink="">
      <xdr:nvSpPr>
        <xdr:cNvPr id="4" name="Line 3">
          <a:extLst>
            <a:ext uri="{FF2B5EF4-FFF2-40B4-BE49-F238E27FC236}">
              <a16:creationId xmlns:a16="http://schemas.microsoft.com/office/drawing/2014/main" id="{95F44F99-8468-4F6C-85B1-C2FB0F26DC02}"/>
            </a:ext>
          </a:extLst>
        </xdr:cNvPr>
        <xdr:cNvSpPr>
          <a:spLocks noChangeShapeType="1"/>
        </xdr:cNvSpPr>
      </xdr:nvSpPr>
      <xdr:spPr bwMode="auto">
        <a:xfrm>
          <a:off x="3619500" y="31803975"/>
          <a:ext cx="3619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0</xdr:colOff>
      <xdr:row>159</xdr:row>
      <xdr:rowOff>0</xdr:rowOff>
    </xdr:from>
    <xdr:to>
      <xdr:col>25</xdr:col>
      <xdr:colOff>0</xdr:colOff>
      <xdr:row>159</xdr:row>
      <xdr:rowOff>0</xdr:rowOff>
    </xdr:to>
    <xdr:sp macro="" textlink="">
      <xdr:nvSpPr>
        <xdr:cNvPr id="5" name="Line 4">
          <a:extLst>
            <a:ext uri="{FF2B5EF4-FFF2-40B4-BE49-F238E27FC236}">
              <a16:creationId xmlns:a16="http://schemas.microsoft.com/office/drawing/2014/main" id="{3294A953-0D62-494C-A208-31A1176120C9}"/>
            </a:ext>
          </a:extLst>
        </xdr:cNvPr>
        <xdr:cNvSpPr>
          <a:spLocks noChangeShapeType="1"/>
        </xdr:cNvSpPr>
      </xdr:nvSpPr>
      <xdr:spPr bwMode="auto">
        <a:xfrm>
          <a:off x="4162425" y="31803975"/>
          <a:ext cx="3619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159</xdr:row>
      <xdr:rowOff>0</xdr:rowOff>
    </xdr:from>
    <xdr:to>
      <xdr:col>28</xdr:col>
      <xdr:colOff>0</xdr:colOff>
      <xdr:row>159</xdr:row>
      <xdr:rowOff>0</xdr:rowOff>
    </xdr:to>
    <xdr:sp macro="" textlink="">
      <xdr:nvSpPr>
        <xdr:cNvPr id="6" name="Line 5">
          <a:extLst>
            <a:ext uri="{FF2B5EF4-FFF2-40B4-BE49-F238E27FC236}">
              <a16:creationId xmlns:a16="http://schemas.microsoft.com/office/drawing/2014/main" id="{B4945649-47E3-4A52-894E-E27BF9A308B7}"/>
            </a:ext>
          </a:extLst>
        </xdr:cNvPr>
        <xdr:cNvSpPr>
          <a:spLocks noChangeShapeType="1"/>
        </xdr:cNvSpPr>
      </xdr:nvSpPr>
      <xdr:spPr bwMode="auto">
        <a:xfrm>
          <a:off x="4705350" y="31803975"/>
          <a:ext cx="3619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165</xdr:row>
      <xdr:rowOff>0</xdr:rowOff>
    </xdr:from>
    <xdr:to>
      <xdr:col>16</xdr:col>
      <xdr:colOff>0</xdr:colOff>
      <xdr:row>165</xdr:row>
      <xdr:rowOff>0</xdr:rowOff>
    </xdr:to>
    <xdr:sp macro="" textlink="">
      <xdr:nvSpPr>
        <xdr:cNvPr id="7" name="Line 6">
          <a:extLst>
            <a:ext uri="{FF2B5EF4-FFF2-40B4-BE49-F238E27FC236}">
              <a16:creationId xmlns:a16="http://schemas.microsoft.com/office/drawing/2014/main" id="{3CD484C8-163E-4543-A5AB-3DB0AAB22CDE}"/>
            </a:ext>
          </a:extLst>
        </xdr:cNvPr>
        <xdr:cNvSpPr>
          <a:spLocks noChangeShapeType="1"/>
        </xdr:cNvSpPr>
      </xdr:nvSpPr>
      <xdr:spPr bwMode="auto">
        <a:xfrm>
          <a:off x="1990725" y="33004125"/>
          <a:ext cx="90487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0</xdr:colOff>
      <xdr:row>165</xdr:row>
      <xdr:rowOff>0</xdr:rowOff>
    </xdr:from>
    <xdr:to>
      <xdr:col>22</xdr:col>
      <xdr:colOff>0</xdr:colOff>
      <xdr:row>165</xdr:row>
      <xdr:rowOff>0</xdr:rowOff>
    </xdr:to>
    <xdr:sp macro="" textlink="">
      <xdr:nvSpPr>
        <xdr:cNvPr id="8" name="Line 7">
          <a:extLst>
            <a:ext uri="{FF2B5EF4-FFF2-40B4-BE49-F238E27FC236}">
              <a16:creationId xmlns:a16="http://schemas.microsoft.com/office/drawing/2014/main" id="{EE220E51-C1B0-4262-B2E1-BF13DB039B99}"/>
            </a:ext>
          </a:extLst>
        </xdr:cNvPr>
        <xdr:cNvSpPr>
          <a:spLocks noChangeShapeType="1"/>
        </xdr:cNvSpPr>
      </xdr:nvSpPr>
      <xdr:spPr bwMode="auto">
        <a:xfrm>
          <a:off x="3076575" y="33004125"/>
          <a:ext cx="90487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178</xdr:row>
      <xdr:rowOff>0</xdr:rowOff>
    </xdr:from>
    <xdr:to>
      <xdr:col>18</xdr:col>
      <xdr:colOff>0</xdr:colOff>
      <xdr:row>178</xdr:row>
      <xdr:rowOff>0</xdr:rowOff>
    </xdr:to>
    <xdr:sp macro="" textlink="">
      <xdr:nvSpPr>
        <xdr:cNvPr id="9" name="Line 9">
          <a:extLst>
            <a:ext uri="{FF2B5EF4-FFF2-40B4-BE49-F238E27FC236}">
              <a16:creationId xmlns:a16="http://schemas.microsoft.com/office/drawing/2014/main" id="{174A0466-7668-4165-B605-E93EDC542624}"/>
            </a:ext>
          </a:extLst>
        </xdr:cNvPr>
        <xdr:cNvSpPr>
          <a:spLocks noChangeShapeType="1"/>
        </xdr:cNvSpPr>
      </xdr:nvSpPr>
      <xdr:spPr bwMode="auto">
        <a:xfrm>
          <a:off x="1990725" y="35604450"/>
          <a:ext cx="12668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178</xdr:row>
      <xdr:rowOff>0</xdr:rowOff>
    </xdr:from>
    <xdr:to>
      <xdr:col>29</xdr:col>
      <xdr:colOff>0</xdr:colOff>
      <xdr:row>178</xdr:row>
      <xdr:rowOff>0</xdr:rowOff>
    </xdr:to>
    <xdr:sp macro="" textlink="">
      <xdr:nvSpPr>
        <xdr:cNvPr id="10" name="Line 10">
          <a:extLst>
            <a:ext uri="{FF2B5EF4-FFF2-40B4-BE49-F238E27FC236}">
              <a16:creationId xmlns:a16="http://schemas.microsoft.com/office/drawing/2014/main" id="{76889C50-7B3E-4FE1-ADCB-9238655487F5}"/>
            </a:ext>
          </a:extLst>
        </xdr:cNvPr>
        <xdr:cNvSpPr>
          <a:spLocks noChangeShapeType="1"/>
        </xdr:cNvSpPr>
      </xdr:nvSpPr>
      <xdr:spPr bwMode="auto">
        <a:xfrm>
          <a:off x="3438525" y="35604450"/>
          <a:ext cx="18097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178</xdr:row>
      <xdr:rowOff>0</xdr:rowOff>
    </xdr:from>
    <xdr:to>
      <xdr:col>33</xdr:col>
      <xdr:colOff>0</xdr:colOff>
      <xdr:row>178</xdr:row>
      <xdr:rowOff>0</xdr:rowOff>
    </xdr:to>
    <xdr:sp macro="" textlink="">
      <xdr:nvSpPr>
        <xdr:cNvPr id="11" name="Line 11">
          <a:extLst>
            <a:ext uri="{FF2B5EF4-FFF2-40B4-BE49-F238E27FC236}">
              <a16:creationId xmlns:a16="http://schemas.microsoft.com/office/drawing/2014/main" id="{D0FB5AB1-A8AE-4A59-8034-F0EDB12068DA}"/>
            </a:ext>
          </a:extLst>
        </xdr:cNvPr>
        <xdr:cNvSpPr>
          <a:spLocks noChangeShapeType="1"/>
        </xdr:cNvSpPr>
      </xdr:nvSpPr>
      <xdr:spPr bwMode="auto">
        <a:xfrm>
          <a:off x="5610225" y="35604450"/>
          <a:ext cx="3619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180</xdr:row>
      <xdr:rowOff>0</xdr:rowOff>
    </xdr:from>
    <xdr:to>
      <xdr:col>14</xdr:col>
      <xdr:colOff>0</xdr:colOff>
      <xdr:row>180</xdr:row>
      <xdr:rowOff>0</xdr:rowOff>
    </xdr:to>
    <xdr:sp macro="" textlink="">
      <xdr:nvSpPr>
        <xdr:cNvPr id="12" name="Line 12">
          <a:extLst>
            <a:ext uri="{FF2B5EF4-FFF2-40B4-BE49-F238E27FC236}">
              <a16:creationId xmlns:a16="http://schemas.microsoft.com/office/drawing/2014/main" id="{5A659F39-2BF8-4925-8060-5B812EF514B0}"/>
            </a:ext>
          </a:extLst>
        </xdr:cNvPr>
        <xdr:cNvSpPr>
          <a:spLocks noChangeShapeType="1"/>
        </xdr:cNvSpPr>
      </xdr:nvSpPr>
      <xdr:spPr bwMode="auto">
        <a:xfrm>
          <a:off x="1266825" y="36004500"/>
          <a:ext cx="12668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180</xdr:row>
      <xdr:rowOff>0</xdr:rowOff>
    </xdr:from>
    <xdr:to>
      <xdr:col>18</xdr:col>
      <xdr:colOff>0</xdr:colOff>
      <xdr:row>180</xdr:row>
      <xdr:rowOff>0</xdr:rowOff>
    </xdr:to>
    <xdr:sp macro="" textlink="">
      <xdr:nvSpPr>
        <xdr:cNvPr id="13" name="Line 13">
          <a:extLst>
            <a:ext uri="{FF2B5EF4-FFF2-40B4-BE49-F238E27FC236}">
              <a16:creationId xmlns:a16="http://schemas.microsoft.com/office/drawing/2014/main" id="{5EA6E6C5-CB8C-4919-BBD2-9A37C88271CF}"/>
            </a:ext>
          </a:extLst>
        </xdr:cNvPr>
        <xdr:cNvSpPr>
          <a:spLocks noChangeShapeType="1"/>
        </xdr:cNvSpPr>
      </xdr:nvSpPr>
      <xdr:spPr bwMode="auto">
        <a:xfrm>
          <a:off x="2714625" y="36004500"/>
          <a:ext cx="5429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0</xdr:colOff>
      <xdr:row>66</xdr:row>
      <xdr:rowOff>0</xdr:rowOff>
    </xdr:from>
    <xdr:to>
      <xdr:col>25</xdr:col>
      <xdr:colOff>0</xdr:colOff>
      <xdr:row>66</xdr:row>
      <xdr:rowOff>0</xdr:rowOff>
    </xdr:to>
    <xdr:sp macro="" textlink="">
      <xdr:nvSpPr>
        <xdr:cNvPr id="14" name="Line 14">
          <a:extLst>
            <a:ext uri="{FF2B5EF4-FFF2-40B4-BE49-F238E27FC236}">
              <a16:creationId xmlns:a16="http://schemas.microsoft.com/office/drawing/2014/main" id="{1E824334-69E7-453D-8D89-2EC52E35E40F}"/>
            </a:ext>
          </a:extLst>
        </xdr:cNvPr>
        <xdr:cNvSpPr>
          <a:spLocks noChangeShapeType="1"/>
        </xdr:cNvSpPr>
      </xdr:nvSpPr>
      <xdr:spPr bwMode="auto">
        <a:xfrm>
          <a:off x="2533650" y="13201650"/>
          <a:ext cx="19907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0</xdr:colOff>
      <xdr:row>58</xdr:row>
      <xdr:rowOff>0</xdr:rowOff>
    </xdr:from>
    <xdr:to>
      <xdr:col>15</xdr:col>
      <xdr:colOff>0</xdr:colOff>
      <xdr:row>58</xdr:row>
      <xdr:rowOff>0</xdr:rowOff>
    </xdr:to>
    <xdr:sp macro="" textlink="">
      <xdr:nvSpPr>
        <xdr:cNvPr id="15" name="Line 15">
          <a:extLst>
            <a:ext uri="{FF2B5EF4-FFF2-40B4-BE49-F238E27FC236}">
              <a16:creationId xmlns:a16="http://schemas.microsoft.com/office/drawing/2014/main" id="{8B565074-8091-4640-911B-6CD7727BF08E}"/>
            </a:ext>
          </a:extLst>
        </xdr:cNvPr>
        <xdr:cNvSpPr>
          <a:spLocks noChangeShapeType="1"/>
        </xdr:cNvSpPr>
      </xdr:nvSpPr>
      <xdr:spPr bwMode="auto">
        <a:xfrm>
          <a:off x="1447800" y="11601450"/>
          <a:ext cx="12668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0</xdr:colOff>
      <xdr:row>80</xdr:row>
      <xdr:rowOff>0</xdr:rowOff>
    </xdr:from>
    <xdr:to>
      <xdr:col>28</xdr:col>
      <xdr:colOff>0</xdr:colOff>
      <xdr:row>80</xdr:row>
      <xdr:rowOff>0</xdr:rowOff>
    </xdr:to>
    <xdr:sp macro="" textlink="">
      <xdr:nvSpPr>
        <xdr:cNvPr id="16" name="Line 16">
          <a:extLst>
            <a:ext uri="{FF2B5EF4-FFF2-40B4-BE49-F238E27FC236}">
              <a16:creationId xmlns:a16="http://schemas.microsoft.com/office/drawing/2014/main" id="{3F7085E6-C0F5-4198-9DE6-8AD3C12A0553}"/>
            </a:ext>
          </a:extLst>
        </xdr:cNvPr>
        <xdr:cNvSpPr>
          <a:spLocks noChangeShapeType="1"/>
        </xdr:cNvSpPr>
      </xdr:nvSpPr>
      <xdr:spPr bwMode="auto">
        <a:xfrm>
          <a:off x="2533650" y="16002000"/>
          <a:ext cx="25336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108</xdr:row>
      <xdr:rowOff>0</xdr:rowOff>
    </xdr:from>
    <xdr:to>
      <xdr:col>15</xdr:col>
      <xdr:colOff>0</xdr:colOff>
      <xdr:row>108</xdr:row>
      <xdr:rowOff>0</xdr:rowOff>
    </xdr:to>
    <xdr:sp macro="" textlink="">
      <xdr:nvSpPr>
        <xdr:cNvPr id="17" name="Line 18">
          <a:extLst>
            <a:ext uri="{FF2B5EF4-FFF2-40B4-BE49-F238E27FC236}">
              <a16:creationId xmlns:a16="http://schemas.microsoft.com/office/drawing/2014/main" id="{7A5848B4-53FF-404F-B800-349CBFDECBF9}"/>
            </a:ext>
          </a:extLst>
        </xdr:cNvPr>
        <xdr:cNvSpPr>
          <a:spLocks noChangeShapeType="1"/>
        </xdr:cNvSpPr>
      </xdr:nvSpPr>
      <xdr:spPr bwMode="auto">
        <a:xfrm>
          <a:off x="1266825" y="21602700"/>
          <a:ext cx="144780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121</xdr:row>
      <xdr:rowOff>0</xdr:rowOff>
    </xdr:from>
    <xdr:to>
      <xdr:col>20</xdr:col>
      <xdr:colOff>0</xdr:colOff>
      <xdr:row>121</xdr:row>
      <xdr:rowOff>0</xdr:rowOff>
    </xdr:to>
    <xdr:sp macro="" textlink="">
      <xdr:nvSpPr>
        <xdr:cNvPr id="18" name="Line 19">
          <a:extLst>
            <a:ext uri="{FF2B5EF4-FFF2-40B4-BE49-F238E27FC236}">
              <a16:creationId xmlns:a16="http://schemas.microsoft.com/office/drawing/2014/main" id="{D885ED87-894F-42E5-958C-D70B1CED5E67}"/>
            </a:ext>
          </a:extLst>
        </xdr:cNvPr>
        <xdr:cNvSpPr>
          <a:spLocks noChangeShapeType="1"/>
        </xdr:cNvSpPr>
      </xdr:nvSpPr>
      <xdr:spPr bwMode="auto">
        <a:xfrm>
          <a:off x="1266825" y="24203025"/>
          <a:ext cx="235267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0</xdr:colOff>
      <xdr:row>312</xdr:row>
      <xdr:rowOff>0</xdr:rowOff>
    </xdr:from>
    <xdr:to>
      <xdr:col>14</xdr:col>
      <xdr:colOff>0</xdr:colOff>
      <xdr:row>312</xdr:row>
      <xdr:rowOff>0</xdr:rowOff>
    </xdr:to>
    <xdr:sp macro="" textlink="">
      <xdr:nvSpPr>
        <xdr:cNvPr id="19" name="Line 20">
          <a:extLst>
            <a:ext uri="{FF2B5EF4-FFF2-40B4-BE49-F238E27FC236}">
              <a16:creationId xmlns:a16="http://schemas.microsoft.com/office/drawing/2014/main" id="{0DF8981E-CC5C-44B7-BF5D-EC0511764B04}"/>
            </a:ext>
          </a:extLst>
        </xdr:cNvPr>
        <xdr:cNvSpPr>
          <a:spLocks noChangeShapeType="1"/>
        </xdr:cNvSpPr>
      </xdr:nvSpPr>
      <xdr:spPr bwMode="auto">
        <a:xfrm>
          <a:off x="1447800" y="62207775"/>
          <a:ext cx="10858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19050</xdr:colOff>
      <xdr:row>387</xdr:row>
      <xdr:rowOff>19050</xdr:rowOff>
    </xdr:from>
    <xdr:to>
      <xdr:col>8</xdr:col>
      <xdr:colOff>0</xdr:colOff>
      <xdr:row>389</xdr:row>
      <xdr:rowOff>0</xdr:rowOff>
    </xdr:to>
    <xdr:sp macro="" textlink="">
      <xdr:nvSpPr>
        <xdr:cNvPr id="21" name="Line 24">
          <a:extLst>
            <a:ext uri="{FF2B5EF4-FFF2-40B4-BE49-F238E27FC236}">
              <a16:creationId xmlns:a16="http://schemas.microsoft.com/office/drawing/2014/main" id="{298A9785-6A14-4E8C-9C14-8B62C9C8FE0E}"/>
            </a:ext>
          </a:extLst>
        </xdr:cNvPr>
        <xdr:cNvSpPr>
          <a:spLocks noChangeShapeType="1"/>
        </xdr:cNvSpPr>
      </xdr:nvSpPr>
      <xdr:spPr bwMode="auto">
        <a:xfrm>
          <a:off x="381000" y="1419225"/>
          <a:ext cx="1066800" cy="38100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11</xdr:row>
      <xdr:rowOff>0</xdr:rowOff>
    </xdr:from>
    <xdr:to>
      <xdr:col>33</xdr:col>
      <xdr:colOff>0</xdr:colOff>
      <xdr:row>11</xdr:row>
      <xdr:rowOff>0</xdr:rowOff>
    </xdr:to>
    <xdr:sp macro="" textlink="">
      <xdr:nvSpPr>
        <xdr:cNvPr id="14385" name="Line 1">
          <a:extLst>
            <a:ext uri="{FF2B5EF4-FFF2-40B4-BE49-F238E27FC236}">
              <a16:creationId xmlns:a16="http://schemas.microsoft.com/office/drawing/2014/main" id="{E45F4047-E44D-EAFB-7812-E25505CE765A}"/>
            </a:ext>
          </a:extLst>
        </xdr:cNvPr>
        <xdr:cNvSpPr>
          <a:spLocks noChangeShapeType="1"/>
        </xdr:cNvSpPr>
      </xdr:nvSpPr>
      <xdr:spPr bwMode="auto">
        <a:xfrm>
          <a:off x="542925" y="2200275"/>
          <a:ext cx="5429250"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44</xdr:row>
      <xdr:rowOff>0</xdr:rowOff>
    </xdr:from>
    <xdr:to>
      <xdr:col>33</xdr:col>
      <xdr:colOff>0</xdr:colOff>
      <xdr:row>44</xdr:row>
      <xdr:rowOff>0</xdr:rowOff>
    </xdr:to>
    <xdr:sp macro="" textlink="">
      <xdr:nvSpPr>
        <xdr:cNvPr id="14386" name="Line 2">
          <a:extLst>
            <a:ext uri="{FF2B5EF4-FFF2-40B4-BE49-F238E27FC236}">
              <a16:creationId xmlns:a16="http://schemas.microsoft.com/office/drawing/2014/main" id="{8DB39011-CA56-0763-7C2E-499E6A3A54BA}"/>
            </a:ext>
          </a:extLst>
        </xdr:cNvPr>
        <xdr:cNvSpPr>
          <a:spLocks noChangeShapeType="1"/>
        </xdr:cNvSpPr>
      </xdr:nvSpPr>
      <xdr:spPr bwMode="auto">
        <a:xfrm>
          <a:off x="542925" y="8801100"/>
          <a:ext cx="5429250"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11</xdr:row>
      <xdr:rowOff>0</xdr:rowOff>
    </xdr:from>
    <xdr:to>
      <xdr:col>9</xdr:col>
      <xdr:colOff>0</xdr:colOff>
      <xdr:row>43</xdr:row>
      <xdr:rowOff>190500</xdr:rowOff>
    </xdr:to>
    <xdr:sp macro="" textlink="">
      <xdr:nvSpPr>
        <xdr:cNvPr id="14387" name="Line 3">
          <a:extLst>
            <a:ext uri="{FF2B5EF4-FFF2-40B4-BE49-F238E27FC236}">
              <a16:creationId xmlns:a16="http://schemas.microsoft.com/office/drawing/2014/main" id="{5E88DB1D-E336-6C4F-665C-D90B16C1D3EC}"/>
            </a:ext>
          </a:extLst>
        </xdr:cNvPr>
        <xdr:cNvSpPr>
          <a:spLocks noChangeShapeType="1"/>
        </xdr:cNvSpPr>
      </xdr:nvSpPr>
      <xdr:spPr bwMode="auto">
        <a:xfrm>
          <a:off x="1628775" y="2200275"/>
          <a:ext cx="0" cy="6591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11</xdr:row>
      <xdr:rowOff>0</xdr:rowOff>
    </xdr:from>
    <xdr:to>
      <xdr:col>3</xdr:col>
      <xdr:colOff>0</xdr:colOff>
      <xdr:row>43</xdr:row>
      <xdr:rowOff>190500</xdr:rowOff>
    </xdr:to>
    <xdr:sp macro="" textlink="">
      <xdr:nvSpPr>
        <xdr:cNvPr id="14388" name="Line 4">
          <a:extLst>
            <a:ext uri="{FF2B5EF4-FFF2-40B4-BE49-F238E27FC236}">
              <a16:creationId xmlns:a16="http://schemas.microsoft.com/office/drawing/2014/main" id="{2B13FAB4-93BD-21C6-92E0-BBD8F8FC28F8}"/>
            </a:ext>
          </a:extLst>
        </xdr:cNvPr>
        <xdr:cNvSpPr>
          <a:spLocks noChangeShapeType="1"/>
        </xdr:cNvSpPr>
      </xdr:nvSpPr>
      <xdr:spPr bwMode="auto">
        <a:xfrm>
          <a:off x="542925" y="2200275"/>
          <a:ext cx="0" cy="659130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0</xdr:colOff>
      <xdr:row>11</xdr:row>
      <xdr:rowOff>0</xdr:rowOff>
    </xdr:from>
    <xdr:to>
      <xdr:col>33</xdr:col>
      <xdr:colOff>0</xdr:colOff>
      <xdr:row>44</xdr:row>
      <xdr:rowOff>0</xdr:rowOff>
    </xdr:to>
    <xdr:sp macro="" textlink="">
      <xdr:nvSpPr>
        <xdr:cNvPr id="14389" name="Line 5">
          <a:extLst>
            <a:ext uri="{FF2B5EF4-FFF2-40B4-BE49-F238E27FC236}">
              <a16:creationId xmlns:a16="http://schemas.microsoft.com/office/drawing/2014/main" id="{BF97654D-34B9-8B6D-2759-97365A040DBD}"/>
            </a:ext>
          </a:extLst>
        </xdr:cNvPr>
        <xdr:cNvSpPr>
          <a:spLocks noChangeShapeType="1"/>
        </xdr:cNvSpPr>
      </xdr:nvSpPr>
      <xdr:spPr bwMode="auto">
        <a:xfrm>
          <a:off x="5972175" y="2200275"/>
          <a:ext cx="0" cy="6600825"/>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13</xdr:row>
      <xdr:rowOff>0</xdr:rowOff>
    </xdr:from>
    <xdr:to>
      <xdr:col>33</xdr:col>
      <xdr:colOff>0</xdr:colOff>
      <xdr:row>13</xdr:row>
      <xdr:rowOff>0</xdr:rowOff>
    </xdr:to>
    <xdr:sp macro="" textlink="">
      <xdr:nvSpPr>
        <xdr:cNvPr id="14390" name="Line 6">
          <a:extLst>
            <a:ext uri="{FF2B5EF4-FFF2-40B4-BE49-F238E27FC236}">
              <a16:creationId xmlns:a16="http://schemas.microsoft.com/office/drawing/2014/main" id="{C2E72AFB-DFB3-7231-DA87-726361641ACC}"/>
            </a:ext>
          </a:extLst>
        </xdr:cNvPr>
        <xdr:cNvSpPr>
          <a:spLocks noChangeShapeType="1"/>
        </xdr:cNvSpPr>
      </xdr:nvSpPr>
      <xdr:spPr bwMode="auto">
        <a:xfrm flipV="1">
          <a:off x="542925" y="2600325"/>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txBody>
        <a:bodyPr/>
        <a:lstStyle/>
        <a:p>
          <a:endParaRPr lang="ja-JP" altLang="en-US"/>
        </a:p>
      </xdr:txBody>
    </xdr:sp>
    <xdr:clientData/>
  </xdr:twoCellAnchor>
  <xdr:twoCellAnchor>
    <xdr:from>
      <xdr:col>3</xdr:col>
      <xdr:colOff>0</xdr:colOff>
      <xdr:row>12</xdr:row>
      <xdr:rowOff>0</xdr:rowOff>
    </xdr:from>
    <xdr:to>
      <xdr:col>33</xdr:col>
      <xdr:colOff>0</xdr:colOff>
      <xdr:row>12</xdr:row>
      <xdr:rowOff>0</xdr:rowOff>
    </xdr:to>
    <xdr:sp macro="" textlink="">
      <xdr:nvSpPr>
        <xdr:cNvPr id="14391" name="Line 7">
          <a:extLst>
            <a:ext uri="{FF2B5EF4-FFF2-40B4-BE49-F238E27FC236}">
              <a16:creationId xmlns:a16="http://schemas.microsoft.com/office/drawing/2014/main" id="{0355ED58-8E4F-3D86-49B9-50A96C9F6C6D}"/>
            </a:ext>
          </a:extLst>
        </xdr:cNvPr>
        <xdr:cNvSpPr>
          <a:spLocks noChangeShapeType="1"/>
        </xdr:cNvSpPr>
      </xdr:nvSpPr>
      <xdr:spPr bwMode="auto">
        <a:xfrm>
          <a:off x="542925" y="2400300"/>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15</xdr:row>
      <xdr:rowOff>0</xdr:rowOff>
    </xdr:from>
    <xdr:to>
      <xdr:col>33</xdr:col>
      <xdr:colOff>0</xdr:colOff>
      <xdr:row>15</xdr:row>
      <xdr:rowOff>0</xdr:rowOff>
    </xdr:to>
    <xdr:sp macro="" textlink="">
      <xdr:nvSpPr>
        <xdr:cNvPr id="14392" name="Line 8">
          <a:extLst>
            <a:ext uri="{FF2B5EF4-FFF2-40B4-BE49-F238E27FC236}">
              <a16:creationId xmlns:a16="http://schemas.microsoft.com/office/drawing/2014/main" id="{A2C893D7-44E4-63B2-C5F0-919482B3C4AB}"/>
            </a:ext>
          </a:extLst>
        </xdr:cNvPr>
        <xdr:cNvSpPr>
          <a:spLocks noChangeShapeType="1"/>
        </xdr:cNvSpPr>
      </xdr:nvSpPr>
      <xdr:spPr bwMode="auto">
        <a:xfrm>
          <a:off x="542925" y="3000375"/>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17</xdr:row>
      <xdr:rowOff>0</xdr:rowOff>
    </xdr:from>
    <xdr:to>
      <xdr:col>33</xdr:col>
      <xdr:colOff>0</xdr:colOff>
      <xdr:row>17</xdr:row>
      <xdr:rowOff>0</xdr:rowOff>
    </xdr:to>
    <xdr:sp macro="" textlink="">
      <xdr:nvSpPr>
        <xdr:cNvPr id="14393" name="Line 9">
          <a:extLst>
            <a:ext uri="{FF2B5EF4-FFF2-40B4-BE49-F238E27FC236}">
              <a16:creationId xmlns:a16="http://schemas.microsoft.com/office/drawing/2014/main" id="{A94A2880-4AD1-7F80-0935-3991552D949A}"/>
            </a:ext>
          </a:extLst>
        </xdr:cNvPr>
        <xdr:cNvSpPr>
          <a:spLocks noChangeShapeType="1"/>
        </xdr:cNvSpPr>
      </xdr:nvSpPr>
      <xdr:spPr bwMode="auto">
        <a:xfrm>
          <a:off x="542925" y="3400425"/>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22</xdr:row>
      <xdr:rowOff>0</xdr:rowOff>
    </xdr:from>
    <xdr:to>
      <xdr:col>33</xdr:col>
      <xdr:colOff>0</xdr:colOff>
      <xdr:row>22</xdr:row>
      <xdr:rowOff>0</xdr:rowOff>
    </xdr:to>
    <xdr:sp macro="" textlink="">
      <xdr:nvSpPr>
        <xdr:cNvPr id="14394" name="Line 10">
          <a:extLst>
            <a:ext uri="{FF2B5EF4-FFF2-40B4-BE49-F238E27FC236}">
              <a16:creationId xmlns:a16="http://schemas.microsoft.com/office/drawing/2014/main" id="{4E0F1246-0DA3-830C-B80D-7C559AD1422A}"/>
            </a:ext>
          </a:extLst>
        </xdr:cNvPr>
        <xdr:cNvSpPr>
          <a:spLocks noChangeShapeType="1"/>
        </xdr:cNvSpPr>
      </xdr:nvSpPr>
      <xdr:spPr bwMode="auto">
        <a:xfrm>
          <a:off x="542925" y="4400550"/>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26</xdr:row>
      <xdr:rowOff>0</xdr:rowOff>
    </xdr:from>
    <xdr:to>
      <xdr:col>33</xdr:col>
      <xdr:colOff>0</xdr:colOff>
      <xdr:row>26</xdr:row>
      <xdr:rowOff>0</xdr:rowOff>
    </xdr:to>
    <xdr:sp macro="" textlink="">
      <xdr:nvSpPr>
        <xdr:cNvPr id="14395" name="Line 11">
          <a:extLst>
            <a:ext uri="{FF2B5EF4-FFF2-40B4-BE49-F238E27FC236}">
              <a16:creationId xmlns:a16="http://schemas.microsoft.com/office/drawing/2014/main" id="{EF4A1B21-7A1B-DBEE-1AD5-C57BD3D25E61}"/>
            </a:ext>
          </a:extLst>
        </xdr:cNvPr>
        <xdr:cNvSpPr>
          <a:spLocks noChangeShapeType="1"/>
        </xdr:cNvSpPr>
      </xdr:nvSpPr>
      <xdr:spPr bwMode="auto">
        <a:xfrm>
          <a:off x="542925" y="5200650"/>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27</xdr:row>
      <xdr:rowOff>0</xdr:rowOff>
    </xdr:from>
    <xdr:to>
      <xdr:col>33</xdr:col>
      <xdr:colOff>0</xdr:colOff>
      <xdr:row>27</xdr:row>
      <xdr:rowOff>0</xdr:rowOff>
    </xdr:to>
    <xdr:sp macro="" textlink="">
      <xdr:nvSpPr>
        <xdr:cNvPr id="14396" name="Line 12">
          <a:extLst>
            <a:ext uri="{FF2B5EF4-FFF2-40B4-BE49-F238E27FC236}">
              <a16:creationId xmlns:a16="http://schemas.microsoft.com/office/drawing/2014/main" id="{BBF44E2B-E027-12DA-197E-469E98FA3292}"/>
            </a:ext>
          </a:extLst>
        </xdr:cNvPr>
        <xdr:cNvSpPr>
          <a:spLocks noChangeShapeType="1"/>
        </xdr:cNvSpPr>
      </xdr:nvSpPr>
      <xdr:spPr bwMode="auto">
        <a:xfrm>
          <a:off x="542925" y="5400675"/>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31</xdr:row>
      <xdr:rowOff>0</xdr:rowOff>
    </xdr:from>
    <xdr:to>
      <xdr:col>33</xdr:col>
      <xdr:colOff>0</xdr:colOff>
      <xdr:row>31</xdr:row>
      <xdr:rowOff>0</xdr:rowOff>
    </xdr:to>
    <xdr:sp macro="" textlink="">
      <xdr:nvSpPr>
        <xdr:cNvPr id="14397" name="Line 13">
          <a:extLst>
            <a:ext uri="{FF2B5EF4-FFF2-40B4-BE49-F238E27FC236}">
              <a16:creationId xmlns:a16="http://schemas.microsoft.com/office/drawing/2014/main" id="{5FD28AF6-AF4D-14A3-2696-29766DEB0C1D}"/>
            </a:ext>
          </a:extLst>
        </xdr:cNvPr>
        <xdr:cNvSpPr>
          <a:spLocks noChangeShapeType="1"/>
        </xdr:cNvSpPr>
      </xdr:nvSpPr>
      <xdr:spPr bwMode="auto">
        <a:xfrm>
          <a:off x="542925" y="6200775"/>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33</xdr:row>
      <xdr:rowOff>0</xdr:rowOff>
    </xdr:from>
    <xdr:to>
      <xdr:col>33</xdr:col>
      <xdr:colOff>0</xdr:colOff>
      <xdr:row>33</xdr:row>
      <xdr:rowOff>0</xdr:rowOff>
    </xdr:to>
    <xdr:sp macro="" textlink="">
      <xdr:nvSpPr>
        <xdr:cNvPr id="14398" name="Line 14">
          <a:extLst>
            <a:ext uri="{FF2B5EF4-FFF2-40B4-BE49-F238E27FC236}">
              <a16:creationId xmlns:a16="http://schemas.microsoft.com/office/drawing/2014/main" id="{74AD596B-B7BB-6673-CEC3-32CBFD516B1C}"/>
            </a:ext>
          </a:extLst>
        </xdr:cNvPr>
        <xdr:cNvSpPr>
          <a:spLocks noChangeShapeType="1"/>
        </xdr:cNvSpPr>
      </xdr:nvSpPr>
      <xdr:spPr bwMode="auto">
        <a:xfrm>
          <a:off x="542925" y="6600825"/>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35</xdr:row>
      <xdr:rowOff>0</xdr:rowOff>
    </xdr:from>
    <xdr:to>
      <xdr:col>33</xdr:col>
      <xdr:colOff>0</xdr:colOff>
      <xdr:row>35</xdr:row>
      <xdr:rowOff>0</xdr:rowOff>
    </xdr:to>
    <xdr:sp macro="" textlink="">
      <xdr:nvSpPr>
        <xdr:cNvPr id="14399" name="Line 15">
          <a:extLst>
            <a:ext uri="{FF2B5EF4-FFF2-40B4-BE49-F238E27FC236}">
              <a16:creationId xmlns:a16="http://schemas.microsoft.com/office/drawing/2014/main" id="{6E7D0016-1C7A-B495-4FF7-247E0057102D}"/>
            </a:ext>
          </a:extLst>
        </xdr:cNvPr>
        <xdr:cNvSpPr>
          <a:spLocks noChangeShapeType="1"/>
        </xdr:cNvSpPr>
      </xdr:nvSpPr>
      <xdr:spPr bwMode="auto">
        <a:xfrm>
          <a:off x="542925" y="7000875"/>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38</xdr:row>
      <xdr:rowOff>0</xdr:rowOff>
    </xdr:from>
    <xdr:to>
      <xdr:col>33</xdr:col>
      <xdr:colOff>9525</xdr:colOff>
      <xdr:row>38</xdr:row>
      <xdr:rowOff>0</xdr:rowOff>
    </xdr:to>
    <xdr:sp macro="" textlink="">
      <xdr:nvSpPr>
        <xdr:cNvPr id="14400" name="Line 16">
          <a:extLst>
            <a:ext uri="{FF2B5EF4-FFF2-40B4-BE49-F238E27FC236}">
              <a16:creationId xmlns:a16="http://schemas.microsoft.com/office/drawing/2014/main" id="{38E15368-A0BE-EB59-C262-DAD090F8648F}"/>
            </a:ext>
          </a:extLst>
        </xdr:cNvPr>
        <xdr:cNvSpPr>
          <a:spLocks noChangeShapeType="1"/>
        </xdr:cNvSpPr>
      </xdr:nvSpPr>
      <xdr:spPr bwMode="auto">
        <a:xfrm>
          <a:off x="542925" y="7600950"/>
          <a:ext cx="543877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39</xdr:row>
      <xdr:rowOff>0</xdr:rowOff>
    </xdr:from>
    <xdr:to>
      <xdr:col>33</xdr:col>
      <xdr:colOff>0</xdr:colOff>
      <xdr:row>39</xdr:row>
      <xdr:rowOff>0</xdr:rowOff>
    </xdr:to>
    <xdr:sp macro="" textlink="">
      <xdr:nvSpPr>
        <xdr:cNvPr id="14401" name="Line 17">
          <a:extLst>
            <a:ext uri="{FF2B5EF4-FFF2-40B4-BE49-F238E27FC236}">
              <a16:creationId xmlns:a16="http://schemas.microsoft.com/office/drawing/2014/main" id="{D9EFBA08-BF0E-E6BB-C6DF-533AF31B0534}"/>
            </a:ext>
          </a:extLst>
        </xdr:cNvPr>
        <xdr:cNvSpPr>
          <a:spLocks noChangeShapeType="1"/>
        </xdr:cNvSpPr>
      </xdr:nvSpPr>
      <xdr:spPr bwMode="auto">
        <a:xfrm>
          <a:off x="542925" y="7800975"/>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40</xdr:row>
      <xdr:rowOff>0</xdr:rowOff>
    </xdr:from>
    <xdr:to>
      <xdr:col>33</xdr:col>
      <xdr:colOff>0</xdr:colOff>
      <xdr:row>40</xdr:row>
      <xdr:rowOff>0</xdr:rowOff>
    </xdr:to>
    <xdr:sp macro="" textlink="">
      <xdr:nvSpPr>
        <xdr:cNvPr id="14402" name="Line 18">
          <a:extLst>
            <a:ext uri="{FF2B5EF4-FFF2-40B4-BE49-F238E27FC236}">
              <a16:creationId xmlns:a16="http://schemas.microsoft.com/office/drawing/2014/main" id="{5C905646-7705-BC7F-9970-B96E5815C0DF}"/>
            </a:ext>
          </a:extLst>
        </xdr:cNvPr>
        <xdr:cNvSpPr>
          <a:spLocks noChangeShapeType="1"/>
        </xdr:cNvSpPr>
      </xdr:nvSpPr>
      <xdr:spPr bwMode="auto">
        <a:xfrm>
          <a:off x="542925" y="8001000"/>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41</xdr:row>
      <xdr:rowOff>0</xdr:rowOff>
    </xdr:from>
    <xdr:to>
      <xdr:col>33</xdr:col>
      <xdr:colOff>0</xdr:colOff>
      <xdr:row>41</xdr:row>
      <xdr:rowOff>0</xdr:rowOff>
    </xdr:to>
    <xdr:sp macro="" textlink="">
      <xdr:nvSpPr>
        <xdr:cNvPr id="14403" name="Line 19">
          <a:extLst>
            <a:ext uri="{FF2B5EF4-FFF2-40B4-BE49-F238E27FC236}">
              <a16:creationId xmlns:a16="http://schemas.microsoft.com/office/drawing/2014/main" id="{A3498D95-C8F7-F7CC-9B2A-909B44D53DFA}"/>
            </a:ext>
          </a:extLst>
        </xdr:cNvPr>
        <xdr:cNvSpPr>
          <a:spLocks noChangeShapeType="1"/>
        </xdr:cNvSpPr>
      </xdr:nvSpPr>
      <xdr:spPr bwMode="auto">
        <a:xfrm>
          <a:off x="542925" y="8201025"/>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42</xdr:row>
      <xdr:rowOff>0</xdr:rowOff>
    </xdr:from>
    <xdr:to>
      <xdr:col>33</xdr:col>
      <xdr:colOff>0</xdr:colOff>
      <xdr:row>42</xdr:row>
      <xdr:rowOff>0</xdr:rowOff>
    </xdr:to>
    <xdr:sp macro="" textlink="">
      <xdr:nvSpPr>
        <xdr:cNvPr id="14404" name="Line 20">
          <a:extLst>
            <a:ext uri="{FF2B5EF4-FFF2-40B4-BE49-F238E27FC236}">
              <a16:creationId xmlns:a16="http://schemas.microsoft.com/office/drawing/2014/main" id="{9983F5F1-5F14-3967-18E0-460966908FBB}"/>
            </a:ext>
          </a:extLst>
        </xdr:cNvPr>
        <xdr:cNvSpPr>
          <a:spLocks noChangeShapeType="1"/>
        </xdr:cNvSpPr>
      </xdr:nvSpPr>
      <xdr:spPr bwMode="auto">
        <a:xfrm>
          <a:off x="542925" y="8401050"/>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11</xdr:row>
      <xdr:rowOff>0</xdr:rowOff>
    </xdr:from>
    <xdr:to>
      <xdr:col>15</xdr:col>
      <xdr:colOff>0</xdr:colOff>
      <xdr:row>44</xdr:row>
      <xdr:rowOff>0</xdr:rowOff>
    </xdr:to>
    <xdr:sp macro="" textlink="">
      <xdr:nvSpPr>
        <xdr:cNvPr id="14405" name="Line 21">
          <a:extLst>
            <a:ext uri="{FF2B5EF4-FFF2-40B4-BE49-F238E27FC236}">
              <a16:creationId xmlns:a16="http://schemas.microsoft.com/office/drawing/2014/main" id="{BEB9C3B0-FA60-FF41-E899-2264380B1F2A}"/>
            </a:ext>
          </a:extLst>
        </xdr:cNvPr>
        <xdr:cNvSpPr>
          <a:spLocks noChangeShapeType="1"/>
        </xdr:cNvSpPr>
      </xdr:nvSpPr>
      <xdr:spPr bwMode="auto">
        <a:xfrm>
          <a:off x="2714625" y="2200275"/>
          <a:ext cx="0" cy="6600825"/>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11</xdr:row>
      <xdr:rowOff>0</xdr:rowOff>
    </xdr:from>
    <xdr:to>
      <xdr:col>21</xdr:col>
      <xdr:colOff>0</xdr:colOff>
      <xdr:row>43</xdr:row>
      <xdr:rowOff>190500</xdr:rowOff>
    </xdr:to>
    <xdr:sp macro="" textlink="">
      <xdr:nvSpPr>
        <xdr:cNvPr id="14406" name="Line 22">
          <a:extLst>
            <a:ext uri="{FF2B5EF4-FFF2-40B4-BE49-F238E27FC236}">
              <a16:creationId xmlns:a16="http://schemas.microsoft.com/office/drawing/2014/main" id="{0D6F1610-58C8-7B30-B741-64C6F47AD72B}"/>
            </a:ext>
          </a:extLst>
        </xdr:cNvPr>
        <xdr:cNvSpPr>
          <a:spLocks noChangeShapeType="1"/>
        </xdr:cNvSpPr>
      </xdr:nvSpPr>
      <xdr:spPr bwMode="auto">
        <a:xfrm>
          <a:off x="3800475" y="2200275"/>
          <a:ext cx="0" cy="659130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0</xdr:colOff>
      <xdr:row>11</xdr:row>
      <xdr:rowOff>0</xdr:rowOff>
    </xdr:from>
    <xdr:to>
      <xdr:col>27</xdr:col>
      <xdr:colOff>0</xdr:colOff>
      <xdr:row>44</xdr:row>
      <xdr:rowOff>0</xdr:rowOff>
    </xdr:to>
    <xdr:sp macro="" textlink="">
      <xdr:nvSpPr>
        <xdr:cNvPr id="14407" name="Line 23">
          <a:extLst>
            <a:ext uri="{FF2B5EF4-FFF2-40B4-BE49-F238E27FC236}">
              <a16:creationId xmlns:a16="http://schemas.microsoft.com/office/drawing/2014/main" id="{B33D705D-0799-FB9B-A7FB-4F6A656ECC77}"/>
            </a:ext>
          </a:extLst>
        </xdr:cNvPr>
        <xdr:cNvSpPr>
          <a:spLocks noChangeShapeType="1"/>
        </xdr:cNvSpPr>
      </xdr:nvSpPr>
      <xdr:spPr bwMode="auto">
        <a:xfrm>
          <a:off x="4886325" y="2200275"/>
          <a:ext cx="0" cy="6600825"/>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37</xdr:row>
      <xdr:rowOff>0</xdr:rowOff>
    </xdr:from>
    <xdr:to>
      <xdr:col>33</xdr:col>
      <xdr:colOff>0</xdr:colOff>
      <xdr:row>37</xdr:row>
      <xdr:rowOff>0</xdr:rowOff>
    </xdr:to>
    <xdr:sp macro="" textlink="">
      <xdr:nvSpPr>
        <xdr:cNvPr id="14408" name="Line 24">
          <a:extLst>
            <a:ext uri="{FF2B5EF4-FFF2-40B4-BE49-F238E27FC236}">
              <a16:creationId xmlns:a16="http://schemas.microsoft.com/office/drawing/2014/main" id="{E090398F-0609-288C-DB22-7CD39FBAE6E2}"/>
            </a:ext>
          </a:extLst>
        </xdr:cNvPr>
        <xdr:cNvSpPr>
          <a:spLocks noChangeShapeType="1"/>
        </xdr:cNvSpPr>
      </xdr:nvSpPr>
      <xdr:spPr bwMode="auto">
        <a:xfrm>
          <a:off x="542925" y="7400925"/>
          <a:ext cx="54292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6</xdr:row>
      <xdr:rowOff>0</xdr:rowOff>
    </xdr:from>
    <xdr:to>
      <xdr:col>16</xdr:col>
      <xdr:colOff>0</xdr:colOff>
      <xdr:row>6</xdr:row>
      <xdr:rowOff>0</xdr:rowOff>
    </xdr:to>
    <xdr:sp macro="" textlink="">
      <xdr:nvSpPr>
        <xdr:cNvPr id="24591" name="Line 1">
          <a:extLst>
            <a:ext uri="{FF2B5EF4-FFF2-40B4-BE49-F238E27FC236}">
              <a16:creationId xmlns:a16="http://schemas.microsoft.com/office/drawing/2014/main" id="{5B837304-1BEF-E382-962C-BFDABBBB67CE}"/>
            </a:ext>
          </a:extLst>
        </xdr:cNvPr>
        <xdr:cNvSpPr>
          <a:spLocks noChangeShapeType="1"/>
        </xdr:cNvSpPr>
      </xdr:nvSpPr>
      <xdr:spPr bwMode="auto">
        <a:xfrm>
          <a:off x="1266825" y="1200150"/>
          <a:ext cx="162877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14</xdr:row>
      <xdr:rowOff>0</xdr:rowOff>
    </xdr:from>
    <xdr:to>
      <xdr:col>22</xdr:col>
      <xdr:colOff>0</xdr:colOff>
      <xdr:row>14</xdr:row>
      <xdr:rowOff>0</xdr:rowOff>
    </xdr:to>
    <xdr:sp macro="" textlink="">
      <xdr:nvSpPr>
        <xdr:cNvPr id="24592" name="Line 2">
          <a:extLst>
            <a:ext uri="{FF2B5EF4-FFF2-40B4-BE49-F238E27FC236}">
              <a16:creationId xmlns:a16="http://schemas.microsoft.com/office/drawing/2014/main" id="{9A9246BE-9236-B505-2150-56EC0418A5FB}"/>
            </a:ext>
          </a:extLst>
        </xdr:cNvPr>
        <xdr:cNvSpPr>
          <a:spLocks noChangeShapeType="1"/>
        </xdr:cNvSpPr>
      </xdr:nvSpPr>
      <xdr:spPr bwMode="auto">
        <a:xfrm>
          <a:off x="1266825" y="2800350"/>
          <a:ext cx="271462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63</xdr:row>
      <xdr:rowOff>0</xdr:rowOff>
    </xdr:from>
    <xdr:to>
      <xdr:col>6</xdr:col>
      <xdr:colOff>0</xdr:colOff>
      <xdr:row>63</xdr:row>
      <xdr:rowOff>0</xdr:rowOff>
    </xdr:to>
    <xdr:sp macro="" textlink="">
      <xdr:nvSpPr>
        <xdr:cNvPr id="24593" name="Line 3">
          <a:extLst>
            <a:ext uri="{FF2B5EF4-FFF2-40B4-BE49-F238E27FC236}">
              <a16:creationId xmlns:a16="http://schemas.microsoft.com/office/drawing/2014/main" id="{CEBA653D-F27E-2F98-3203-9B8323B3D721}"/>
            </a:ext>
          </a:extLst>
        </xdr:cNvPr>
        <xdr:cNvSpPr>
          <a:spLocks noChangeShapeType="1"/>
        </xdr:cNvSpPr>
      </xdr:nvSpPr>
      <xdr:spPr bwMode="auto">
        <a:xfrm>
          <a:off x="723900" y="12401550"/>
          <a:ext cx="3619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0</xdr:colOff>
      <xdr:row>63</xdr:row>
      <xdr:rowOff>0</xdr:rowOff>
    </xdr:from>
    <xdr:to>
      <xdr:col>17</xdr:col>
      <xdr:colOff>0</xdr:colOff>
      <xdr:row>63</xdr:row>
      <xdr:rowOff>0</xdr:rowOff>
    </xdr:to>
    <xdr:sp macro="" textlink="">
      <xdr:nvSpPr>
        <xdr:cNvPr id="24594" name="Line 4">
          <a:extLst>
            <a:ext uri="{FF2B5EF4-FFF2-40B4-BE49-F238E27FC236}">
              <a16:creationId xmlns:a16="http://schemas.microsoft.com/office/drawing/2014/main" id="{4C605BEF-F32A-10EC-1284-87914242FF62}"/>
            </a:ext>
          </a:extLst>
        </xdr:cNvPr>
        <xdr:cNvSpPr>
          <a:spLocks noChangeShapeType="1"/>
        </xdr:cNvSpPr>
      </xdr:nvSpPr>
      <xdr:spPr bwMode="auto">
        <a:xfrm>
          <a:off x="2171700" y="12401550"/>
          <a:ext cx="904875"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72</xdr:row>
      <xdr:rowOff>0</xdr:rowOff>
    </xdr:from>
    <xdr:to>
      <xdr:col>13</xdr:col>
      <xdr:colOff>0</xdr:colOff>
      <xdr:row>72</xdr:row>
      <xdr:rowOff>0</xdr:rowOff>
    </xdr:to>
    <xdr:sp macro="" textlink="">
      <xdr:nvSpPr>
        <xdr:cNvPr id="24595" name="Line 5">
          <a:extLst>
            <a:ext uri="{FF2B5EF4-FFF2-40B4-BE49-F238E27FC236}">
              <a16:creationId xmlns:a16="http://schemas.microsoft.com/office/drawing/2014/main" id="{299F7814-CBAC-B6B2-DA2B-14FB32E8AC24}"/>
            </a:ext>
          </a:extLst>
        </xdr:cNvPr>
        <xdr:cNvSpPr>
          <a:spLocks noChangeShapeType="1"/>
        </xdr:cNvSpPr>
      </xdr:nvSpPr>
      <xdr:spPr bwMode="auto">
        <a:xfrm>
          <a:off x="1266825" y="14201775"/>
          <a:ext cx="10858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79</xdr:row>
      <xdr:rowOff>0</xdr:rowOff>
    </xdr:from>
    <xdr:to>
      <xdr:col>13</xdr:col>
      <xdr:colOff>0</xdr:colOff>
      <xdr:row>79</xdr:row>
      <xdr:rowOff>0</xdr:rowOff>
    </xdr:to>
    <xdr:sp macro="" textlink="">
      <xdr:nvSpPr>
        <xdr:cNvPr id="24596" name="Line 6">
          <a:extLst>
            <a:ext uri="{FF2B5EF4-FFF2-40B4-BE49-F238E27FC236}">
              <a16:creationId xmlns:a16="http://schemas.microsoft.com/office/drawing/2014/main" id="{C9C4ECFC-3E52-0799-A8B8-8977A217BF26}"/>
            </a:ext>
          </a:extLst>
        </xdr:cNvPr>
        <xdr:cNvSpPr>
          <a:spLocks noChangeShapeType="1"/>
        </xdr:cNvSpPr>
      </xdr:nvSpPr>
      <xdr:spPr bwMode="auto">
        <a:xfrm>
          <a:off x="1266825" y="15601950"/>
          <a:ext cx="108585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63</xdr:row>
      <xdr:rowOff>0</xdr:rowOff>
    </xdr:from>
    <xdr:to>
      <xdr:col>11</xdr:col>
      <xdr:colOff>0</xdr:colOff>
      <xdr:row>63</xdr:row>
      <xdr:rowOff>0</xdr:rowOff>
    </xdr:to>
    <xdr:sp macro="" textlink="">
      <xdr:nvSpPr>
        <xdr:cNvPr id="24597" name="Line 7">
          <a:extLst>
            <a:ext uri="{FF2B5EF4-FFF2-40B4-BE49-F238E27FC236}">
              <a16:creationId xmlns:a16="http://schemas.microsoft.com/office/drawing/2014/main" id="{DEDDF27C-DA7A-79FE-9B34-6C814B0979C1}"/>
            </a:ext>
          </a:extLst>
        </xdr:cNvPr>
        <xdr:cNvSpPr>
          <a:spLocks noChangeShapeType="1"/>
        </xdr:cNvSpPr>
      </xdr:nvSpPr>
      <xdr:spPr bwMode="auto">
        <a:xfrm>
          <a:off x="1266825" y="12401550"/>
          <a:ext cx="723900" cy="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9525</xdr:rowOff>
        </xdr:from>
        <xdr:to>
          <xdr:col>2</xdr:col>
          <xdr:colOff>0</xdr:colOff>
          <xdr:row>2</xdr:row>
          <xdr:rowOff>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91440" tIns="45720" rIns="91440" bIns="45720" anchor="ctr" upright="1"/>
            <a:lstStyle/>
            <a:p>
              <a:pPr algn="ctr" rtl="0">
                <a:defRPr sz="1000"/>
              </a:pPr>
              <a:r>
                <a:rPr lang="ja-JP" altLang="en-US" sz="1000" b="1" i="0" u="none" strike="noStrike" baseline="0">
                  <a:solidFill>
                    <a:srgbClr val="000000"/>
                  </a:solidFill>
                  <a:latin typeface="ＭＳ 明朝"/>
                  <a:ea typeface="ＭＳ 明朝"/>
                </a:rPr>
                <a:t>シート名取得</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4EDF8-2614-46AA-BC8B-CC3176AED531}">
  <sheetPr codeName="Sheet14"/>
  <dimension ref="A1:AX381"/>
  <sheetViews>
    <sheetView view="pageBreakPreview" zoomScale="115" zoomScaleNormal="100" zoomScaleSheetLayoutView="115" workbookViewId="0">
      <selection activeCell="AS14" sqref="AS14:AT19"/>
    </sheetView>
  </sheetViews>
  <sheetFormatPr defaultColWidth="2.7109375" defaultRowHeight="15.75" customHeight="1" x14ac:dyDescent="0.15"/>
  <cols>
    <col min="1" max="36" width="2.7109375" style="27"/>
    <col min="37" max="37" width="2.7109375" style="27" customWidth="1"/>
    <col min="38" max="16384" width="2.7109375" style="27"/>
  </cols>
  <sheetData>
    <row r="1" spans="1:50" ht="15.75" customHeight="1" x14ac:dyDescent="0.15">
      <c r="AS1" s="27">
        <v>13</v>
      </c>
      <c r="AT1" s="27">
        <v>126.7</v>
      </c>
      <c r="AV1" s="27">
        <v>1</v>
      </c>
      <c r="AW1" s="27">
        <v>18</v>
      </c>
      <c r="AX1" s="27">
        <v>22</v>
      </c>
    </row>
    <row r="2" spans="1:50" ht="15.75" customHeight="1" x14ac:dyDescent="0.15">
      <c r="A2" s="48" t="str">
        <f>"§"&amp;AL5&amp;".照査の前提"</f>
        <v>§2.照査の前提</v>
      </c>
      <c r="AS2" s="27">
        <v>16</v>
      </c>
      <c r="AT2" s="27">
        <v>198.6</v>
      </c>
      <c r="AV2" s="27">
        <v>2</v>
      </c>
      <c r="AW2" s="27">
        <v>24</v>
      </c>
      <c r="AX2" s="27">
        <v>25</v>
      </c>
    </row>
    <row r="3" spans="1:50" ht="15.75" customHeight="1" x14ac:dyDescent="0.15">
      <c r="AS3" s="27">
        <v>19</v>
      </c>
      <c r="AT3" s="27">
        <v>286.5</v>
      </c>
      <c r="AV3" s="27">
        <v>3</v>
      </c>
      <c r="AW3" s="27">
        <v>30</v>
      </c>
      <c r="AX3" s="27">
        <v>28</v>
      </c>
    </row>
    <row r="4" spans="1:50" ht="15.75" customHeight="1" thickBot="1" x14ac:dyDescent="0.2">
      <c r="B4" s="26" t="str">
        <f>AL5&amp;".1 "&amp;AL6&amp;"の構造細目"</f>
        <v>2.1 躯体の構造細目</v>
      </c>
      <c r="AS4" s="27">
        <v>22</v>
      </c>
      <c r="AT4" s="27">
        <v>387.1</v>
      </c>
      <c r="AV4" s="27">
        <v>4</v>
      </c>
      <c r="AW4" s="27">
        <v>40</v>
      </c>
      <c r="AX4" s="27">
        <v>31</v>
      </c>
    </row>
    <row r="5" spans="1:50" ht="15.75" customHeight="1" thickBot="1" x14ac:dyDescent="0.2">
      <c r="AL5" s="79">
        <v>2</v>
      </c>
      <c r="AS5" s="27">
        <v>25</v>
      </c>
      <c r="AT5" s="27">
        <v>506.7</v>
      </c>
      <c r="AV5" s="27">
        <v>5</v>
      </c>
      <c r="AW5" s="27">
        <v>50</v>
      </c>
      <c r="AX5" s="27">
        <v>33</v>
      </c>
    </row>
    <row r="6" spans="1:50" ht="15.75" customHeight="1" thickBot="1" x14ac:dyDescent="0.2">
      <c r="B6" t="s">
        <v>673</v>
      </c>
      <c r="AL6" s="160" t="s">
        <v>268</v>
      </c>
      <c r="AM6" s="161"/>
      <c r="AN6" s="161"/>
      <c r="AO6" s="162"/>
      <c r="AS6" s="27">
        <v>29</v>
      </c>
      <c r="AT6" s="27">
        <v>642.4</v>
      </c>
      <c r="AV6" s="27">
        <v>6</v>
      </c>
      <c r="AW6" s="27">
        <v>60</v>
      </c>
      <c r="AX6" s="27">
        <v>35</v>
      </c>
    </row>
    <row r="7" spans="1:50" ht="15.75" customHeight="1" x14ac:dyDescent="0.15">
      <c r="AS7" s="27">
        <v>32</v>
      </c>
      <c r="AT7" s="27">
        <v>794.2</v>
      </c>
      <c r="AV7" s="27">
        <v>7</v>
      </c>
      <c r="AW7" s="27">
        <v>70</v>
      </c>
      <c r="AX7" s="27">
        <v>37</v>
      </c>
    </row>
    <row r="8" spans="1:50" ht="15.75" customHeight="1" x14ac:dyDescent="0.15">
      <c r="C8" t="s">
        <v>554</v>
      </c>
      <c r="AS8" s="27">
        <v>35</v>
      </c>
      <c r="AT8" s="27">
        <v>956.6</v>
      </c>
      <c r="AV8" s="27">
        <v>8</v>
      </c>
      <c r="AW8" s="27">
        <v>80</v>
      </c>
      <c r="AX8" s="27">
        <v>38</v>
      </c>
    </row>
    <row r="9" spans="1:50" ht="15.75" customHeight="1" x14ac:dyDescent="0.15">
      <c r="AS9" s="27">
        <v>38</v>
      </c>
      <c r="AT9" s="27">
        <v>1140</v>
      </c>
    </row>
    <row r="10" spans="1:50" ht="15.75" customHeight="1" x14ac:dyDescent="0.15">
      <c r="D10" s="27" t="s">
        <v>359</v>
      </c>
      <c r="AS10" s="27">
        <v>41</v>
      </c>
      <c r="AT10" s="27">
        <v>1340</v>
      </c>
    </row>
    <row r="11" spans="1:50" ht="15.75" customHeight="1" x14ac:dyDescent="0.15">
      <c r="AS11" s="27">
        <v>51</v>
      </c>
      <c r="AT11" s="27">
        <v>2027</v>
      </c>
    </row>
    <row r="12" spans="1:50" ht="15.75" customHeight="1" x14ac:dyDescent="0.15">
      <c r="E12" s="27" t="s">
        <v>306</v>
      </c>
    </row>
    <row r="13" spans="1:50" ht="15.75" customHeight="1" x14ac:dyDescent="0.15">
      <c r="E13" s="27" t="s">
        <v>307</v>
      </c>
    </row>
    <row r="14" spans="1:50" ht="15.75" customHeight="1" x14ac:dyDescent="0.15">
      <c r="AS14" s="111">
        <v>295</v>
      </c>
      <c r="AT14" s="112">
        <v>0.85</v>
      </c>
    </row>
    <row r="15" spans="1:50" ht="15.75" customHeight="1" x14ac:dyDescent="0.15">
      <c r="F15" s="32" t="s">
        <v>320</v>
      </c>
      <c r="G15" s="31" t="s">
        <v>308</v>
      </c>
      <c r="H15" s="163" t="s">
        <v>555</v>
      </c>
      <c r="I15" s="163"/>
      <c r="J15" s="163"/>
      <c r="K15" s="163"/>
      <c r="AS15" s="111">
        <v>345</v>
      </c>
      <c r="AT15" s="112">
        <v>1</v>
      </c>
    </row>
    <row r="16" spans="1:50" ht="15.75" customHeight="1" x14ac:dyDescent="0.15">
      <c r="AS16" s="111">
        <v>390</v>
      </c>
      <c r="AT16" s="112">
        <v>1.1499999999999999</v>
      </c>
    </row>
    <row r="17" spans="5:46" ht="15.75" customHeight="1" x14ac:dyDescent="0.15">
      <c r="G17"/>
      <c r="I17" s="33" t="s">
        <v>63</v>
      </c>
      <c r="J17" s="116" t="s">
        <v>330</v>
      </c>
      <c r="K17" s="116"/>
      <c r="L17" s="32" t="s">
        <v>65</v>
      </c>
      <c r="M17" s="27" t="s">
        <v>309</v>
      </c>
      <c r="S17" s="31" t="s">
        <v>72</v>
      </c>
      <c r="T17" s="31" t="s">
        <v>308</v>
      </c>
      <c r="U17" s="141">
        <f>S18+S19</f>
        <v>61560</v>
      </c>
      <c r="V17" s="141"/>
      <c r="W17" s="141"/>
      <c r="X17" s="141"/>
      <c r="Y17" s="34" t="s">
        <v>68</v>
      </c>
      <c r="Z17" s="31"/>
      <c r="AA17" s="307" t="s">
        <v>67</v>
      </c>
      <c r="AB17" s="308">
        <v>390</v>
      </c>
      <c r="AC17" s="308"/>
      <c r="AD17" s="308"/>
      <c r="AE17" s="306" t="s">
        <v>81</v>
      </c>
      <c r="AS17" s="111">
        <v>490</v>
      </c>
      <c r="AT17" s="112">
        <v>1.4</v>
      </c>
    </row>
    <row r="18" spans="5:46" ht="15.75" customHeight="1" x14ac:dyDescent="0.15">
      <c r="M18" s="27" t="s">
        <v>310</v>
      </c>
      <c r="R18" s="31" t="s">
        <v>312</v>
      </c>
      <c r="S18" s="141">
        <f>ROUND(AC18*AK18,1)</f>
        <v>36480</v>
      </c>
      <c r="T18" s="141"/>
      <c r="U18" s="141"/>
      <c r="V18" s="141"/>
      <c r="W18" s="50" t="s">
        <v>314</v>
      </c>
      <c r="X18" s="31"/>
      <c r="Y18" s="31" t="s">
        <v>315</v>
      </c>
      <c r="Z18" s="152">
        <v>38</v>
      </c>
      <c r="AA18" s="152"/>
      <c r="AB18" s="31" t="s">
        <v>316</v>
      </c>
      <c r="AC18" s="151">
        <v>32</v>
      </c>
      <c r="AD18" s="131"/>
      <c r="AE18" s="31" t="s">
        <v>224</v>
      </c>
      <c r="AF18" s="31" t="s">
        <v>317</v>
      </c>
      <c r="AJ18" s="31"/>
      <c r="AK18" s="119">
        <f>VLOOKUP(Z18,AS1:AT11,2)</f>
        <v>1140</v>
      </c>
      <c r="AL18" s="119"/>
      <c r="AM18" s="119"/>
      <c r="AN18" s="124"/>
      <c r="AO18" s="124"/>
      <c r="AP18" s="124"/>
    </row>
    <row r="19" spans="5:46" ht="15.75" customHeight="1" x14ac:dyDescent="0.15">
      <c r="M19" s="27" t="s">
        <v>311</v>
      </c>
      <c r="R19" s="31" t="s">
        <v>76</v>
      </c>
      <c r="S19" s="141">
        <f>ROUND(AC19*AK19,1)</f>
        <v>25080</v>
      </c>
      <c r="T19" s="141"/>
      <c r="U19" s="141"/>
      <c r="V19" s="141"/>
      <c r="W19" s="50" t="s">
        <v>314</v>
      </c>
      <c r="X19" s="31"/>
      <c r="Y19" s="31" t="s">
        <v>315</v>
      </c>
      <c r="Z19" s="152">
        <v>38</v>
      </c>
      <c r="AA19" s="152"/>
      <c r="AB19" s="31" t="s">
        <v>316</v>
      </c>
      <c r="AC19" s="151">
        <v>22</v>
      </c>
      <c r="AD19" s="131"/>
      <c r="AE19" s="31" t="s">
        <v>224</v>
      </c>
      <c r="AF19" s="31" t="s">
        <v>317</v>
      </c>
      <c r="AJ19" s="31"/>
      <c r="AK19" s="119">
        <f>VLOOKUP(Z19,AS1:AT11,2)</f>
        <v>1140</v>
      </c>
      <c r="AL19" s="119"/>
      <c r="AM19" s="119"/>
      <c r="AN19" s="124"/>
      <c r="AO19" s="124"/>
      <c r="AP19" s="124"/>
      <c r="AS19" s="125">
        <f>VLOOKUP(AB17,AS14:AT17,2)</f>
        <v>1.1499999999999999</v>
      </c>
      <c r="AT19" s="125"/>
    </row>
    <row r="20" spans="5:46" ht="15.75" customHeight="1" x14ac:dyDescent="0.15">
      <c r="J20" s="116" t="s">
        <v>329</v>
      </c>
      <c r="K20" s="116"/>
      <c r="L20" s="32" t="s">
        <v>65</v>
      </c>
      <c r="M20" s="27" t="s">
        <v>196</v>
      </c>
      <c r="Q20" s="31" t="s">
        <v>72</v>
      </c>
      <c r="R20" s="31" t="s">
        <v>52</v>
      </c>
      <c r="S20" s="149">
        <v>3940</v>
      </c>
      <c r="T20" s="149"/>
      <c r="U20" s="149"/>
      <c r="V20" s="27" t="s">
        <v>96</v>
      </c>
      <c r="W20" s="31" t="s">
        <v>97</v>
      </c>
      <c r="X20" s="31"/>
      <c r="Y20" s="31"/>
      <c r="Z20" s="69"/>
      <c r="AA20" s="69"/>
      <c r="AB20" s="31"/>
      <c r="AC20" s="68"/>
      <c r="AD20" s="31"/>
      <c r="AE20" s="31"/>
      <c r="AF20" s="31"/>
      <c r="AJ20" s="31"/>
      <c r="AK20" s="53"/>
      <c r="AL20" s="53"/>
      <c r="AM20" s="53"/>
    </row>
    <row r="21" spans="5:46" ht="15.75" customHeight="1" x14ac:dyDescent="0.15">
      <c r="J21" s="116" t="s">
        <v>74</v>
      </c>
      <c r="K21" s="116"/>
      <c r="L21" s="32" t="s">
        <v>65</v>
      </c>
      <c r="M21" s="27" t="s">
        <v>95</v>
      </c>
      <c r="Q21" s="31" t="s">
        <v>72</v>
      </c>
      <c r="R21" s="31" t="s">
        <v>52</v>
      </c>
      <c r="S21" s="149">
        <v>1700</v>
      </c>
      <c r="T21" s="149"/>
      <c r="U21" s="149"/>
      <c r="V21" s="27" t="s">
        <v>96</v>
      </c>
      <c r="W21" s="31" t="s">
        <v>97</v>
      </c>
      <c r="X21" s="31"/>
      <c r="Y21" s="31"/>
      <c r="Z21" s="69"/>
      <c r="AA21" s="69"/>
      <c r="AB21" s="31"/>
      <c r="AC21" s="68"/>
      <c r="AD21" s="31"/>
      <c r="AE21" s="31"/>
      <c r="AF21" s="31"/>
      <c r="AJ21" s="31"/>
      <c r="AK21" s="53"/>
      <c r="AL21" s="53"/>
      <c r="AM21" s="53"/>
    </row>
    <row r="22" spans="5:46" ht="15.75" customHeight="1" x14ac:dyDescent="0.15">
      <c r="J22" s="116" t="s">
        <v>326</v>
      </c>
      <c r="K22" s="116"/>
      <c r="L22" s="32" t="s">
        <v>65</v>
      </c>
      <c r="M22" s="27" t="s">
        <v>66</v>
      </c>
      <c r="Q22" s="31" t="s">
        <v>67</v>
      </c>
      <c r="R22" s="31" t="s">
        <v>60</v>
      </c>
      <c r="S22" s="150">
        <f>ROUND(S20*S21,0)</f>
        <v>6698000</v>
      </c>
      <c r="T22" s="150"/>
      <c r="U22" s="150"/>
      <c r="V22" s="150"/>
      <c r="W22" s="34" t="s">
        <v>68</v>
      </c>
      <c r="X22" s="31"/>
    </row>
    <row r="24" spans="5:46" ht="15.75" customHeight="1" x14ac:dyDescent="0.15">
      <c r="E24" s="31"/>
      <c r="F24" s="32" t="s">
        <v>320</v>
      </c>
      <c r="G24" s="31" t="s">
        <v>308</v>
      </c>
      <c r="H24" s="119">
        <f>U17</f>
        <v>61560</v>
      </c>
      <c r="I24" s="119"/>
      <c r="J24" s="119"/>
      <c r="K24" s="119"/>
      <c r="L24" s="55" t="s">
        <v>318</v>
      </c>
      <c r="M24" s="145">
        <f>S22</f>
        <v>6698000</v>
      </c>
      <c r="N24" s="145"/>
      <c r="O24" s="145"/>
      <c r="P24" s="145"/>
      <c r="Q24" s="31" t="s">
        <v>246</v>
      </c>
      <c r="R24" s="124">
        <v>100</v>
      </c>
      <c r="S24" s="124"/>
    </row>
    <row r="25" spans="5:46" ht="15.75" customHeight="1" x14ac:dyDescent="0.15">
      <c r="G25" s="31" t="s">
        <v>308</v>
      </c>
      <c r="H25" s="134">
        <f>H24/M24*R24</f>
        <v>0.9190803224843237</v>
      </c>
      <c r="I25" s="134"/>
      <c r="J25" s="134"/>
      <c r="K25" s="27" t="s">
        <v>247</v>
      </c>
      <c r="L25" s="31" t="str">
        <f>IF(H25&gt;M25,"＞","＜")</f>
        <v>＞</v>
      </c>
      <c r="M25" s="125">
        <v>0.15</v>
      </c>
      <c r="N25" s="125"/>
      <c r="O25" s="125"/>
      <c r="P25" s="27" t="s">
        <v>247</v>
      </c>
      <c r="R25" s="124" t="s">
        <v>248</v>
      </c>
      <c r="S25" s="124"/>
      <c r="T25" s="124" t="str">
        <f>IF(H25&lt;M25,"NG","OK")</f>
        <v>OK</v>
      </c>
      <c r="U25" s="124"/>
    </row>
    <row r="27" spans="5:46" ht="15.75" customHeight="1" x14ac:dyDescent="0.15">
      <c r="F27" s="27" t="s">
        <v>319</v>
      </c>
    </row>
    <row r="53" spans="4:31" ht="15.75" customHeight="1" x14ac:dyDescent="0.15">
      <c r="D53" t="s">
        <v>559</v>
      </c>
    </row>
    <row r="55" spans="4:31" ht="15.75" customHeight="1" x14ac:dyDescent="0.15">
      <c r="E55" s="27" t="s">
        <v>57</v>
      </c>
    </row>
    <row r="56" spans="4:31" ht="15.75" customHeight="1" x14ac:dyDescent="0.15">
      <c r="E56" s="27" t="s">
        <v>58</v>
      </c>
    </row>
    <row r="58" spans="4:31" ht="15.75" customHeight="1" x14ac:dyDescent="0.15">
      <c r="F58" s="124" t="s">
        <v>59</v>
      </c>
      <c r="G58" s="124"/>
      <c r="H58" s="116" t="s">
        <v>60</v>
      </c>
      <c r="I58" s="124" t="s">
        <v>61</v>
      </c>
      <c r="J58" s="124"/>
      <c r="K58" s="124"/>
      <c r="L58" s="124"/>
      <c r="M58" s="124"/>
      <c r="N58" s="124"/>
      <c r="O58" s="124"/>
    </row>
    <row r="59" spans="4:31" ht="15.75" customHeight="1" x14ac:dyDescent="0.15">
      <c r="F59" s="124"/>
      <c r="G59" s="124"/>
      <c r="H59" s="116"/>
      <c r="L59" s="31" t="s">
        <v>62</v>
      </c>
    </row>
    <row r="61" spans="4:31" ht="15.75" customHeight="1" x14ac:dyDescent="0.15">
      <c r="G61"/>
      <c r="I61" s="33" t="s">
        <v>63</v>
      </c>
      <c r="J61" s="116" t="s">
        <v>326</v>
      </c>
      <c r="K61" s="116"/>
      <c r="L61" s="32" t="s">
        <v>65</v>
      </c>
      <c r="M61" s="27" t="s">
        <v>66</v>
      </c>
      <c r="T61" s="31" t="s">
        <v>67</v>
      </c>
      <c r="U61" s="31" t="s">
        <v>60</v>
      </c>
      <c r="V61" s="150">
        <f>S22</f>
        <v>6698000</v>
      </c>
      <c r="W61" s="150"/>
      <c r="X61" s="150"/>
      <c r="Y61" s="150"/>
      <c r="Z61" s="34" t="s">
        <v>68</v>
      </c>
      <c r="AA61" s="31"/>
    </row>
    <row r="62" spans="4:31" ht="15.75" customHeight="1" x14ac:dyDescent="0.15">
      <c r="J62" s="116" t="s">
        <v>327</v>
      </c>
      <c r="K62" s="116"/>
      <c r="L62" s="32" t="s">
        <v>65</v>
      </c>
      <c r="M62" s="27" t="s">
        <v>71</v>
      </c>
      <c r="T62" s="31" t="s">
        <v>72</v>
      </c>
      <c r="U62" s="31" t="s">
        <v>52</v>
      </c>
      <c r="V62" s="164">
        <f>ROUND(S20*S21^3/12,0)</f>
        <v>1613101666667</v>
      </c>
      <c r="W62" s="164"/>
      <c r="X62" s="164"/>
      <c r="Y62" s="164"/>
      <c r="Z62" s="164"/>
      <c r="AA62" s="34" t="s">
        <v>73</v>
      </c>
      <c r="AB62" s="31"/>
    </row>
    <row r="63" spans="4:31" ht="15.75" customHeight="1" x14ac:dyDescent="0.15">
      <c r="J63" s="116" t="s">
        <v>75</v>
      </c>
      <c r="K63" s="116"/>
      <c r="L63" s="32" t="s">
        <v>76</v>
      </c>
      <c r="M63" s="27" t="s">
        <v>77</v>
      </c>
      <c r="T63" s="31" t="s">
        <v>78</v>
      </c>
      <c r="U63" s="31" t="s">
        <v>79</v>
      </c>
      <c r="V63" s="141">
        <f>S21/2</f>
        <v>850</v>
      </c>
      <c r="W63" s="141"/>
      <c r="X63" s="141"/>
      <c r="Y63" s="27" t="s">
        <v>80</v>
      </c>
      <c r="Z63" s="31" t="s">
        <v>81</v>
      </c>
    </row>
    <row r="64" spans="4:31" ht="15.75" customHeight="1" x14ac:dyDescent="0.15">
      <c r="J64" s="116" t="s">
        <v>328</v>
      </c>
      <c r="K64" s="116"/>
      <c r="L64" s="32" t="s">
        <v>82</v>
      </c>
      <c r="M64" t="s">
        <v>83</v>
      </c>
      <c r="T64" s="31" t="s">
        <v>84</v>
      </c>
      <c r="U64" s="31" t="s">
        <v>85</v>
      </c>
      <c r="V64" s="149">
        <v>7592.8</v>
      </c>
      <c r="W64" s="149"/>
      <c r="X64" s="149"/>
      <c r="Y64" s="27" t="s">
        <v>86</v>
      </c>
      <c r="Z64" s="31" t="s">
        <v>472</v>
      </c>
      <c r="AA64" s="124" t="s">
        <v>473</v>
      </c>
      <c r="AB64" s="124"/>
      <c r="AC64" s="124"/>
      <c r="AD64" s="124"/>
      <c r="AE64" s="31" t="s">
        <v>474</v>
      </c>
    </row>
    <row r="65" spans="6:42" ht="15.75" customHeight="1" x14ac:dyDescent="0.15">
      <c r="J65" s="27" t="s">
        <v>88</v>
      </c>
      <c r="U65" t="s">
        <v>556</v>
      </c>
    </row>
    <row r="66" spans="6:42" ht="15.75" customHeight="1" x14ac:dyDescent="0.15">
      <c r="F66" s="156" t="s">
        <v>63</v>
      </c>
      <c r="G66" s="156"/>
      <c r="H66" s="156"/>
      <c r="I66" s="156"/>
      <c r="J66" s="116" t="s">
        <v>89</v>
      </c>
      <c r="K66" s="116"/>
      <c r="L66" s="116" t="s">
        <v>60</v>
      </c>
      <c r="M66" s="124">
        <v>1</v>
      </c>
      <c r="N66" s="124" t="s">
        <v>90</v>
      </c>
      <c r="O66"/>
      <c r="T66" s="32">
        <v>1</v>
      </c>
      <c r="U66" s="32"/>
    </row>
    <row r="67" spans="6:42" ht="15.75" customHeight="1" x14ac:dyDescent="0.15">
      <c r="F67" s="156"/>
      <c r="G67" s="156"/>
      <c r="H67" s="156"/>
      <c r="I67" s="156"/>
      <c r="J67" s="116"/>
      <c r="K67" s="116"/>
      <c r="L67" s="116"/>
      <c r="M67" s="124"/>
      <c r="N67" s="124"/>
      <c r="O67" s="114">
        <v>0.85</v>
      </c>
      <c r="P67" s="114"/>
      <c r="Q67" s="35" t="s">
        <v>90</v>
      </c>
      <c r="R67" s="155">
        <v>4.5</v>
      </c>
      <c r="S67" s="155"/>
      <c r="T67" s="31" t="s">
        <v>67</v>
      </c>
      <c r="U67" s="31" t="s">
        <v>91</v>
      </c>
      <c r="V67" s="36" t="s">
        <v>92</v>
      </c>
      <c r="W67" s="124" t="s">
        <v>93</v>
      </c>
      <c r="X67" s="124"/>
      <c r="Y67" s="31" t="s">
        <v>94</v>
      </c>
    </row>
    <row r="68" spans="6:42" ht="15.75" customHeight="1" x14ac:dyDescent="0.15">
      <c r="J68" s="116" t="s">
        <v>74</v>
      </c>
      <c r="K68" s="116"/>
      <c r="L68" s="32" t="s">
        <v>65</v>
      </c>
      <c r="M68" s="27" t="s">
        <v>95</v>
      </c>
      <c r="T68" s="31" t="s">
        <v>72</v>
      </c>
      <c r="U68" s="31" t="s">
        <v>52</v>
      </c>
      <c r="V68" s="141">
        <f>S21</f>
        <v>1700</v>
      </c>
      <c r="W68" s="141"/>
      <c r="X68" s="141"/>
      <c r="Y68" s="27" t="s">
        <v>96</v>
      </c>
      <c r="Z68" s="31" t="s">
        <v>97</v>
      </c>
    </row>
    <row r="69" spans="6:42" ht="15.75" customHeight="1" x14ac:dyDescent="0.15">
      <c r="J69" s="124" t="s">
        <v>98</v>
      </c>
      <c r="K69" s="124"/>
      <c r="L69" s="32" t="s">
        <v>76</v>
      </c>
      <c r="M69" s="27" t="s">
        <v>99</v>
      </c>
      <c r="T69" s="31" t="s">
        <v>72</v>
      </c>
      <c r="U69" s="31" t="s">
        <v>52</v>
      </c>
      <c r="V69" s="34" t="s">
        <v>100</v>
      </c>
      <c r="AB69" s="31" t="s">
        <v>97</v>
      </c>
    </row>
    <row r="70" spans="6:42" ht="15.75" customHeight="1" x14ac:dyDescent="0.15">
      <c r="I70" s="33" t="s">
        <v>101</v>
      </c>
      <c r="J70" s="124" t="s">
        <v>102</v>
      </c>
      <c r="K70" s="124"/>
      <c r="L70" s="32" t="s">
        <v>76</v>
      </c>
      <c r="M70" s="27" t="s">
        <v>103</v>
      </c>
      <c r="AJ70" s="31">
        <f>MATCH(AE73,AW1:AW8,1)</f>
        <v>3</v>
      </c>
      <c r="AK70" s="27">
        <f>VLOOKUP(AJ70,AV1:AX8,2,FALSE)</f>
        <v>30</v>
      </c>
      <c r="AL70" s="31">
        <f>VLOOKUP(AJ70,AV1:AX8,3,FALSE)</f>
        <v>28</v>
      </c>
      <c r="AM70" s="31"/>
      <c r="AN70" s="31"/>
      <c r="AO70" s="31"/>
      <c r="AP70" s="31"/>
    </row>
    <row r="71" spans="6:42" ht="15.75" customHeight="1" x14ac:dyDescent="0.15">
      <c r="M71" s="124" t="s">
        <v>102</v>
      </c>
      <c r="N71" s="124"/>
      <c r="O71" s="31" t="s">
        <v>52</v>
      </c>
      <c r="P71" s="34" t="s">
        <v>104</v>
      </c>
      <c r="X71" t="s">
        <v>557</v>
      </c>
      <c r="AJ71" s="31">
        <f>AJ70+1</f>
        <v>4</v>
      </c>
      <c r="AK71" s="27">
        <f>VLOOKUP(AJ71,AV1:AX8,2,FALSE)</f>
        <v>40</v>
      </c>
      <c r="AL71" s="27">
        <f>VLOOKUP(AJ71,AV1:AX8,3,FALSE)</f>
        <v>31</v>
      </c>
    </row>
    <row r="72" spans="6:42" ht="15.75" customHeight="1" x14ac:dyDescent="0.15">
      <c r="J72" s="124" t="s">
        <v>105</v>
      </c>
      <c r="K72" s="124"/>
      <c r="L72" s="32" t="s">
        <v>65</v>
      </c>
      <c r="M72" s="27" t="s">
        <v>106</v>
      </c>
      <c r="T72" s="31" t="s">
        <v>107</v>
      </c>
      <c r="U72" s="31" t="s">
        <v>53</v>
      </c>
      <c r="V72" s="153">
        <v>25</v>
      </c>
      <c r="W72" s="153"/>
      <c r="X72" s="27" t="s">
        <v>108</v>
      </c>
      <c r="Y72" s="31" t="s">
        <v>109</v>
      </c>
    </row>
    <row r="73" spans="6:42" ht="15.75" customHeight="1" x14ac:dyDescent="0.15">
      <c r="J73" s="116" t="s">
        <v>110</v>
      </c>
      <c r="K73" s="116"/>
      <c r="L73" s="32" t="s">
        <v>111</v>
      </c>
      <c r="M73" s="27" t="s">
        <v>112</v>
      </c>
      <c r="W73" s="31" t="s">
        <v>113</v>
      </c>
      <c r="X73" s="31" t="s">
        <v>50</v>
      </c>
      <c r="Y73" s="140">
        <v>24</v>
      </c>
      <c r="Z73" s="140"/>
      <c r="AA73" s="31" t="s">
        <v>114</v>
      </c>
      <c r="AB73" s="140">
        <v>1.3</v>
      </c>
      <c r="AC73" s="140"/>
      <c r="AD73" s="31" t="s">
        <v>50</v>
      </c>
      <c r="AE73" s="119">
        <f>Y73*AB73</f>
        <v>31.200000000000003</v>
      </c>
      <c r="AF73" s="119"/>
      <c r="AG73" s="34" t="s">
        <v>51</v>
      </c>
      <c r="AI73" s="31" t="s">
        <v>115</v>
      </c>
    </row>
    <row r="74" spans="6:42" ht="15.75" customHeight="1" x14ac:dyDescent="0.15">
      <c r="I74" s="31" t="s">
        <v>116</v>
      </c>
      <c r="J74" s="124" t="s">
        <v>117</v>
      </c>
      <c r="K74" s="124"/>
      <c r="L74" s="31" t="s">
        <v>50</v>
      </c>
      <c r="M74" s="154">
        <v>0.01</v>
      </c>
      <c r="N74" s="154"/>
      <c r="O74" s="154"/>
      <c r="P74" s="31" t="s">
        <v>114</v>
      </c>
      <c r="Q74" s="124">
        <f>V72</f>
        <v>25</v>
      </c>
      <c r="R74" s="124"/>
      <c r="S74" s="37" t="s">
        <v>119</v>
      </c>
      <c r="T74" s="31" t="s">
        <v>114</v>
      </c>
      <c r="U74" s="119">
        <f>AE73</f>
        <v>31.200000000000003</v>
      </c>
      <c r="V74" s="119"/>
      <c r="W74" s="37" t="s">
        <v>119</v>
      </c>
      <c r="X74" s="31" t="s">
        <v>50</v>
      </c>
      <c r="Y74" s="128">
        <f>M74*Q74^(1/3)*U74^(1/3)</f>
        <v>9.2051640825158862E-2</v>
      </c>
      <c r="Z74" s="128"/>
      <c r="AA74" s="128"/>
    </row>
    <row r="75" spans="6:42" ht="15.75" customHeight="1" x14ac:dyDescent="0.15">
      <c r="J75" s="124" t="s">
        <v>120</v>
      </c>
      <c r="K75" s="124"/>
      <c r="L75" s="32" t="s">
        <v>121</v>
      </c>
      <c r="M75" s="27" t="s">
        <v>122</v>
      </c>
      <c r="T75" s="31" t="s">
        <v>123</v>
      </c>
      <c r="U75" s="31" t="s">
        <v>124</v>
      </c>
      <c r="V75" s="129">
        <f>(((AL71-AL70)/(AK71-AK70))*(AE73-AK70))+AL70</f>
        <v>28.36</v>
      </c>
      <c r="W75" s="129"/>
      <c r="X75" s="38" t="s">
        <v>125</v>
      </c>
      <c r="AA75" s="31" t="s">
        <v>126</v>
      </c>
    </row>
    <row r="76" spans="6:42" ht="15.75" customHeight="1" x14ac:dyDescent="0.15">
      <c r="J76" s="31"/>
      <c r="K76" s="31"/>
      <c r="L76" s="32"/>
      <c r="T76" s="31"/>
      <c r="U76" s="31"/>
      <c r="V76" s="51"/>
      <c r="W76" s="51"/>
      <c r="X76" s="38"/>
      <c r="AA76" s="31"/>
    </row>
    <row r="77" spans="6:42" ht="15.75" customHeight="1" x14ac:dyDescent="0.15">
      <c r="F77" s="33"/>
      <c r="G77" s="33"/>
      <c r="H77" s="33"/>
      <c r="I77" s="33"/>
      <c r="J77" s="116" t="s">
        <v>127</v>
      </c>
      <c r="K77" s="116"/>
      <c r="L77" s="32" t="s">
        <v>128</v>
      </c>
      <c r="M77" s="27" t="s">
        <v>129</v>
      </c>
      <c r="T77" t="s">
        <v>558</v>
      </c>
    </row>
    <row r="78" spans="6:42" ht="15.75" customHeight="1" x14ac:dyDescent="0.15">
      <c r="F78" s="33"/>
      <c r="G78" s="33"/>
      <c r="H78" s="33"/>
      <c r="I78" s="33"/>
      <c r="J78" s="32"/>
      <c r="K78" s="31" t="s">
        <v>130</v>
      </c>
      <c r="L78" s="31" t="s">
        <v>54</v>
      </c>
      <c r="M78" s="130" t="s">
        <v>131</v>
      </c>
      <c r="N78" s="130"/>
      <c r="O78" s="130"/>
      <c r="P78" s="130"/>
      <c r="Q78" s="31" t="s">
        <v>54</v>
      </c>
      <c r="R78" s="126">
        <v>0.23</v>
      </c>
      <c r="S78" s="126"/>
      <c r="T78" s="31" t="s">
        <v>132</v>
      </c>
      <c r="U78" s="119">
        <f>AE73</f>
        <v>31.200000000000003</v>
      </c>
      <c r="V78" s="119"/>
      <c r="W78" s="37" t="s">
        <v>133</v>
      </c>
      <c r="X78" s="31" t="s">
        <v>54</v>
      </c>
      <c r="Y78" s="125">
        <f>ROUND(R78*U78^(2/3),2)</f>
        <v>2.2799999999999998</v>
      </c>
      <c r="Z78" s="125"/>
      <c r="AA78" s="34" t="s">
        <v>32</v>
      </c>
      <c r="AC78" s="31" t="s">
        <v>134</v>
      </c>
    </row>
    <row r="79" spans="6:42" ht="15.75" customHeight="1" x14ac:dyDescent="0.15">
      <c r="H79"/>
      <c r="I79" s="31" t="s">
        <v>135</v>
      </c>
      <c r="J79" s="124" t="s">
        <v>136</v>
      </c>
      <c r="K79" s="124"/>
      <c r="L79" s="31" t="s">
        <v>54</v>
      </c>
      <c r="M79" s="127">
        <v>1000</v>
      </c>
      <c r="N79" s="127"/>
      <c r="O79" s="31" t="s">
        <v>132</v>
      </c>
      <c r="P79" s="128">
        <f>Y74</f>
        <v>9.2051640825158862E-2</v>
      </c>
      <c r="Q79" s="128"/>
      <c r="R79" s="128"/>
      <c r="S79" s="31" t="s">
        <v>132</v>
      </c>
      <c r="T79" s="129">
        <f>V75</f>
        <v>28.36</v>
      </c>
      <c r="U79" s="129"/>
      <c r="V79" s="36" t="s">
        <v>137</v>
      </c>
      <c r="W79" s="125">
        <f>Y78</f>
        <v>2.2799999999999998</v>
      </c>
      <c r="X79" s="125"/>
      <c r="Y79" s="37" t="s">
        <v>138</v>
      </c>
      <c r="Z79" s="31" t="s">
        <v>54</v>
      </c>
      <c r="AA79" s="124">
        <f>ROUND(M79*P79*T79*1/(W79^2),0)</f>
        <v>502</v>
      </c>
      <c r="AB79" s="124"/>
      <c r="AC79" s="27" t="s">
        <v>139</v>
      </c>
    </row>
    <row r="80" spans="6:42" ht="15.75" customHeight="1" x14ac:dyDescent="0.15">
      <c r="I80" s="124" t="s">
        <v>135</v>
      </c>
      <c r="J80" s="116" t="s">
        <v>140</v>
      </c>
      <c r="K80" s="116"/>
      <c r="L80" s="116" t="s">
        <v>54</v>
      </c>
      <c r="M80" s="131">
        <v>1</v>
      </c>
      <c r="N80" s="124" t="s">
        <v>141</v>
      </c>
      <c r="U80" s="124">
        <v>1</v>
      </c>
      <c r="V80" s="124"/>
      <c r="AC80" s="116" t="s">
        <v>54</v>
      </c>
      <c r="AD80" s="125">
        <f>M80+(U80/(O81+R81*(V81/Z81)))</f>
        <v>1.062154097589362</v>
      </c>
      <c r="AE80" s="125"/>
    </row>
    <row r="81" spans="6:33" ht="15.75" customHeight="1" x14ac:dyDescent="0.15">
      <c r="I81" s="124"/>
      <c r="J81" s="116"/>
      <c r="K81" s="116"/>
      <c r="L81" s="116"/>
      <c r="M81" s="131"/>
      <c r="N81" s="124"/>
      <c r="O81" s="132">
        <v>0.85</v>
      </c>
      <c r="P81" s="132"/>
      <c r="Q81" s="35" t="s">
        <v>141</v>
      </c>
      <c r="R81" s="123">
        <v>4.5</v>
      </c>
      <c r="S81" s="123"/>
      <c r="T81" s="31" t="s">
        <v>132</v>
      </c>
      <c r="U81" s="31" t="s">
        <v>130</v>
      </c>
      <c r="V81" s="119">
        <f>V68</f>
        <v>1700</v>
      </c>
      <c r="W81" s="119"/>
      <c r="X81" s="119"/>
      <c r="Y81" s="36" t="s">
        <v>137</v>
      </c>
      <c r="Z81" s="124">
        <f>AA79</f>
        <v>502</v>
      </c>
      <c r="AA81" s="124"/>
      <c r="AB81" s="31" t="s">
        <v>134</v>
      </c>
      <c r="AC81" s="116"/>
      <c r="AD81" s="125"/>
      <c r="AE81" s="125"/>
    </row>
    <row r="82" spans="6:33" ht="15.75" customHeight="1" x14ac:dyDescent="0.15">
      <c r="I82" s="31" t="s">
        <v>135</v>
      </c>
      <c r="J82" s="116" t="s">
        <v>142</v>
      </c>
      <c r="K82" s="116"/>
      <c r="L82" s="31" t="s">
        <v>54</v>
      </c>
      <c r="M82" s="122">
        <v>1</v>
      </c>
      <c r="N82" s="122"/>
    </row>
    <row r="83" spans="6:33" ht="15.75" customHeight="1" x14ac:dyDescent="0.15">
      <c r="H83" s="31" t="s">
        <v>135</v>
      </c>
      <c r="I83" s="116" t="s">
        <v>143</v>
      </c>
      <c r="J83" s="116"/>
      <c r="K83" s="31" t="s">
        <v>54</v>
      </c>
      <c r="L83" s="116" t="s">
        <v>144</v>
      </c>
      <c r="M83" s="116"/>
      <c r="N83" s="31" t="s">
        <v>54</v>
      </c>
      <c r="O83" s="125">
        <f>AD80</f>
        <v>1.062154097589362</v>
      </c>
      <c r="P83" s="125"/>
      <c r="Q83" s="31" t="s">
        <v>132</v>
      </c>
      <c r="R83" s="125">
        <f>M82</f>
        <v>1</v>
      </c>
      <c r="S83" s="125"/>
      <c r="T83" s="31" t="s">
        <v>132</v>
      </c>
      <c r="U83" s="125">
        <f>Y78</f>
        <v>2.2799999999999998</v>
      </c>
      <c r="V83" s="125"/>
      <c r="W83" s="31" t="s">
        <v>54</v>
      </c>
      <c r="X83" s="125">
        <f>O83*R83*U83</f>
        <v>2.4217113425037451</v>
      </c>
      <c r="Y83" s="125"/>
      <c r="Z83" s="34" t="s">
        <v>32</v>
      </c>
    </row>
    <row r="85" spans="6:33" ht="15.75" customHeight="1" x14ac:dyDescent="0.15">
      <c r="I85" s="39" t="s">
        <v>145</v>
      </c>
      <c r="J85" s="124" t="s">
        <v>146</v>
      </c>
      <c r="K85" s="124"/>
      <c r="L85" s="116" t="s">
        <v>54</v>
      </c>
      <c r="M85" s="84" t="s">
        <v>130</v>
      </c>
      <c r="N85" s="133">
        <f>X83</f>
        <v>2.4217113425037451</v>
      </c>
      <c r="O85" s="133"/>
      <c r="P85" s="84" t="s">
        <v>141</v>
      </c>
      <c r="Q85" s="117">
        <f>V64</f>
        <v>7592.8</v>
      </c>
      <c r="R85" s="117"/>
      <c r="S85" s="117"/>
      <c r="T85" s="88" t="s">
        <v>132</v>
      </c>
      <c r="U85" s="92" t="s">
        <v>147</v>
      </c>
      <c r="V85" s="88"/>
      <c r="W85" s="118">
        <f>V61</f>
        <v>6698000</v>
      </c>
      <c r="X85" s="118"/>
      <c r="Y85" s="118"/>
      <c r="Z85" s="118"/>
      <c r="AA85" s="84" t="s">
        <v>134</v>
      </c>
      <c r="AB85" s="84" t="s">
        <v>132</v>
      </c>
      <c r="AC85" s="165">
        <f>V62</f>
        <v>1613101666667</v>
      </c>
      <c r="AD85" s="165"/>
      <c r="AE85" s="165"/>
      <c r="AF85" s="165"/>
      <c r="AG85" s="165"/>
    </row>
    <row r="86" spans="6:33" ht="15.75" customHeight="1" x14ac:dyDescent="0.15">
      <c r="J86" s="124"/>
      <c r="K86" s="124"/>
      <c r="L86" s="116"/>
      <c r="U86" s="119">
        <f>V63</f>
        <v>850</v>
      </c>
      <c r="V86" s="119"/>
      <c r="W86" s="119"/>
      <c r="X86" s="119"/>
    </row>
    <row r="87" spans="6:33" ht="15.75" customHeight="1" x14ac:dyDescent="0.15">
      <c r="L87" s="31" t="s">
        <v>54</v>
      </c>
      <c r="M87" s="120">
        <f>((N85+Q85*10^3/W85)*AC85)/U86</f>
        <v>6747136395.4269171</v>
      </c>
      <c r="N87" s="120"/>
      <c r="O87" s="120"/>
      <c r="P87" s="120"/>
      <c r="Q87" s="41" t="s">
        <v>148</v>
      </c>
      <c r="S87" s="31" t="s">
        <v>54</v>
      </c>
      <c r="T87" s="119">
        <f>ROUND(M87/10^6,1)</f>
        <v>6747.1</v>
      </c>
      <c r="U87" s="119"/>
      <c r="V87" s="119"/>
      <c r="W87" s="119"/>
      <c r="X87" s="41" t="s">
        <v>149</v>
      </c>
    </row>
    <row r="89" spans="6:33" ht="15.75" customHeight="1" x14ac:dyDescent="0.15">
      <c r="F89" s="27" t="s">
        <v>150</v>
      </c>
    </row>
    <row r="91" spans="6:33" ht="15.75" customHeight="1" x14ac:dyDescent="0.15">
      <c r="J91" s="116" t="s">
        <v>151</v>
      </c>
      <c r="K91" s="116"/>
      <c r="L91" s="31" t="s">
        <v>54</v>
      </c>
      <c r="M91" s="119">
        <f>AE73</f>
        <v>31.200000000000003</v>
      </c>
      <c r="N91" s="119"/>
      <c r="O91" s="34" t="s">
        <v>32</v>
      </c>
      <c r="Q91" s="27" t="s">
        <v>152</v>
      </c>
      <c r="R91" s="121" t="s">
        <v>153</v>
      </c>
      <c r="S91" s="116"/>
      <c r="T91" s="31" t="s">
        <v>54</v>
      </c>
      <c r="U91" s="122">
        <v>1.1000000000000001</v>
      </c>
      <c r="V91" s="122"/>
    </row>
    <row r="92" spans="6:33" ht="15.75" customHeight="1" x14ac:dyDescent="0.15">
      <c r="J92" s="116" t="s">
        <v>154</v>
      </c>
      <c r="K92" s="116"/>
      <c r="L92" s="31" t="s">
        <v>54</v>
      </c>
      <c r="M92" s="119">
        <f>'Myd（躯体最小）上端'!J36</f>
        <v>15931.7</v>
      </c>
      <c r="N92" s="119"/>
      <c r="O92" s="119"/>
      <c r="P92" s="119"/>
      <c r="Q92" s="41" t="s">
        <v>149</v>
      </c>
      <c r="S92" s="31" t="str">
        <f>IF(M92&gt;W92,"＞","＜")</f>
        <v>＞</v>
      </c>
      <c r="T92" s="116" t="s">
        <v>146</v>
      </c>
      <c r="U92" s="116"/>
      <c r="V92" s="31" t="s">
        <v>54</v>
      </c>
      <c r="W92" s="119">
        <f>T87</f>
        <v>6747.1</v>
      </c>
      <c r="X92" s="119"/>
      <c r="Y92" s="119"/>
      <c r="Z92" s="119"/>
      <c r="AA92" s="41" t="s">
        <v>149</v>
      </c>
      <c r="AD92" s="124" t="s">
        <v>248</v>
      </c>
      <c r="AE92" s="124"/>
      <c r="AF92" s="124" t="str">
        <f>IF(M92&lt;W92,"NG","OK")</f>
        <v>OK</v>
      </c>
      <c r="AG92" s="124"/>
    </row>
    <row r="94" spans="6:33" ht="15.75" customHeight="1" x14ac:dyDescent="0.15">
      <c r="F94" s="27" t="s">
        <v>155</v>
      </c>
    </row>
    <row r="103" spans="4:29" ht="15.75" customHeight="1" x14ac:dyDescent="0.15">
      <c r="D103" s="27" t="s">
        <v>321</v>
      </c>
      <c r="T103" t="s">
        <v>560</v>
      </c>
    </row>
    <row r="105" spans="4:29" ht="15.75" customHeight="1" x14ac:dyDescent="0.15">
      <c r="E105" s="27" t="s">
        <v>322</v>
      </c>
    </row>
    <row r="106" spans="4:29" ht="15.75" customHeight="1" x14ac:dyDescent="0.15">
      <c r="E106" s="27" t="s">
        <v>323</v>
      </c>
    </row>
    <row r="108" spans="4:29" ht="15.75" customHeight="1" x14ac:dyDescent="0.15">
      <c r="F108" s="124" t="s">
        <v>342</v>
      </c>
      <c r="G108" s="116" t="s">
        <v>60</v>
      </c>
      <c r="H108" s="121" t="s">
        <v>331</v>
      </c>
      <c r="I108" s="124"/>
      <c r="J108" s="124"/>
      <c r="K108" s="124"/>
      <c r="L108" s="124"/>
      <c r="M108" s="124"/>
      <c r="N108" s="124"/>
      <c r="O108" s="124"/>
    </row>
    <row r="109" spans="4:29" ht="15.75" customHeight="1" x14ac:dyDescent="0.15">
      <c r="F109" s="124"/>
      <c r="G109" s="116"/>
      <c r="H109" s="124" t="s">
        <v>324</v>
      </c>
      <c r="I109" s="124"/>
      <c r="J109" s="124"/>
      <c r="K109" s="124"/>
      <c r="L109" s="124"/>
      <c r="M109" s="124"/>
      <c r="N109" s="124"/>
      <c r="O109" s="124"/>
    </row>
    <row r="111" spans="4:29" ht="15.75" customHeight="1" x14ac:dyDescent="0.15">
      <c r="G111"/>
      <c r="I111" s="33" t="s">
        <v>63</v>
      </c>
      <c r="J111" s="116" t="s">
        <v>325</v>
      </c>
      <c r="K111" s="116"/>
      <c r="L111" s="32" t="s">
        <v>65</v>
      </c>
      <c r="M111" s="27" t="s">
        <v>202</v>
      </c>
    </row>
    <row r="112" spans="4:29" ht="15.75" customHeight="1" x14ac:dyDescent="0.15">
      <c r="K112" s="31" t="s">
        <v>67</v>
      </c>
      <c r="L112" s="31" t="s">
        <v>60</v>
      </c>
      <c r="M112" s="116" t="s">
        <v>203</v>
      </c>
      <c r="N112" s="116"/>
      <c r="O112" s="36" t="s">
        <v>92</v>
      </c>
      <c r="P112" s="138" t="s">
        <v>204</v>
      </c>
      <c r="Q112" s="139"/>
      <c r="R112" s="31" t="s">
        <v>60</v>
      </c>
      <c r="S112" s="119">
        <f>Y73</f>
        <v>24</v>
      </c>
      <c r="T112" s="119"/>
      <c r="U112" s="36" t="s">
        <v>92</v>
      </c>
      <c r="V112" s="140">
        <v>1.3</v>
      </c>
      <c r="W112" s="140"/>
      <c r="X112" s="31" t="s">
        <v>60</v>
      </c>
      <c r="Y112" s="119">
        <f>S112/V112</f>
        <v>18.46153846153846</v>
      </c>
      <c r="Z112" s="119"/>
      <c r="AA112" s="34" t="s">
        <v>205</v>
      </c>
      <c r="AC112" s="31" t="s">
        <v>94</v>
      </c>
    </row>
    <row r="113" spans="6:35" ht="15.75" customHeight="1" x14ac:dyDescent="0.15">
      <c r="J113" s="124" t="s">
        <v>332</v>
      </c>
      <c r="K113" s="124"/>
      <c r="L113" s="32" t="s">
        <v>65</v>
      </c>
      <c r="M113" s="47" t="s">
        <v>333</v>
      </c>
      <c r="V113" s="31" t="s">
        <v>208</v>
      </c>
      <c r="W113" s="31" t="s">
        <v>55</v>
      </c>
      <c r="X113" s="148">
        <f>'Myd（躯体最小）上端'!Z5</f>
        <v>390</v>
      </c>
      <c r="Y113" s="148"/>
      <c r="Z113" s="34" t="s">
        <v>209</v>
      </c>
      <c r="AB113" s="31" t="s">
        <v>210</v>
      </c>
    </row>
    <row r="114" spans="6:35" ht="15.75" customHeight="1" x14ac:dyDescent="0.15">
      <c r="G114" s="27" t="s">
        <v>335</v>
      </c>
    </row>
    <row r="115" spans="6:35" ht="15.75" customHeight="1" x14ac:dyDescent="0.15">
      <c r="G115" s="27" t="s">
        <v>334</v>
      </c>
    </row>
    <row r="116" spans="6:35" ht="15.75" customHeight="1" x14ac:dyDescent="0.15">
      <c r="J116" s="116" t="s">
        <v>203</v>
      </c>
      <c r="K116" s="116"/>
      <c r="L116" s="32" t="s">
        <v>65</v>
      </c>
      <c r="M116" s="27" t="s">
        <v>336</v>
      </c>
    </row>
    <row r="118" spans="6:35" ht="15.75" customHeight="1" x14ac:dyDescent="0.15">
      <c r="J118" s="124" t="s">
        <v>337</v>
      </c>
      <c r="K118" s="124"/>
      <c r="L118" s="31" t="s">
        <v>60</v>
      </c>
      <c r="M118" s="31">
        <v>1</v>
      </c>
      <c r="N118" s="31" t="s">
        <v>316</v>
      </c>
      <c r="O118" s="124" t="s">
        <v>338</v>
      </c>
      <c r="P118" s="124"/>
      <c r="Q118" s="124"/>
      <c r="R118" s="124"/>
      <c r="S118" s="31" t="s">
        <v>339</v>
      </c>
      <c r="T118" s="125">
        <v>0.85</v>
      </c>
      <c r="U118" s="125"/>
    </row>
    <row r="119" spans="6:35" ht="15.75" customHeight="1" x14ac:dyDescent="0.15">
      <c r="L119" s="31" t="s">
        <v>60</v>
      </c>
      <c r="M119" s="80">
        <v>1</v>
      </c>
      <c r="N119" s="31" t="s">
        <v>316</v>
      </c>
      <c r="O119" s="157">
        <v>3.0000000000000001E-3</v>
      </c>
      <c r="P119" s="157"/>
      <c r="Q119" s="157"/>
      <c r="R119" s="31" t="s">
        <v>313</v>
      </c>
      <c r="S119" s="119">
        <f>S112</f>
        <v>24</v>
      </c>
      <c r="T119" s="119"/>
      <c r="U119" s="31" t="s">
        <v>60</v>
      </c>
      <c r="V119" s="125">
        <f>M119-O119*S119</f>
        <v>0.92799999999999994</v>
      </c>
      <c r="W119" s="125"/>
      <c r="X119" s="125"/>
      <c r="Y119" s="31" t="str">
        <f>IF(V119&gt;Z119,"＞","＜")</f>
        <v>＞</v>
      </c>
      <c r="Z119" s="125">
        <v>0.85</v>
      </c>
      <c r="AA119" s="125"/>
      <c r="AB119" s="125"/>
      <c r="AC119" s="170" t="s">
        <v>561</v>
      </c>
      <c r="AD119" s="170"/>
      <c r="AE119" s="170"/>
      <c r="AF119" s="170"/>
      <c r="AG119" s="170"/>
      <c r="AH119" s="170"/>
      <c r="AI119" s="170"/>
    </row>
    <row r="121" spans="6:35" ht="15.75" customHeight="1" x14ac:dyDescent="0.15">
      <c r="F121" s="124" t="s">
        <v>342</v>
      </c>
      <c r="G121" s="116" t="s">
        <v>60</v>
      </c>
      <c r="H121" s="122">
        <v>1</v>
      </c>
      <c r="I121" s="122"/>
      <c r="J121" s="31" t="s">
        <v>313</v>
      </c>
      <c r="K121" s="119">
        <f>V112</f>
        <v>1.3</v>
      </c>
      <c r="L121" s="119"/>
      <c r="M121" s="31" t="s">
        <v>313</v>
      </c>
      <c r="N121" s="119">
        <f>V64</f>
        <v>7592.8</v>
      </c>
      <c r="O121" s="119"/>
      <c r="P121" s="119"/>
      <c r="Q121" s="119"/>
      <c r="R121" s="27" t="s">
        <v>132</v>
      </c>
      <c r="S121" s="40" t="s">
        <v>341</v>
      </c>
      <c r="U121" s="116" t="s">
        <v>60</v>
      </c>
      <c r="V121" s="141">
        <f>(H121*K121*N121*1000)/(H122*L122+O122*S122)</f>
        <v>524690.54628720984</v>
      </c>
      <c r="W121" s="141"/>
      <c r="X121" s="141"/>
      <c r="Y121" s="141"/>
      <c r="Z121" s="146" t="s">
        <v>314</v>
      </c>
      <c r="AA121" s="146"/>
    </row>
    <row r="122" spans="6:35" ht="15.75" customHeight="1" x14ac:dyDescent="0.15">
      <c r="F122" s="124"/>
      <c r="G122" s="116"/>
      <c r="H122" s="157">
        <v>8.0000000000000002E-3</v>
      </c>
      <c r="I122" s="157"/>
      <c r="J122" s="157"/>
      <c r="K122" s="31" t="s">
        <v>313</v>
      </c>
      <c r="L122" s="145">
        <f>X113</f>
        <v>390</v>
      </c>
      <c r="M122" s="145"/>
      <c r="N122" s="31" t="s">
        <v>340</v>
      </c>
      <c r="O122" s="125">
        <f>MIN(V119,Z119)</f>
        <v>0.85</v>
      </c>
      <c r="P122" s="125"/>
      <c r="Q122" s="125"/>
      <c r="R122" s="31" t="s">
        <v>313</v>
      </c>
      <c r="S122" s="119">
        <f>Y112</f>
        <v>18.46153846153846</v>
      </c>
      <c r="T122" s="119"/>
      <c r="U122" s="116"/>
      <c r="V122" s="141"/>
      <c r="W122" s="141"/>
      <c r="X122" s="141"/>
      <c r="Y122" s="141"/>
      <c r="Z122" s="146"/>
      <c r="AA122" s="146"/>
    </row>
    <row r="124" spans="6:35" ht="15.75" customHeight="1" x14ac:dyDescent="0.15">
      <c r="F124" s="27" t="s">
        <v>343</v>
      </c>
      <c r="J124" s="157">
        <v>8.0000000000000002E-3</v>
      </c>
      <c r="K124" s="157"/>
      <c r="L124" s="157"/>
      <c r="M124" s="31" t="s">
        <v>313</v>
      </c>
      <c r="N124" s="119">
        <f>V121</f>
        <v>524690.54628720984</v>
      </c>
      <c r="O124" s="119"/>
      <c r="P124" s="119"/>
      <c r="Q124" s="119"/>
      <c r="R124" s="31" t="s">
        <v>60</v>
      </c>
      <c r="S124" s="141">
        <f>J124*N124</f>
        <v>4197.5243702976786</v>
      </c>
      <c r="T124" s="141"/>
      <c r="U124" s="141"/>
      <c r="V124" s="141"/>
      <c r="W124" s="27" t="s">
        <v>314</v>
      </c>
    </row>
    <row r="125" spans="6:35" ht="15.75" customHeight="1" x14ac:dyDescent="0.15">
      <c r="N125" s="52"/>
      <c r="O125" s="52"/>
      <c r="P125" s="52"/>
      <c r="Q125" s="52"/>
    </row>
    <row r="126" spans="6:35" ht="15.75" customHeight="1" x14ac:dyDescent="0.15">
      <c r="F126" s="27" t="s">
        <v>343</v>
      </c>
      <c r="J126" s="141">
        <f>S124</f>
        <v>4197.5243702976786</v>
      </c>
      <c r="K126" s="141"/>
      <c r="L126" s="141"/>
      <c r="M126" s="141"/>
      <c r="N126" s="27" t="s">
        <v>314</v>
      </c>
      <c r="P126" s="31" t="str">
        <f>IF(J126&gt;T126,"＞","＜")</f>
        <v>＜</v>
      </c>
      <c r="Q126" s="116" t="s">
        <v>330</v>
      </c>
      <c r="R126" s="116"/>
      <c r="S126" s="31" t="s">
        <v>308</v>
      </c>
      <c r="T126" s="141">
        <f>U17</f>
        <v>61560</v>
      </c>
      <c r="U126" s="141"/>
      <c r="V126" s="141"/>
      <c r="W126" s="141"/>
      <c r="X126" s="50" t="s">
        <v>314</v>
      </c>
      <c r="Y126" s="31"/>
      <c r="Z126" s="124" t="s">
        <v>248</v>
      </c>
      <c r="AA126" s="124"/>
      <c r="AB126" s="124" t="str">
        <f>IF(J126&gt;T126,"NG","OK")</f>
        <v>OK</v>
      </c>
      <c r="AC126" s="124"/>
    </row>
    <row r="128" spans="6:35" ht="15.75" customHeight="1" x14ac:dyDescent="0.15">
      <c r="F128" s="27" t="s">
        <v>344</v>
      </c>
    </row>
    <row r="153" spans="1:33" ht="15.75" customHeight="1" x14ac:dyDescent="0.15">
      <c r="B153"/>
      <c r="C153" t="s">
        <v>562</v>
      </c>
      <c r="D153"/>
      <c r="E153"/>
      <c r="F153"/>
      <c r="G153"/>
      <c r="H153"/>
      <c r="I153"/>
      <c r="J153"/>
      <c r="K153"/>
      <c r="L153"/>
      <c r="M153"/>
      <c r="N153"/>
      <c r="O153"/>
      <c r="P153"/>
      <c r="Q153"/>
    </row>
    <row r="154" spans="1:33" ht="15.75" customHeight="1" x14ac:dyDescent="0.15">
      <c r="A154"/>
      <c r="B154"/>
      <c r="C154"/>
      <c r="D154"/>
      <c r="E154"/>
      <c r="F154"/>
      <c r="G154"/>
      <c r="H154"/>
      <c r="I154"/>
      <c r="J154"/>
      <c r="K154"/>
      <c r="L154"/>
      <c r="M154"/>
      <c r="N154"/>
      <c r="O154"/>
      <c r="P154"/>
      <c r="Q154"/>
    </row>
    <row r="155" spans="1:33" ht="15.75" customHeight="1" x14ac:dyDescent="0.15">
      <c r="A155"/>
      <c r="C155"/>
      <c r="D155" t="s">
        <v>156</v>
      </c>
      <c r="E155"/>
      <c r="F155"/>
      <c r="G155"/>
      <c r="H155"/>
      <c r="I155"/>
      <c r="J155"/>
      <c r="K155"/>
      <c r="L155"/>
      <c r="M155"/>
      <c r="N155"/>
      <c r="O155"/>
      <c r="P155"/>
      <c r="Q155"/>
    </row>
    <row r="156" spans="1:33" ht="15.75" customHeight="1" x14ac:dyDescent="0.15">
      <c r="A156"/>
      <c r="C156"/>
      <c r="D156"/>
      <c r="E156"/>
      <c r="F156"/>
      <c r="G156"/>
      <c r="H156"/>
      <c r="I156"/>
      <c r="J156"/>
      <c r="K156"/>
      <c r="L156"/>
      <c r="M156"/>
      <c r="N156"/>
      <c r="O156"/>
      <c r="P156"/>
      <c r="Q156"/>
      <c r="AG156" s="29"/>
    </row>
    <row r="157" spans="1:33" ht="15.75" customHeight="1" x14ac:dyDescent="0.15">
      <c r="A157"/>
      <c r="B157"/>
      <c r="D157" t="s">
        <v>563</v>
      </c>
      <c r="E157"/>
      <c r="F157"/>
      <c r="G157"/>
      <c r="H157"/>
      <c r="I157"/>
      <c r="J157"/>
      <c r="K157"/>
      <c r="L157"/>
      <c r="M157"/>
      <c r="N157"/>
      <c r="O157"/>
      <c r="P157"/>
      <c r="Q157"/>
      <c r="S157" s="28"/>
      <c r="T157" s="28"/>
      <c r="U157" s="28"/>
      <c r="W157" s="28"/>
      <c r="X157" s="28"/>
      <c r="Y157" s="28"/>
      <c r="AG157" s="29"/>
    </row>
    <row r="158" spans="1:33" ht="15.75" customHeight="1" x14ac:dyDescent="0.15">
      <c r="A158"/>
      <c r="B158"/>
      <c r="C158"/>
      <c r="D158"/>
      <c r="E158"/>
      <c r="F158"/>
      <c r="G158"/>
      <c r="H158"/>
      <c r="I158"/>
      <c r="J158"/>
      <c r="K158"/>
      <c r="L158"/>
      <c r="M158"/>
      <c r="N158" s="42"/>
      <c r="O158" s="43"/>
      <c r="P158" s="43"/>
      <c r="Q158" s="43"/>
      <c r="AG158" s="29"/>
    </row>
    <row r="159" spans="1:33" ht="15.75" customHeight="1" x14ac:dyDescent="0.15">
      <c r="A159"/>
      <c r="B159"/>
      <c r="C159"/>
      <c r="D159"/>
      <c r="E159" s="116" t="s">
        <v>158</v>
      </c>
      <c r="F159" s="116" t="s">
        <v>159</v>
      </c>
      <c r="G159" s="116" t="s">
        <v>160</v>
      </c>
      <c r="H159" s="121" t="s">
        <v>161</v>
      </c>
      <c r="I159" s="116" t="s">
        <v>162</v>
      </c>
      <c r="J159"/>
      <c r="K159" s="116" t="s">
        <v>163</v>
      </c>
      <c r="L159" s="116"/>
      <c r="M159" s="116"/>
      <c r="N159" s="42"/>
      <c r="O159" s="116" t="s">
        <v>164</v>
      </c>
      <c r="P159"/>
      <c r="Q159" s="116" t="s">
        <v>165</v>
      </c>
      <c r="R159" s="116"/>
      <c r="T159" s="124" t="s">
        <v>166</v>
      </c>
      <c r="U159" s="116" t="s">
        <v>167</v>
      </c>
      <c r="V159" s="116"/>
      <c r="W159" s="116" t="s">
        <v>168</v>
      </c>
      <c r="X159" s="136" t="s">
        <v>169</v>
      </c>
      <c r="Y159" s="136"/>
      <c r="Z159" s="116" t="s">
        <v>162</v>
      </c>
      <c r="AA159" s="121" t="s">
        <v>170</v>
      </c>
      <c r="AB159" s="116"/>
      <c r="AC159" s="124" t="s">
        <v>171</v>
      </c>
      <c r="AD159" s="124">
        <v>100</v>
      </c>
      <c r="AE159" s="124"/>
      <c r="AF159" s="44"/>
      <c r="AG159" s="44"/>
    </row>
    <row r="160" spans="1:33" ht="15.75" customHeight="1" x14ac:dyDescent="0.15">
      <c r="A160"/>
      <c r="B160"/>
      <c r="C160"/>
      <c r="D160"/>
      <c r="E160" s="116"/>
      <c r="F160" s="116"/>
      <c r="G160" s="116"/>
      <c r="H160" s="121"/>
      <c r="I160" s="116"/>
      <c r="J160" s="116" t="s">
        <v>163</v>
      </c>
      <c r="K160" s="116"/>
      <c r="L160" s="32" t="s">
        <v>168</v>
      </c>
      <c r="M160" s="116" t="s">
        <v>172</v>
      </c>
      <c r="N160" s="116"/>
      <c r="O160" s="116"/>
      <c r="P160" s="137" t="s">
        <v>173</v>
      </c>
      <c r="Q160" s="137"/>
      <c r="R160" s="137"/>
      <c r="S160" s="137"/>
      <c r="T160" s="124"/>
      <c r="U160" s="124" t="s">
        <v>174</v>
      </c>
      <c r="V160" s="124"/>
      <c r="W160" s="116"/>
      <c r="X160" s="124" t="s">
        <v>175</v>
      </c>
      <c r="Y160" s="124"/>
      <c r="Z160" s="116"/>
      <c r="AA160" s="124" t="s">
        <v>174</v>
      </c>
      <c r="AB160" s="124"/>
      <c r="AC160" s="124"/>
      <c r="AD160" s="124"/>
      <c r="AE160" s="124"/>
      <c r="AG160" s="29"/>
    </row>
    <row r="161" spans="1:40" ht="15.75" customHeight="1" x14ac:dyDescent="0.15">
      <c r="A161"/>
      <c r="B161"/>
      <c r="C161"/>
      <c r="D161"/>
      <c r="E161"/>
      <c r="F161"/>
      <c r="G161"/>
      <c r="H161"/>
      <c r="I161"/>
      <c r="J161"/>
      <c r="K161"/>
      <c r="L161"/>
      <c r="M161"/>
      <c r="N161"/>
      <c r="O161"/>
      <c r="P161"/>
      <c r="Q161"/>
      <c r="AG161" s="29"/>
    </row>
    <row r="162" spans="1:40" ht="15.75" customHeight="1" x14ac:dyDescent="0.15">
      <c r="A162"/>
      <c r="B162"/>
      <c r="C162"/>
      <c r="D162" s="45"/>
      <c r="F162"/>
      <c r="H162" s="33" t="s">
        <v>176</v>
      </c>
      <c r="I162" s="121" t="s">
        <v>161</v>
      </c>
      <c r="J162" s="121"/>
      <c r="K162" s="32" t="s">
        <v>177</v>
      </c>
      <c r="L162" s="114">
        <v>0.88</v>
      </c>
      <c r="M162" s="114"/>
      <c r="N162" s="32" t="s">
        <v>164</v>
      </c>
      <c r="O162" s="115">
        <v>4.0000000000000001E-3</v>
      </c>
      <c r="P162" s="115"/>
      <c r="Q162" s="115"/>
      <c r="R162" s="27" t="s">
        <v>178</v>
      </c>
      <c r="T162" s="27" t="s">
        <v>179</v>
      </c>
      <c r="AF162" s="29"/>
    </row>
    <row r="163" spans="1:40" ht="15.75" customHeight="1" x14ac:dyDescent="0.15">
      <c r="A163"/>
      <c r="B163"/>
      <c r="C163"/>
      <c r="D163" s="45"/>
      <c r="E163"/>
      <c r="F163"/>
      <c r="G163"/>
      <c r="H163"/>
      <c r="I163"/>
      <c r="J163"/>
      <c r="K163" s="32" t="s">
        <v>159</v>
      </c>
      <c r="L163" s="114">
        <v>0.88</v>
      </c>
      <c r="M163" s="114"/>
      <c r="N163" s="32" t="s">
        <v>164</v>
      </c>
      <c r="O163" s="115">
        <v>4.0000000000000001E-3</v>
      </c>
      <c r="P163" s="115"/>
      <c r="Q163" s="115"/>
      <c r="R163" s="46" t="s">
        <v>180</v>
      </c>
      <c r="S163" s="119">
        <f>R172</f>
        <v>24</v>
      </c>
      <c r="T163" s="119"/>
      <c r="U163" s="31" t="s">
        <v>159</v>
      </c>
      <c r="V163" s="134">
        <f>L163-(O163*S163)</f>
        <v>0.78400000000000003</v>
      </c>
      <c r="W163" s="134"/>
      <c r="X163" s="134"/>
      <c r="Y163" s="27" t="str">
        <f>IF(V163&lt;Z163,"＜","＞")</f>
        <v>＞</v>
      </c>
      <c r="Z163" s="125">
        <v>0.68</v>
      </c>
      <c r="AA163" s="125"/>
      <c r="AF163" s="29"/>
    </row>
    <row r="164" spans="1:40" ht="15.75" customHeight="1" x14ac:dyDescent="0.15">
      <c r="A164"/>
      <c r="B164"/>
      <c r="C164"/>
      <c r="D164" s="45"/>
      <c r="E164"/>
      <c r="F164"/>
      <c r="G164"/>
      <c r="H164"/>
      <c r="I164" s="116" t="s">
        <v>163</v>
      </c>
      <c r="J164" s="116"/>
      <c r="K164" s="32" t="s">
        <v>177</v>
      </c>
      <c r="L164" t="s">
        <v>181</v>
      </c>
      <c r="M164" s="42"/>
      <c r="N164" s="43"/>
      <c r="O164" s="43"/>
      <c r="P164" s="43"/>
      <c r="AF164" s="29"/>
    </row>
    <row r="165" spans="1:40" ht="15.75" customHeight="1" x14ac:dyDescent="0.15">
      <c r="A165"/>
      <c r="B165"/>
      <c r="C165"/>
      <c r="D165" s="45"/>
      <c r="E165"/>
      <c r="F165"/>
      <c r="G165"/>
      <c r="H165"/>
      <c r="I165"/>
      <c r="J165"/>
      <c r="K165" s="116" t="s">
        <v>52</v>
      </c>
      <c r="L165" s="116">
        <v>155</v>
      </c>
      <c r="M165" s="116"/>
      <c r="N165" s="35" t="s">
        <v>182</v>
      </c>
      <c r="O165" s="116" t="s">
        <v>183</v>
      </c>
      <c r="P165" s="116"/>
      <c r="Q165" s="116" t="s">
        <v>52</v>
      </c>
      <c r="R165" s="116">
        <v>155</v>
      </c>
      <c r="S165" s="116"/>
      <c r="T165" s="35" t="s">
        <v>182</v>
      </c>
      <c r="U165" s="119">
        <f>S163</f>
        <v>24</v>
      </c>
      <c r="V165" s="119"/>
      <c r="W165" s="116" t="s">
        <v>52</v>
      </c>
      <c r="X165" s="128">
        <f>(R165-U165)/S166</f>
        <v>4.3666666666666663E-3</v>
      </c>
      <c r="Y165" s="128"/>
      <c r="Z165" s="128"/>
      <c r="AA165" s="124" t="str">
        <f>IF(X165&lt;AB165,"＜","＞")</f>
        <v>＞</v>
      </c>
      <c r="AB165" s="128">
        <v>3.5000000000000001E-3</v>
      </c>
      <c r="AC165" s="128"/>
      <c r="AD165" s="128"/>
      <c r="AF165" s="29"/>
    </row>
    <row r="166" spans="1:40" ht="15.75" customHeight="1" x14ac:dyDescent="0.15">
      <c r="A166"/>
      <c r="B166"/>
      <c r="C166"/>
      <c r="D166" s="45"/>
      <c r="E166"/>
      <c r="F166"/>
      <c r="G166"/>
      <c r="H166"/>
      <c r="I166"/>
      <c r="J166"/>
      <c r="K166" s="116"/>
      <c r="L166"/>
      <c r="M166" s="135">
        <v>30000</v>
      </c>
      <c r="N166" s="135"/>
      <c r="O166" s="135"/>
      <c r="P166" s="43"/>
      <c r="Q166" s="116"/>
      <c r="R166"/>
      <c r="S166" s="135">
        <v>30000</v>
      </c>
      <c r="T166" s="135"/>
      <c r="U166" s="135"/>
      <c r="V166" s="43"/>
      <c r="W166" s="116"/>
      <c r="X166" s="128"/>
      <c r="Y166" s="128"/>
      <c r="Z166" s="128"/>
      <c r="AA166" s="124"/>
      <c r="AB166" s="128"/>
      <c r="AC166" s="128"/>
      <c r="AD166" s="128"/>
      <c r="AF166" s="29"/>
    </row>
    <row r="167" spans="1:40" ht="15.75" customHeight="1" x14ac:dyDescent="0.15">
      <c r="A167"/>
      <c r="B167"/>
      <c r="C167"/>
      <c r="D167" s="45"/>
      <c r="E167"/>
      <c r="F167"/>
      <c r="G167"/>
      <c r="H167"/>
      <c r="I167" s="116" t="s">
        <v>184</v>
      </c>
      <c r="J167" s="116"/>
      <c r="K167" s="32" t="s">
        <v>76</v>
      </c>
      <c r="L167" t="s">
        <v>185</v>
      </c>
      <c r="M167" s="42"/>
      <c r="N167" s="43"/>
      <c r="O167" s="43"/>
      <c r="P167" s="43"/>
      <c r="U167" s="31" t="s">
        <v>186</v>
      </c>
      <c r="V167" s="124" t="s">
        <v>187</v>
      </c>
      <c r="W167" s="124"/>
      <c r="X167" s="36" t="s">
        <v>188</v>
      </c>
      <c r="Y167" s="124" t="s">
        <v>189</v>
      </c>
      <c r="Z167" s="124"/>
      <c r="AA167" s="31" t="s">
        <v>190</v>
      </c>
      <c r="AB167" s="147">
        <f>W173/(W174*10^3)</f>
        <v>1.9499999999999999E-3</v>
      </c>
      <c r="AC167" s="147"/>
      <c r="AD167" s="147"/>
      <c r="AE167" s="31" t="s">
        <v>191</v>
      </c>
      <c r="AG167" s="29"/>
    </row>
    <row r="168" spans="1:40" ht="15.75" customHeight="1" x14ac:dyDescent="0.15">
      <c r="A168"/>
      <c r="B168"/>
      <c r="C168"/>
      <c r="D168" s="45"/>
      <c r="E168"/>
      <c r="F168"/>
      <c r="G168"/>
      <c r="H168"/>
      <c r="I168" s="116" t="s">
        <v>192</v>
      </c>
      <c r="J168" s="116"/>
      <c r="K168" s="32" t="s">
        <v>193</v>
      </c>
      <c r="L168" t="s">
        <v>83</v>
      </c>
      <c r="M168" s="42"/>
      <c r="N168" s="43"/>
      <c r="O168" s="43"/>
      <c r="P168" s="43"/>
      <c r="U168" s="31" t="s">
        <v>84</v>
      </c>
      <c r="V168" s="31" t="s">
        <v>85</v>
      </c>
      <c r="W168" s="141">
        <f>V64</f>
        <v>7592.8</v>
      </c>
      <c r="X168" s="141"/>
      <c r="Y168" s="141"/>
      <c r="Z168" s="27" t="s">
        <v>86</v>
      </c>
      <c r="AA168" s="31" t="s">
        <v>87</v>
      </c>
      <c r="AG168" s="29"/>
    </row>
    <row r="169" spans="1:40" ht="15.75" customHeight="1" x14ac:dyDescent="0.15">
      <c r="A169"/>
      <c r="B169"/>
      <c r="C169"/>
      <c r="D169" s="45"/>
      <c r="E169"/>
      <c r="F169"/>
      <c r="G169"/>
      <c r="H169"/>
      <c r="I169" s="116" t="s">
        <v>194</v>
      </c>
      <c r="J169" s="116"/>
      <c r="K169" s="32" t="s">
        <v>195</v>
      </c>
      <c r="L169" t="s">
        <v>196</v>
      </c>
      <c r="M169" s="42"/>
      <c r="N169" s="43"/>
      <c r="O169" s="43"/>
      <c r="P169" s="43"/>
      <c r="U169" s="31" t="s">
        <v>72</v>
      </c>
      <c r="V169" s="31" t="s">
        <v>52</v>
      </c>
      <c r="W169" s="141">
        <f>S20</f>
        <v>3940</v>
      </c>
      <c r="X169" s="141"/>
      <c r="Y169" s="141"/>
      <c r="Z169" s="27" t="s">
        <v>96</v>
      </c>
      <c r="AA169" s="31" t="s">
        <v>97</v>
      </c>
      <c r="AG169" s="29"/>
    </row>
    <row r="170" spans="1:40" ht="15.75" customHeight="1" x14ac:dyDescent="0.15">
      <c r="D170" s="29"/>
      <c r="I170" s="116" t="s">
        <v>197</v>
      </c>
      <c r="J170" s="116"/>
      <c r="K170" s="32" t="s">
        <v>76</v>
      </c>
      <c r="L170" t="s">
        <v>198</v>
      </c>
      <c r="M170" s="42"/>
      <c r="N170" s="43"/>
      <c r="O170" s="43"/>
      <c r="P170" s="43"/>
      <c r="U170" s="31" t="s">
        <v>130</v>
      </c>
      <c r="V170" s="31" t="s">
        <v>54</v>
      </c>
      <c r="W170" s="141">
        <f>'Myd（躯体最小）上端'!J18</f>
        <v>1558.4</v>
      </c>
      <c r="X170" s="141"/>
      <c r="Y170" s="141"/>
      <c r="Z170" s="27" t="s">
        <v>199</v>
      </c>
      <c r="AA170" s="31" t="s">
        <v>134</v>
      </c>
      <c r="AG170" s="29"/>
    </row>
    <row r="171" spans="1:40" ht="15.75" customHeight="1" x14ac:dyDescent="0.15">
      <c r="D171" s="29"/>
      <c r="I171" s="116" t="s">
        <v>200</v>
      </c>
      <c r="J171" s="116"/>
      <c r="K171" s="32" t="s">
        <v>201</v>
      </c>
      <c r="L171" s="27" t="s">
        <v>202</v>
      </c>
      <c r="M171" s="47"/>
      <c r="AF171" s="29"/>
    </row>
    <row r="172" spans="1:40" ht="15.75" customHeight="1" x14ac:dyDescent="0.15">
      <c r="D172" s="29"/>
      <c r="J172" s="31" t="s">
        <v>67</v>
      </c>
      <c r="K172" s="31" t="s">
        <v>60</v>
      </c>
      <c r="L172" s="116" t="s">
        <v>203</v>
      </c>
      <c r="M172" s="116"/>
      <c r="N172" s="36" t="s">
        <v>92</v>
      </c>
      <c r="O172" s="138" t="s">
        <v>204</v>
      </c>
      <c r="P172" s="139"/>
      <c r="Q172" s="31" t="s">
        <v>60</v>
      </c>
      <c r="R172" s="119">
        <f>Y73</f>
        <v>24</v>
      </c>
      <c r="S172" s="119"/>
      <c r="T172" s="36" t="s">
        <v>92</v>
      </c>
      <c r="U172" s="140">
        <v>1.3</v>
      </c>
      <c r="V172" s="140"/>
      <c r="W172" s="31" t="s">
        <v>60</v>
      </c>
      <c r="X172" s="119">
        <f>R172/U172</f>
        <v>18.46153846153846</v>
      </c>
      <c r="Y172" s="119"/>
      <c r="Z172" s="34" t="s">
        <v>205</v>
      </c>
      <c r="AB172" s="31" t="s">
        <v>94</v>
      </c>
      <c r="AD172" s="44"/>
      <c r="AE172" s="44"/>
      <c r="AF172" s="44"/>
      <c r="AJ172" s="124"/>
      <c r="AK172" s="124"/>
      <c r="AL172" s="124"/>
    </row>
    <row r="173" spans="1:40" ht="15.75" customHeight="1" x14ac:dyDescent="0.15">
      <c r="D173" s="29"/>
      <c r="I173" s="124" t="s">
        <v>206</v>
      </c>
      <c r="J173" s="124"/>
      <c r="K173" s="32" t="s">
        <v>65</v>
      </c>
      <c r="L173" s="47" t="s">
        <v>207</v>
      </c>
      <c r="U173" s="31" t="s">
        <v>208</v>
      </c>
      <c r="V173" s="31" t="s">
        <v>55</v>
      </c>
      <c r="W173" s="148">
        <f>'Myd（躯体最小）上端'!Z5</f>
        <v>390</v>
      </c>
      <c r="X173" s="148"/>
      <c r="Y173" s="34" t="s">
        <v>209</v>
      </c>
      <c r="AA173" s="31" t="s">
        <v>210</v>
      </c>
      <c r="AF173" s="29"/>
    </row>
    <row r="174" spans="1:40" ht="15.75" customHeight="1" x14ac:dyDescent="0.15">
      <c r="I174" s="124" t="s">
        <v>211</v>
      </c>
      <c r="J174" s="124"/>
      <c r="K174" s="32" t="s">
        <v>212</v>
      </c>
      <c r="L174" s="27" t="s">
        <v>213</v>
      </c>
      <c r="U174" s="31" t="s">
        <v>214</v>
      </c>
      <c r="V174" s="31" t="s">
        <v>215</v>
      </c>
      <c r="W174" s="142">
        <v>200</v>
      </c>
      <c r="X174" s="142"/>
      <c r="Y174" s="38" t="s">
        <v>216</v>
      </c>
      <c r="AB174" s="31" t="s">
        <v>217</v>
      </c>
    </row>
    <row r="175" spans="1:40" ht="15.75" customHeight="1" x14ac:dyDescent="0.15">
      <c r="I175" s="136" t="s">
        <v>218</v>
      </c>
      <c r="J175" s="136"/>
      <c r="K175" s="32" t="s">
        <v>219</v>
      </c>
      <c r="L175" s="27" t="s">
        <v>220</v>
      </c>
      <c r="U175" s="31" t="s">
        <v>221</v>
      </c>
      <c r="V175" s="31" t="s">
        <v>222</v>
      </c>
      <c r="W175" s="144">
        <f>'Myd（躯体最小）上端'!J29</f>
        <v>38</v>
      </c>
      <c r="X175" s="144"/>
      <c r="Y175" s="31" t="s">
        <v>223</v>
      </c>
      <c r="Z175" s="145">
        <f>'Myd（躯体最小）上端'!N28+'Myd（躯体最小）上端'!N29+'Myd（躯体最小）上端'!N30</f>
        <v>16</v>
      </c>
      <c r="AA175" s="124"/>
      <c r="AB175" s="27" t="s">
        <v>224</v>
      </c>
      <c r="AC175" s="31" t="s">
        <v>124</v>
      </c>
      <c r="AD175" s="141">
        <f>VLOOKUP(W175,AS1:AT11,2,FALSE)*Z175</f>
        <v>18240</v>
      </c>
      <c r="AE175" s="141"/>
      <c r="AF175" s="141"/>
      <c r="AG175" s="141"/>
      <c r="AH175" s="34" t="s">
        <v>225</v>
      </c>
      <c r="AI175" s="31"/>
    </row>
    <row r="176" spans="1:40" ht="15.75" customHeight="1" x14ac:dyDescent="0.15">
      <c r="I176" s="121" t="s">
        <v>226</v>
      </c>
      <c r="J176" s="116"/>
      <c r="K176" s="32" t="s">
        <v>128</v>
      </c>
      <c r="L176" s="27" t="s">
        <v>227</v>
      </c>
      <c r="M176" s="47"/>
      <c r="N176" s="28"/>
      <c r="O176" s="28"/>
      <c r="P176" s="28"/>
      <c r="R176" s="28"/>
      <c r="S176" s="28"/>
      <c r="T176" s="28"/>
      <c r="U176" s="31" t="s">
        <v>221</v>
      </c>
      <c r="V176" s="31" t="s">
        <v>222</v>
      </c>
      <c r="W176" s="129">
        <f>IF(W174*10^3*AK176&gt;=W173,W173,W174*10^3*AK176)</f>
        <v>0</v>
      </c>
      <c r="X176" s="129"/>
      <c r="Y176" s="129"/>
      <c r="Z176" s="34" t="s">
        <v>228</v>
      </c>
      <c r="AB176" s="31" t="s">
        <v>221</v>
      </c>
      <c r="AC176" s="31" t="s">
        <v>229</v>
      </c>
      <c r="AD176" s="124" t="s">
        <v>230</v>
      </c>
      <c r="AE176" s="124"/>
      <c r="AF176" s="31" t="s">
        <v>231</v>
      </c>
      <c r="AJ176" s="31" t="s">
        <v>232</v>
      </c>
      <c r="AK176" s="143">
        <v>0</v>
      </c>
      <c r="AL176" s="143"/>
      <c r="AM176" s="143"/>
      <c r="AN176" s="143"/>
    </row>
    <row r="177" spans="2:33" ht="15.75" customHeight="1" x14ac:dyDescent="0.15">
      <c r="M177" s="47"/>
    </row>
    <row r="178" spans="2:33" ht="15.75" customHeight="1" x14ac:dyDescent="0.15">
      <c r="E178" s="116" t="s">
        <v>233</v>
      </c>
      <c r="F178" s="116" t="s">
        <v>222</v>
      </c>
      <c r="G178" s="116" t="s">
        <v>234</v>
      </c>
      <c r="H178" s="134">
        <f>MIN(V163,Z163)</f>
        <v>0.68</v>
      </c>
      <c r="I178" s="134"/>
      <c r="J178" s="134"/>
      <c r="K178" s="124" t="s">
        <v>235</v>
      </c>
      <c r="N178" s="128">
        <f>MIN(X165,AB165)</f>
        <v>3.5000000000000001E-3</v>
      </c>
      <c r="O178" s="128"/>
      <c r="P178" s="128"/>
      <c r="Q178" s="28"/>
      <c r="S178" s="116" t="s">
        <v>223</v>
      </c>
      <c r="U178" s="119">
        <f>N121</f>
        <v>7592.8</v>
      </c>
      <c r="V178" s="119"/>
      <c r="W178" s="119"/>
      <c r="X178" s="119"/>
      <c r="Y178" s="27" t="s">
        <v>132</v>
      </c>
      <c r="Z178" s="40" t="s">
        <v>341</v>
      </c>
      <c r="AD178" s="136" t="s">
        <v>236</v>
      </c>
      <c r="AE178" s="124" t="s">
        <v>235</v>
      </c>
      <c r="AF178" s="119">
        <f>X172</f>
        <v>18.46153846153846</v>
      </c>
      <c r="AG178" s="119"/>
    </row>
    <row r="179" spans="2:33" ht="15.75" customHeight="1" x14ac:dyDescent="0.15">
      <c r="E179" s="116"/>
      <c r="F179" s="116"/>
      <c r="G179" s="116"/>
      <c r="H179" s="134"/>
      <c r="I179" s="134"/>
      <c r="J179" s="134"/>
      <c r="K179" s="124"/>
      <c r="L179" s="128">
        <f>N178</f>
        <v>3.5000000000000001E-3</v>
      </c>
      <c r="M179" s="128"/>
      <c r="N179" s="128"/>
      <c r="O179" s="32" t="s">
        <v>237</v>
      </c>
      <c r="P179" s="147">
        <f>AB167</f>
        <v>1.9499999999999999E-3</v>
      </c>
      <c r="Q179" s="147"/>
      <c r="R179" s="147"/>
      <c r="S179" s="116"/>
      <c r="T179" s="119">
        <f>W169</f>
        <v>3940</v>
      </c>
      <c r="U179" s="119"/>
      <c r="V179" s="119"/>
      <c r="W179" s="31" t="s">
        <v>235</v>
      </c>
      <c r="X179" s="119">
        <f>W170</f>
        <v>1558.4</v>
      </c>
      <c r="Y179" s="119"/>
      <c r="Z179" s="119"/>
      <c r="AA179" s="31" t="s">
        <v>235</v>
      </c>
      <c r="AB179" s="119">
        <f>X172</f>
        <v>18.46153846153846</v>
      </c>
      <c r="AC179" s="119"/>
      <c r="AD179" s="136"/>
      <c r="AE179" s="124"/>
      <c r="AF179" s="145">
        <f>W173</f>
        <v>390</v>
      </c>
      <c r="AG179" s="124"/>
    </row>
    <row r="180" spans="2:33" ht="15.75" customHeight="1" x14ac:dyDescent="0.15">
      <c r="D180" s="29"/>
      <c r="G180" s="124" t="s">
        <v>237</v>
      </c>
      <c r="I180" s="119">
        <f>AD175</f>
        <v>18240</v>
      </c>
      <c r="J180" s="119"/>
      <c r="K180" s="119"/>
      <c r="L180" s="119"/>
      <c r="M180" s="119"/>
      <c r="O180" s="124" t="s">
        <v>235</v>
      </c>
      <c r="P180" s="119">
        <f>W176</f>
        <v>0</v>
      </c>
      <c r="Q180" s="119"/>
      <c r="R180" s="119"/>
      <c r="S180" s="124" t="s">
        <v>238</v>
      </c>
      <c r="T180" s="124" t="s">
        <v>235</v>
      </c>
      <c r="U180" s="124">
        <v>100</v>
      </c>
      <c r="V180" s="124"/>
      <c r="W180" s="116" t="s">
        <v>222</v>
      </c>
      <c r="X180" s="173">
        <f>(((H178*(N178/(L179+P179)))-((U178*1000)/(T179*X179*AB179)))*(AF178/AF179)+(I180/(H181*L181))*(P180/P181))*U180</f>
        <v>1.7501307669445414</v>
      </c>
      <c r="Y180" s="173"/>
      <c r="Z180" s="173"/>
      <c r="AA180" s="146" t="s">
        <v>239</v>
      </c>
    </row>
    <row r="181" spans="2:33" ht="15.75" customHeight="1" x14ac:dyDescent="0.15">
      <c r="G181" s="124"/>
      <c r="H181" s="119">
        <f>T179</f>
        <v>3940</v>
      </c>
      <c r="I181" s="119"/>
      <c r="J181" s="119"/>
      <c r="K181" s="31" t="s">
        <v>235</v>
      </c>
      <c r="L181" s="119">
        <f>X179</f>
        <v>1558.4</v>
      </c>
      <c r="M181" s="119"/>
      <c r="N181" s="119"/>
      <c r="O181" s="124"/>
      <c r="P181" s="145">
        <f>W173</f>
        <v>390</v>
      </c>
      <c r="Q181" s="145"/>
      <c r="R181" s="145"/>
      <c r="S181" s="124"/>
      <c r="T181" s="124"/>
      <c r="U181" s="124"/>
      <c r="V181" s="124"/>
      <c r="W181" s="116"/>
      <c r="X181" s="173"/>
      <c r="Y181" s="173"/>
      <c r="Z181" s="173"/>
      <c r="AA181" s="146"/>
    </row>
    <row r="182" spans="2:33" ht="15.75" customHeight="1" x14ac:dyDescent="0.15">
      <c r="D182" s="29"/>
    </row>
    <row r="183" spans="2:33" ht="15.75" customHeight="1" x14ac:dyDescent="0.15">
      <c r="G183" s="125">
        <v>0.75</v>
      </c>
      <c r="H183" s="125"/>
      <c r="I183" s="31" t="s">
        <v>235</v>
      </c>
      <c r="J183" s="32" t="s">
        <v>233</v>
      </c>
      <c r="K183" s="31" t="s">
        <v>222</v>
      </c>
      <c r="L183" s="125">
        <v>0.75</v>
      </c>
      <c r="M183" s="125"/>
      <c r="N183" s="31" t="s">
        <v>235</v>
      </c>
      <c r="O183" s="134">
        <f>X180</f>
        <v>1.7501307669445414</v>
      </c>
      <c r="P183" s="134"/>
      <c r="Q183" s="134"/>
      <c r="R183" s="31" t="s">
        <v>222</v>
      </c>
      <c r="S183" s="134">
        <f>L183*O183</f>
        <v>1.3125980752084061</v>
      </c>
      <c r="T183" s="134"/>
      <c r="U183" s="134"/>
      <c r="V183" s="27" t="s">
        <v>239</v>
      </c>
    </row>
    <row r="184" spans="2:33" ht="15.75" customHeight="1" x14ac:dyDescent="0.15">
      <c r="D184" s="29"/>
    </row>
    <row r="185" spans="2:33" ht="15.75" customHeight="1" x14ac:dyDescent="0.15">
      <c r="E185" s="27" t="s">
        <v>240</v>
      </c>
      <c r="H185" s="27" t="s">
        <v>241</v>
      </c>
      <c r="K185" s="31" t="s">
        <v>52</v>
      </c>
      <c r="L185" s="144">
        <f>'Myd（躯体最小）上端'!J24</f>
        <v>38</v>
      </c>
      <c r="M185" s="144"/>
      <c r="N185" s="31" t="s">
        <v>182</v>
      </c>
      <c r="O185" s="145">
        <f>'Myd（躯体最小）上端'!N23+'Myd（躯体最小）上端'!N24+'Myd（躯体最小）上端'!N25</f>
        <v>16</v>
      </c>
      <c r="P185" s="124"/>
      <c r="Q185" s="27" t="s">
        <v>224</v>
      </c>
      <c r="R185" s="31" t="s">
        <v>124</v>
      </c>
      <c r="S185" s="141">
        <f>VLOOKUP(L185,AS1:AT11,2,FALSE)*O185</f>
        <v>18240</v>
      </c>
      <c r="T185" s="141"/>
      <c r="U185" s="141"/>
      <c r="V185" s="141"/>
      <c r="W185" s="34" t="s">
        <v>242</v>
      </c>
    </row>
    <row r="186" spans="2:33" ht="15.75" customHeight="1" x14ac:dyDescent="0.15">
      <c r="D186" s="29"/>
      <c r="E186" s="32" t="s">
        <v>243</v>
      </c>
      <c r="F186" s="31" t="s">
        <v>124</v>
      </c>
      <c r="G186" s="124" t="s">
        <v>244</v>
      </c>
      <c r="H186" s="124"/>
      <c r="I186" s="124"/>
      <c r="J186" s="124"/>
      <c r="K186" s="31" t="s">
        <v>124</v>
      </c>
      <c r="L186" s="119">
        <f>S185</f>
        <v>18240</v>
      </c>
      <c r="M186" s="119"/>
      <c r="N186" s="119"/>
      <c r="O186" s="119"/>
      <c r="P186" s="36" t="s">
        <v>245</v>
      </c>
      <c r="Q186" s="31" t="s">
        <v>123</v>
      </c>
      <c r="R186" s="119">
        <f>W169</f>
        <v>3940</v>
      </c>
      <c r="S186" s="119"/>
      <c r="T186" s="119"/>
      <c r="U186" s="31" t="s">
        <v>246</v>
      </c>
      <c r="V186" s="119">
        <f>W170</f>
        <v>1558.4</v>
      </c>
      <c r="W186" s="119"/>
      <c r="X186" s="119"/>
      <c r="Y186" s="31" t="s">
        <v>126</v>
      </c>
      <c r="Z186" s="31" t="s">
        <v>246</v>
      </c>
      <c r="AA186" s="131">
        <v>100</v>
      </c>
      <c r="AB186" s="131"/>
    </row>
    <row r="187" spans="2:33" ht="15.75" customHeight="1" x14ac:dyDescent="0.15">
      <c r="K187" s="31" t="s">
        <v>124</v>
      </c>
      <c r="L187" s="134">
        <f>(L186/(R186*V186))*AA186</f>
        <v>0.29706375926369882</v>
      </c>
      <c r="M187" s="134"/>
      <c r="N187" s="134"/>
      <c r="O187" s="27" t="s">
        <v>247</v>
      </c>
      <c r="P187" s="31" t="str">
        <f>IF(L187&gt;Q187,"＞","＜")</f>
        <v>＜</v>
      </c>
      <c r="Q187" s="134">
        <f>S183</f>
        <v>1.3125980752084061</v>
      </c>
      <c r="R187" s="134"/>
      <c r="S187" s="134"/>
      <c r="T187" s="27" t="s">
        <v>247</v>
      </c>
      <c r="V187" s="124" t="s">
        <v>248</v>
      </c>
      <c r="W187" s="124"/>
      <c r="X187" s="124" t="str">
        <f>IF(L187&gt;Q187,"NG","OK")</f>
        <v>OK</v>
      </c>
      <c r="Y187" s="124"/>
    </row>
    <row r="188" spans="2:33" ht="15.75" customHeight="1" x14ac:dyDescent="0.15">
      <c r="D188" s="29"/>
    </row>
    <row r="189" spans="2:33" ht="15.75" customHeight="1" x14ac:dyDescent="0.15">
      <c r="E189" s="27" t="s">
        <v>249</v>
      </c>
    </row>
    <row r="191" spans="2:33" ht="15.75" customHeight="1" x14ac:dyDescent="0.15">
      <c r="B191"/>
      <c r="C191" t="s">
        <v>564</v>
      </c>
      <c r="D191"/>
      <c r="E191"/>
      <c r="F191"/>
      <c r="G191"/>
      <c r="H191"/>
      <c r="I191"/>
      <c r="J191"/>
      <c r="K191"/>
      <c r="L191"/>
      <c r="M191"/>
      <c r="N191"/>
      <c r="O191"/>
      <c r="P191"/>
      <c r="Q191"/>
    </row>
    <row r="192" spans="2:33" ht="15.75" customHeight="1" x14ac:dyDescent="0.15">
      <c r="C192" s="29"/>
      <c r="D192" s="29"/>
    </row>
    <row r="193" spans="3:20" ht="15.75" customHeight="1" x14ac:dyDescent="0.15">
      <c r="C193" s="29"/>
      <c r="D193" s="27" t="s">
        <v>345</v>
      </c>
      <c r="E193" s="29"/>
    </row>
    <row r="194" spans="3:20" ht="15.75" customHeight="1" x14ac:dyDescent="0.15">
      <c r="C194" s="29"/>
      <c r="D194" s="27" t="s">
        <v>346</v>
      </c>
      <c r="E194" s="29"/>
    </row>
    <row r="195" spans="3:20" ht="15.75" customHeight="1" x14ac:dyDescent="0.15">
      <c r="C195" s="29"/>
      <c r="D195" s="29"/>
    </row>
    <row r="196" spans="3:20" ht="15.75" customHeight="1" x14ac:dyDescent="0.15">
      <c r="D196" s="29"/>
      <c r="E196" s="32" t="s">
        <v>320</v>
      </c>
      <c r="F196" s="31" t="s">
        <v>308</v>
      </c>
      <c r="G196" s="134">
        <f>H25</f>
        <v>0.9190803224843237</v>
      </c>
      <c r="H196" s="134"/>
      <c r="I196" s="134"/>
      <c r="J196" s="27" t="s">
        <v>247</v>
      </c>
      <c r="K196" s="31" t="str">
        <f>IF(G196&gt;L196,"＞","＜")</f>
        <v>＜</v>
      </c>
      <c r="L196" s="122">
        <v>6</v>
      </c>
      <c r="M196" s="122"/>
      <c r="N196" s="122"/>
      <c r="O196" s="27" t="s">
        <v>247</v>
      </c>
      <c r="Q196" s="124" t="s">
        <v>248</v>
      </c>
      <c r="R196" s="124"/>
      <c r="S196" s="124" t="str">
        <f>IF(G196&gt;L196,"NG","OK")</f>
        <v>OK</v>
      </c>
      <c r="T196" s="124"/>
    </row>
    <row r="198" spans="3:20" ht="15.75" customHeight="1" x14ac:dyDescent="0.15">
      <c r="E198" s="27" t="s">
        <v>347</v>
      </c>
    </row>
    <row r="203" spans="3:20" ht="15.75" customHeight="1" x14ac:dyDescent="0.15">
      <c r="C203" t="s">
        <v>565</v>
      </c>
    </row>
    <row r="205" spans="3:20" ht="15.75" customHeight="1" x14ac:dyDescent="0.15">
      <c r="D205" t="s">
        <v>566</v>
      </c>
    </row>
    <row r="206" spans="3:20" ht="15.75" customHeight="1" x14ac:dyDescent="0.15">
      <c r="D206" t="s">
        <v>567</v>
      </c>
    </row>
    <row r="207" spans="3:20" ht="15.75" customHeight="1" x14ac:dyDescent="0.15">
      <c r="D207" t="s">
        <v>568</v>
      </c>
    </row>
    <row r="208" spans="3:20" ht="15.75" customHeight="1" x14ac:dyDescent="0.15">
      <c r="D208" t="s">
        <v>569</v>
      </c>
    </row>
    <row r="210" spans="5:35" ht="15.75" customHeight="1" x14ac:dyDescent="0.15">
      <c r="E210" s="156" t="s">
        <v>570</v>
      </c>
      <c r="F210" s="156"/>
      <c r="G210" s="116" t="s">
        <v>13</v>
      </c>
      <c r="H210" s="172" t="s">
        <v>571</v>
      </c>
      <c r="I210" s="172"/>
      <c r="J210" s="116" t="s">
        <v>90</v>
      </c>
      <c r="K210" s="171" t="s">
        <v>573</v>
      </c>
      <c r="L210" s="171"/>
      <c r="M210" s="171"/>
      <c r="N210" s="171"/>
      <c r="O210" s="171"/>
      <c r="P210" s="171"/>
    </row>
    <row r="211" spans="5:35" ht="15.75" customHeight="1" x14ac:dyDescent="0.15">
      <c r="E211" s="156"/>
      <c r="F211" s="156"/>
      <c r="G211" s="116"/>
      <c r="H211" s="116" t="s">
        <v>572</v>
      </c>
      <c r="I211" s="116"/>
      <c r="J211" s="116"/>
      <c r="K211" s="169" t="s">
        <v>574</v>
      </c>
      <c r="L211" s="169"/>
      <c r="M211" s="169"/>
      <c r="N211" s="169"/>
      <c r="O211" s="169"/>
      <c r="P211" s="169"/>
    </row>
    <row r="213" spans="5:35" ht="15.75" customHeight="1" x14ac:dyDescent="0.15">
      <c r="H213" s="33" t="s">
        <v>63</v>
      </c>
      <c r="J213" t="s">
        <v>570</v>
      </c>
      <c r="L213" t="s">
        <v>65</v>
      </c>
      <c r="M213" t="s">
        <v>575</v>
      </c>
    </row>
    <row r="214" spans="5:35" ht="15.75" customHeight="1" x14ac:dyDescent="0.15">
      <c r="J214" t="s">
        <v>571</v>
      </c>
      <c r="L214" t="s">
        <v>65</v>
      </c>
      <c r="M214" t="s">
        <v>576</v>
      </c>
      <c r="X214" s="31" t="s">
        <v>67</v>
      </c>
      <c r="Y214" s="31" t="s">
        <v>13</v>
      </c>
      <c r="Z214" s="141">
        <f>V64</f>
        <v>7592.8</v>
      </c>
      <c r="AA214" s="141"/>
      <c r="AB214" s="141"/>
      <c r="AC214" s="27" t="s">
        <v>86</v>
      </c>
      <c r="AD214" s="31" t="s">
        <v>65</v>
      </c>
      <c r="AE214" s="124" t="s">
        <v>473</v>
      </c>
      <c r="AF214" s="124"/>
      <c r="AG214" s="124"/>
      <c r="AH214" s="124"/>
      <c r="AI214" s="31" t="s">
        <v>81</v>
      </c>
    </row>
    <row r="215" spans="5:35" ht="15.75" customHeight="1" x14ac:dyDescent="0.15">
      <c r="J215" t="s">
        <v>572</v>
      </c>
      <c r="L215" t="s">
        <v>577</v>
      </c>
      <c r="Q215" t="s">
        <v>572</v>
      </c>
      <c r="R215" t="s">
        <v>13</v>
      </c>
      <c r="S215" s="150">
        <f>S22</f>
        <v>6698000</v>
      </c>
      <c r="T215" s="150"/>
      <c r="U215" s="150"/>
      <c r="V215" s="150"/>
      <c r="W215" s="38" t="s">
        <v>578</v>
      </c>
    </row>
    <row r="216" spans="5:35" ht="15.75" customHeight="1" x14ac:dyDescent="0.15">
      <c r="J216" t="s">
        <v>579</v>
      </c>
      <c r="L216" t="s">
        <v>65</v>
      </c>
      <c r="M216" t="s">
        <v>580</v>
      </c>
      <c r="X216" t="s">
        <v>581</v>
      </c>
      <c r="AA216" s="149">
        <v>1150</v>
      </c>
      <c r="AB216" s="149"/>
      <c r="AC216" s="149"/>
      <c r="AD216" t="s">
        <v>114</v>
      </c>
      <c r="AE216" s="81">
        <v>10</v>
      </c>
      <c r="AF216" s="78">
        <v>3</v>
      </c>
      <c r="AG216" s="169" t="s">
        <v>582</v>
      </c>
      <c r="AH216" s="169"/>
      <c r="AI216" s="169"/>
    </row>
    <row r="217" spans="5:35" ht="15.75" customHeight="1" x14ac:dyDescent="0.15">
      <c r="M217" t="s">
        <v>583</v>
      </c>
    </row>
    <row r="218" spans="5:35" ht="15.75" customHeight="1" x14ac:dyDescent="0.15">
      <c r="J218"/>
      <c r="L218"/>
      <c r="M218" t="s">
        <v>584</v>
      </c>
      <c r="N218" s="45" t="s">
        <v>599</v>
      </c>
    </row>
    <row r="219" spans="5:35" ht="15.75" customHeight="1" x14ac:dyDescent="0.15">
      <c r="N219" t="s">
        <v>13</v>
      </c>
      <c r="O219" t="s">
        <v>602</v>
      </c>
      <c r="P219" s="27">
        <v>2</v>
      </c>
      <c r="Q219" t="s">
        <v>114</v>
      </c>
      <c r="R219" s="176">
        <f>AE222</f>
        <v>7.05</v>
      </c>
      <c r="S219" s="176"/>
      <c r="T219" t="s">
        <v>114</v>
      </c>
      <c r="U219" s="174">
        <f>AC226</f>
        <v>5.9412751852739761E-3</v>
      </c>
      <c r="V219" s="175"/>
      <c r="W219" s="175"/>
      <c r="X219" t="s">
        <v>90</v>
      </c>
      <c r="Y219" t="s">
        <v>596</v>
      </c>
      <c r="Z219" s="176">
        <f>R219</f>
        <v>7.05</v>
      </c>
      <c r="AA219" s="176"/>
      <c r="AB219" t="s">
        <v>114</v>
      </c>
      <c r="AC219" s="174">
        <f>U219</f>
        <v>5.9412751852739761E-3</v>
      </c>
      <c r="AD219" s="175"/>
      <c r="AE219" s="175"/>
      <c r="AF219" t="s">
        <v>600</v>
      </c>
      <c r="AG219" s="83">
        <v>2</v>
      </c>
      <c r="AH219" t="s">
        <v>601</v>
      </c>
      <c r="AI219" s="82">
        <v>0.5</v>
      </c>
    </row>
    <row r="220" spans="5:35" ht="15.75" customHeight="1" x14ac:dyDescent="0.15">
      <c r="AC220" t="s">
        <v>164</v>
      </c>
      <c r="AD220" s="176">
        <f>R219</f>
        <v>7.05</v>
      </c>
      <c r="AE220" s="176"/>
      <c r="AF220" t="s">
        <v>114</v>
      </c>
      <c r="AG220" s="174">
        <f>U219</f>
        <v>5.9412751852739761E-3</v>
      </c>
      <c r="AH220" s="175"/>
      <c r="AI220" s="175"/>
    </row>
    <row r="221" spans="5:35" ht="15.75" customHeight="1" x14ac:dyDescent="0.15">
      <c r="N221" t="s">
        <v>13</v>
      </c>
      <c r="O221" s="124">
        <f>ROUND((P219*R219*U219+(Z219*AC219)^AG219)^AI219-AD220*AG220,3)</f>
        <v>0.251</v>
      </c>
      <c r="P221" s="124"/>
      <c r="Q221" s="124"/>
    </row>
    <row r="222" spans="5:35" ht="15.75" customHeight="1" x14ac:dyDescent="0.15">
      <c r="J222" t="s">
        <v>585</v>
      </c>
      <c r="L222" t="s">
        <v>65</v>
      </c>
      <c r="M222" t="s">
        <v>586</v>
      </c>
      <c r="S222" t="s">
        <v>585</v>
      </c>
      <c r="T222" t="s">
        <v>13</v>
      </c>
      <c r="U222" t="s">
        <v>587</v>
      </c>
      <c r="Y222" s="145">
        <f>Y223</f>
        <v>200</v>
      </c>
      <c r="Z222" s="124"/>
      <c r="AA222" s="45" t="s">
        <v>588</v>
      </c>
      <c r="AB222" s="119">
        <f>Y224</f>
        <v>28.36</v>
      </c>
      <c r="AC222" s="124"/>
      <c r="AD222" t="s">
        <v>13</v>
      </c>
      <c r="AE222" s="124">
        <f>ROUND(Y222/AB222,2)</f>
        <v>7.05</v>
      </c>
      <c r="AF222" s="124"/>
    </row>
    <row r="223" spans="5:35" ht="15.75" customHeight="1" x14ac:dyDescent="0.15">
      <c r="J223" t="s">
        <v>589</v>
      </c>
      <c r="L223" t="s">
        <v>65</v>
      </c>
      <c r="M223" t="s">
        <v>590</v>
      </c>
      <c r="W223" s="31" t="s">
        <v>67</v>
      </c>
      <c r="X223" s="31" t="s">
        <v>13</v>
      </c>
      <c r="Y223" s="151">
        <v>200</v>
      </c>
      <c r="Z223" s="151"/>
      <c r="AA223" s="38" t="s">
        <v>125</v>
      </c>
      <c r="AD223" s="31" t="s">
        <v>81</v>
      </c>
    </row>
    <row r="224" spans="5:35" ht="15.75" customHeight="1" x14ac:dyDescent="0.15">
      <c r="J224" t="s">
        <v>591</v>
      </c>
      <c r="L224" t="s">
        <v>592</v>
      </c>
      <c r="W224" s="31" t="s">
        <v>67</v>
      </c>
      <c r="X224" s="31" t="s">
        <v>13</v>
      </c>
      <c r="Y224" s="129">
        <f>V75</f>
        <v>28.36</v>
      </c>
      <c r="Z224" s="129"/>
      <c r="AA224" s="38" t="s">
        <v>125</v>
      </c>
      <c r="AD224" s="31" t="s">
        <v>81</v>
      </c>
    </row>
    <row r="225" spans="7:39" ht="15.75" customHeight="1" x14ac:dyDescent="0.15">
      <c r="J225" t="s">
        <v>43</v>
      </c>
      <c r="L225" t="s">
        <v>65</v>
      </c>
      <c r="M225" t="s">
        <v>593</v>
      </c>
    </row>
    <row r="226" spans="7:39" ht="15.75" customHeight="1" x14ac:dyDescent="0.15">
      <c r="M226" s="31" t="s">
        <v>13</v>
      </c>
      <c r="N226" s="119">
        <f>S227</f>
        <v>36480</v>
      </c>
      <c r="O226" s="119"/>
      <c r="P226" s="119"/>
      <c r="Q226" s="119"/>
      <c r="R226" s="36" t="s">
        <v>92</v>
      </c>
      <c r="S226" s="31" t="s">
        <v>67</v>
      </c>
      <c r="T226" s="119">
        <f>X228</f>
        <v>3940</v>
      </c>
      <c r="U226" s="119"/>
      <c r="V226" s="119"/>
      <c r="W226" s="31" t="s">
        <v>114</v>
      </c>
      <c r="X226" s="119">
        <f>X229</f>
        <v>1558.4</v>
      </c>
      <c r="Y226" s="119"/>
      <c r="Z226" s="119"/>
      <c r="AA226" s="31" t="s">
        <v>81</v>
      </c>
      <c r="AB226" s="31" t="s">
        <v>13</v>
      </c>
      <c r="AC226" s="147">
        <f>(N226/(T226*X226))</f>
        <v>5.9412751852739761E-3</v>
      </c>
      <c r="AD226" s="147"/>
      <c r="AE226" s="147"/>
      <c r="AF226" s="147"/>
    </row>
    <row r="227" spans="7:39" ht="15.75" customHeight="1" x14ac:dyDescent="0.15">
      <c r="J227" t="s">
        <v>594</v>
      </c>
      <c r="L227" t="s">
        <v>65</v>
      </c>
      <c r="M227" t="s">
        <v>595</v>
      </c>
      <c r="R227" s="32" t="s">
        <v>596</v>
      </c>
      <c r="S227" s="141">
        <f>S18</f>
        <v>36480</v>
      </c>
      <c r="T227" s="141"/>
      <c r="U227" s="141"/>
      <c r="V227" s="141"/>
      <c r="W227" s="178" t="s">
        <v>242</v>
      </c>
      <c r="X227" s="178"/>
      <c r="Y227" s="32" t="s">
        <v>162</v>
      </c>
      <c r="Z227" s="177">
        <f>Z18</f>
        <v>38</v>
      </c>
      <c r="AA227" s="177"/>
      <c r="AB227" s="31" t="s">
        <v>164</v>
      </c>
      <c r="AC227" s="145">
        <f>AC18</f>
        <v>32</v>
      </c>
      <c r="AD227" s="124"/>
      <c r="AE227" s="31" t="s">
        <v>224</v>
      </c>
      <c r="AF227" s="31" t="s">
        <v>81</v>
      </c>
    </row>
    <row r="228" spans="7:39" ht="15.75" customHeight="1" x14ac:dyDescent="0.15">
      <c r="J228" t="s">
        <v>35</v>
      </c>
      <c r="K228"/>
      <c r="L228" s="32" t="s">
        <v>65</v>
      </c>
      <c r="M228" t="s">
        <v>196</v>
      </c>
      <c r="N228" s="42"/>
      <c r="O228" s="43"/>
      <c r="P228" s="43"/>
      <c r="Q228" s="43"/>
      <c r="V228" s="31" t="s">
        <v>67</v>
      </c>
      <c r="W228" s="31" t="s">
        <v>13</v>
      </c>
      <c r="X228" s="141">
        <f>W169</f>
        <v>3940</v>
      </c>
      <c r="Y228" s="141"/>
      <c r="Z228" s="141"/>
      <c r="AA228" s="27" t="s">
        <v>80</v>
      </c>
      <c r="AB228" s="31" t="s">
        <v>81</v>
      </c>
    </row>
    <row r="229" spans="7:39" ht="15.75" customHeight="1" x14ac:dyDescent="0.15">
      <c r="J229" t="s">
        <v>39</v>
      </c>
      <c r="K229"/>
      <c r="L229" s="32" t="s">
        <v>65</v>
      </c>
      <c r="M229" t="s">
        <v>198</v>
      </c>
      <c r="N229" s="42"/>
      <c r="O229" s="43"/>
      <c r="P229" s="43"/>
      <c r="Q229" s="43"/>
      <c r="V229" s="31" t="s">
        <v>67</v>
      </c>
      <c r="W229" s="31" t="s">
        <v>13</v>
      </c>
      <c r="X229" s="141">
        <f>W170</f>
        <v>1558.4</v>
      </c>
      <c r="Y229" s="141"/>
      <c r="Z229" s="141"/>
      <c r="AA229" s="27" t="s">
        <v>80</v>
      </c>
      <c r="AB229" s="31" t="s">
        <v>81</v>
      </c>
    </row>
    <row r="230" spans="7:39" ht="15.75" customHeight="1" x14ac:dyDescent="0.15">
      <c r="M230" t="s">
        <v>597</v>
      </c>
      <c r="O230" s="27">
        <v>1</v>
      </c>
      <c r="P230" t="s">
        <v>164</v>
      </c>
      <c r="Q230" t="s">
        <v>598</v>
      </c>
      <c r="S230" t="s">
        <v>13</v>
      </c>
      <c r="T230" s="27">
        <v>1</v>
      </c>
      <c r="U230" t="s">
        <v>164</v>
      </c>
      <c r="V230" s="175">
        <f>O221</f>
        <v>0.251</v>
      </c>
      <c r="W230" s="175"/>
      <c r="X230" s="45" t="s">
        <v>588</v>
      </c>
      <c r="Y230" s="27">
        <v>3</v>
      </c>
      <c r="Z230" t="s">
        <v>13</v>
      </c>
      <c r="AA230" s="124">
        <f>ROUND(T230-V230/Y230,3)</f>
        <v>0.91600000000000004</v>
      </c>
      <c r="AB230" s="124"/>
      <c r="AC230" s="124"/>
    </row>
    <row r="232" spans="7:39" ht="15.75" customHeight="1" x14ac:dyDescent="0.15">
      <c r="G232" s="116" t="s">
        <v>116</v>
      </c>
      <c r="H232" s="156" t="s">
        <v>570</v>
      </c>
      <c r="I232" s="156"/>
      <c r="J232" s="116" t="s">
        <v>13</v>
      </c>
      <c r="K232" s="117">
        <f>Z214</f>
        <v>7592.8</v>
      </c>
      <c r="L232" s="180"/>
      <c r="M232" s="180"/>
      <c r="N232" s="85" t="s">
        <v>114</v>
      </c>
      <c r="O232" s="86">
        <v>10</v>
      </c>
      <c r="P232" s="87">
        <v>3</v>
      </c>
      <c r="Q232" s="116" t="s">
        <v>90</v>
      </c>
      <c r="R232" s="88"/>
      <c r="S232" s="88"/>
      <c r="T232" s="88"/>
      <c r="U232" s="88"/>
      <c r="V232" s="179">
        <f>AA216</f>
        <v>1150</v>
      </c>
      <c r="W232" s="179"/>
      <c r="X232" s="179"/>
      <c r="Y232" s="85" t="s">
        <v>114</v>
      </c>
      <c r="Z232" s="86">
        <v>10</v>
      </c>
      <c r="AA232" s="87">
        <v>3</v>
      </c>
      <c r="AB232" s="88"/>
      <c r="AC232" s="88"/>
      <c r="AD232" s="88"/>
      <c r="AE232" s="88"/>
      <c r="AK232" s="124">
        <f>K232*O232^P232/K233</f>
        <v>1.1335921170498657</v>
      </c>
      <c r="AL232" s="124"/>
      <c r="AM232" s="124"/>
    </row>
    <row r="233" spans="7:39" ht="15.75" customHeight="1" x14ac:dyDescent="0.15">
      <c r="G233" s="116"/>
      <c r="H233" s="156"/>
      <c r="I233" s="156"/>
      <c r="J233" s="116"/>
      <c r="K233" s="145">
        <f>S215</f>
        <v>6698000</v>
      </c>
      <c r="L233" s="145"/>
      <c r="M233" s="145"/>
      <c r="N233" s="145"/>
      <c r="O233" s="145"/>
      <c r="P233" s="145"/>
      <c r="Q233" s="116"/>
      <c r="R233" s="175">
        <f>O221</f>
        <v>0.251</v>
      </c>
      <c r="S233" s="175"/>
      <c r="T233" t="s">
        <v>114</v>
      </c>
      <c r="U233" s="175">
        <f>AA230</f>
        <v>0.91600000000000004</v>
      </c>
      <c r="V233" s="175"/>
      <c r="W233" t="s">
        <v>114</v>
      </c>
      <c r="X233" s="119">
        <f>X228</f>
        <v>3940</v>
      </c>
      <c r="Y233" s="124"/>
      <c r="Z233" s="124"/>
      <c r="AA233" t="s">
        <v>114</v>
      </c>
      <c r="AB233" s="119">
        <f>X229</f>
        <v>1558.4</v>
      </c>
      <c r="AC233" s="124"/>
      <c r="AD233" s="124"/>
      <c r="AE233" s="83">
        <v>2</v>
      </c>
      <c r="AK233" s="124">
        <f>V232*Z232^AA232/(R233*U233*X233*AB233^AE233)</f>
        <v>5.2272653223261469E-4</v>
      </c>
      <c r="AL233" s="124"/>
      <c r="AM233" s="124"/>
    </row>
    <row r="234" spans="7:39" ht="15.75" customHeight="1" x14ac:dyDescent="0.15">
      <c r="J234" t="s">
        <v>13</v>
      </c>
      <c r="K234" s="175">
        <f>ROUND(AK232+AK233,2)</f>
        <v>1.1299999999999999</v>
      </c>
      <c r="L234" s="175"/>
      <c r="M234" s="27" t="str">
        <f>IF(K234&lt;Y234,"≦","＞")</f>
        <v>≦</v>
      </c>
      <c r="Q234" s="33" t="s">
        <v>603</v>
      </c>
      <c r="R234" s="131">
        <v>0.4</v>
      </c>
      <c r="S234" s="131"/>
      <c r="T234" s="31" t="s">
        <v>114</v>
      </c>
      <c r="U234" s="119">
        <f>X172</f>
        <v>18.46153846153846</v>
      </c>
      <c r="V234" s="124"/>
      <c r="W234" s="124"/>
      <c r="X234" t="s">
        <v>13</v>
      </c>
      <c r="Y234" s="124">
        <f>ROUND(R234*U234,2)</f>
        <v>7.38</v>
      </c>
      <c r="Z234" s="124"/>
      <c r="AA234" s="124"/>
    </row>
    <row r="253" spans="3:4" ht="15.75" customHeight="1" x14ac:dyDescent="0.15">
      <c r="C253" t="s">
        <v>604</v>
      </c>
    </row>
    <row r="255" spans="3:4" ht="15.75" customHeight="1" x14ac:dyDescent="0.15">
      <c r="D255" t="s">
        <v>605</v>
      </c>
    </row>
    <row r="256" spans="3:4" ht="15.75" customHeight="1" x14ac:dyDescent="0.15">
      <c r="D256" t="s">
        <v>606</v>
      </c>
    </row>
    <row r="257" spans="4:29" ht="15.75" customHeight="1" x14ac:dyDescent="0.15">
      <c r="D257" t="s">
        <v>607</v>
      </c>
    </row>
    <row r="258" spans="4:29" ht="15.75" customHeight="1" x14ac:dyDescent="0.15">
      <c r="D258" t="s">
        <v>608</v>
      </c>
    </row>
    <row r="259" spans="4:29" ht="15.75" customHeight="1" x14ac:dyDescent="0.15">
      <c r="D259" t="s">
        <v>609</v>
      </c>
    </row>
    <row r="261" spans="4:29" ht="15.75" customHeight="1" x14ac:dyDescent="0.15">
      <c r="F261" t="s">
        <v>610</v>
      </c>
      <c r="Q261" t="s">
        <v>65</v>
      </c>
      <c r="R261" s="131">
        <v>150</v>
      </c>
      <c r="S261" s="131"/>
      <c r="T261" t="s">
        <v>80</v>
      </c>
    </row>
    <row r="262" spans="4:29" ht="15.75" customHeight="1" x14ac:dyDescent="0.15">
      <c r="F262" t="s">
        <v>611</v>
      </c>
      <c r="Q262" t="s">
        <v>65</v>
      </c>
      <c r="R262" s="124">
        <f>Z18*2.5</f>
        <v>95</v>
      </c>
      <c r="S262" s="124"/>
      <c r="T262" t="s">
        <v>80</v>
      </c>
    </row>
    <row r="263" spans="4:29" ht="15.75" customHeight="1" x14ac:dyDescent="0.15">
      <c r="F263" t="s">
        <v>612</v>
      </c>
      <c r="Q263" t="s">
        <v>65</v>
      </c>
      <c r="R263" s="177">
        <f>Z18</f>
        <v>38</v>
      </c>
      <c r="S263" s="124"/>
    </row>
    <row r="264" spans="4:29" ht="15.75" customHeight="1" x14ac:dyDescent="0.15">
      <c r="F264" t="s">
        <v>613</v>
      </c>
      <c r="Q264" t="s">
        <v>65</v>
      </c>
      <c r="R264" s="124">
        <f>R261</f>
        <v>150</v>
      </c>
      <c r="S264" s="124"/>
      <c r="T264" t="s">
        <v>164</v>
      </c>
      <c r="U264" s="181">
        <f>R263</f>
        <v>38</v>
      </c>
      <c r="V264" s="181"/>
      <c r="W264" t="s">
        <v>13</v>
      </c>
      <c r="X264" s="182">
        <f>R264-U264</f>
        <v>112</v>
      </c>
      <c r="Y264" s="159"/>
      <c r="Z264" t="s">
        <v>80</v>
      </c>
    </row>
    <row r="265" spans="4:29" ht="15.75" customHeight="1" x14ac:dyDescent="0.15">
      <c r="Q265" t="s">
        <v>65</v>
      </c>
      <c r="R265" s="124">
        <f>R262</f>
        <v>95</v>
      </c>
      <c r="S265" s="124"/>
      <c r="T265" t="s">
        <v>164</v>
      </c>
      <c r="U265" s="181">
        <f>U264</f>
        <v>38</v>
      </c>
      <c r="V265" s="181"/>
      <c r="W265" t="s">
        <v>13</v>
      </c>
      <c r="X265" s="182">
        <f>R265-U265</f>
        <v>57</v>
      </c>
      <c r="Y265" s="159"/>
      <c r="Z265" t="s">
        <v>80</v>
      </c>
    </row>
    <row r="267" spans="4:29" ht="15.75" customHeight="1" x14ac:dyDescent="0.15">
      <c r="F267" s="171" t="s">
        <v>619</v>
      </c>
      <c r="G267" s="180"/>
      <c r="H267" s="180"/>
      <c r="I267" s="180"/>
      <c r="J267" s="180"/>
      <c r="K267" s="180"/>
      <c r="L267" s="180"/>
      <c r="M267" s="180"/>
      <c r="N267" s="180"/>
      <c r="O267" s="180"/>
      <c r="P267" s="180"/>
      <c r="Q267" s="180"/>
      <c r="R267" s="180"/>
      <c r="S267" s="180"/>
      <c r="T267" s="180"/>
      <c r="U267" s="180"/>
      <c r="V267" s="180"/>
      <c r="W267" s="180"/>
      <c r="X267" s="180"/>
      <c r="Y267" s="180"/>
      <c r="Z267" s="180"/>
      <c r="AA267" s="180"/>
      <c r="AB267" s="180"/>
      <c r="AC267" s="180"/>
    </row>
    <row r="268" spans="4:29" ht="15.75" customHeight="1" thickBot="1" x14ac:dyDescent="0.2">
      <c r="F268" s="184" t="s">
        <v>614</v>
      </c>
      <c r="G268" s="184"/>
      <c r="H268" s="184"/>
      <c r="I268" s="184"/>
      <c r="J268" s="184"/>
      <c r="K268" s="183" t="s">
        <v>615</v>
      </c>
      <c r="L268" s="184"/>
      <c r="M268" s="184"/>
      <c r="N268" s="184"/>
      <c r="O268" s="184"/>
      <c r="P268" s="184"/>
      <c r="Q268" s="184"/>
      <c r="R268" s="184"/>
      <c r="S268" s="185"/>
      <c r="T268" s="184" t="s">
        <v>617</v>
      </c>
      <c r="U268" s="184"/>
      <c r="V268" s="184"/>
      <c r="W268" s="184"/>
      <c r="X268" s="184"/>
      <c r="Y268" s="184"/>
      <c r="Z268" s="184"/>
      <c r="AA268" s="184"/>
      <c r="AB268" s="184"/>
      <c r="AC268" s="184"/>
    </row>
    <row r="269" spans="4:29" ht="15.75" customHeight="1" thickTop="1" x14ac:dyDescent="0.15">
      <c r="F269" s="191" t="str">
        <f>AL6</f>
        <v>躯体</v>
      </c>
      <c r="G269" s="191"/>
      <c r="H269" s="191"/>
      <c r="I269" s="191"/>
      <c r="J269" s="191"/>
      <c r="K269" s="187" t="s">
        <v>616</v>
      </c>
      <c r="L269" s="188"/>
      <c r="M269" s="188"/>
      <c r="N269" s="188"/>
      <c r="O269" s="188"/>
      <c r="P269" s="188"/>
      <c r="Q269" s="188"/>
      <c r="R269" s="193">
        <f>MIN(X264,X265)</f>
        <v>57</v>
      </c>
      <c r="S269" s="194"/>
      <c r="T269" s="89" t="str">
        <f>IF(R269&lt;U269,"NG","≧")</f>
        <v>≧</v>
      </c>
      <c r="U269" s="186">
        <v>40</v>
      </c>
      <c r="V269" s="186"/>
      <c r="W269" s="90" t="s">
        <v>80</v>
      </c>
      <c r="X269" s="89"/>
      <c r="Y269" s="89"/>
      <c r="Z269" s="89"/>
      <c r="AA269" s="89"/>
      <c r="AB269" s="89"/>
      <c r="AC269" s="89"/>
    </row>
    <row r="270" spans="4:29" ht="15.75" customHeight="1" x14ac:dyDescent="0.15">
      <c r="F270" s="124"/>
      <c r="G270" s="124"/>
      <c r="H270" s="124"/>
      <c r="I270" s="124"/>
      <c r="J270" s="124"/>
      <c r="K270" s="189"/>
      <c r="L270" s="116"/>
      <c r="M270" s="116"/>
      <c r="N270" s="116"/>
      <c r="O270" s="116"/>
      <c r="P270" s="116"/>
      <c r="Q270" s="116"/>
      <c r="R270" s="181"/>
      <c r="S270" s="195"/>
      <c r="T270" s="27" t="str">
        <f>IF(R269&lt;AA270,"NG","≧")</f>
        <v>≧</v>
      </c>
      <c r="U270" s="181">
        <f>U265</f>
        <v>38</v>
      </c>
      <c r="V270" s="124"/>
      <c r="W270" s="31" t="s">
        <v>114</v>
      </c>
      <c r="X270" s="131">
        <v>1.5</v>
      </c>
      <c r="Y270" s="131"/>
      <c r="Z270" t="s">
        <v>13</v>
      </c>
      <c r="AA270" s="192">
        <f>ROUND(U270*X270,1)</f>
        <v>57</v>
      </c>
      <c r="AB270" s="192"/>
      <c r="AC270" t="s">
        <v>80</v>
      </c>
    </row>
    <row r="271" spans="4:29" ht="15.75" customHeight="1" x14ac:dyDescent="0.15">
      <c r="F271" s="180"/>
      <c r="G271" s="180"/>
      <c r="H271" s="180"/>
      <c r="I271" s="180"/>
      <c r="J271" s="180"/>
      <c r="K271" s="190"/>
      <c r="L271" s="171"/>
      <c r="M271" s="171"/>
      <c r="N271" s="171"/>
      <c r="O271" s="171"/>
      <c r="P271" s="171"/>
      <c r="Q271" s="171"/>
      <c r="R271" s="196"/>
      <c r="S271" s="197"/>
      <c r="T271" s="88" t="str">
        <f>IF(R269&lt;AA271,"NG","≧")</f>
        <v>≧</v>
      </c>
      <c r="U271" s="196">
        <f>V72</f>
        <v>25</v>
      </c>
      <c r="V271" s="180"/>
      <c r="W271" s="84" t="s">
        <v>114</v>
      </c>
      <c r="X271" s="198" t="s">
        <v>618</v>
      </c>
      <c r="Y271" s="199"/>
      <c r="Z271" s="85" t="s">
        <v>13</v>
      </c>
      <c r="AA271" s="200">
        <f>ROUND(U271*4/3,1)</f>
        <v>33.299999999999997</v>
      </c>
      <c r="AB271" s="200"/>
      <c r="AC271" s="85" t="s">
        <v>80</v>
      </c>
    </row>
    <row r="273" s="27" customFormat="1" ht="15.75" customHeight="1" x14ac:dyDescent="0.15"/>
    <row r="274" s="27" customFormat="1" ht="15.75" customHeight="1" x14ac:dyDescent="0.15"/>
    <row r="275" s="27" customFormat="1" ht="15.75" customHeight="1" x14ac:dyDescent="0.15"/>
    <row r="276" s="27" customFormat="1" ht="15.75" customHeight="1" x14ac:dyDescent="0.15"/>
    <row r="277" s="27" customFormat="1" ht="15.75" customHeight="1" x14ac:dyDescent="0.15"/>
    <row r="278" s="27" customFormat="1" ht="15.75" customHeight="1" x14ac:dyDescent="0.15"/>
    <row r="279" s="27" customFormat="1" ht="15.75" customHeight="1" x14ac:dyDescent="0.15"/>
    <row r="280" s="27" customFormat="1" ht="15.75" customHeight="1" x14ac:dyDescent="0.15"/>
    <row r="281" s="27" customFormat="1" ht="15.75" customHeight="1" x14ac:dyDescent="0.15"/>
    <row r="282" s="27" customFormat="1" ht="15.75" customHeight="1" x14ac:dyDescent="0.15"/>
    <row r="283" s="27" customFormat="1" ht="15.75" customHeight="1" x14ac:dyDescent="0.15"/>
    <row r="284" s="27" customFormat="1" ht="15.75" customHeight="1" x14ac:dyDescent="0.15"/>
    <row r="285" s="27" customFormat="1" ht="15.75" customHeight="1" x14ac:dyDescent="0.15"/>
    <row r="286" s="27" customFormat="1" ht="15.75" customHeight="1" x14ac:dyDescent="0.15"/>
    <row r="287" s="27" customFormat="1" ht="15.75" customHeight="1" x14ac:dyDescent="0.15"/>
    <row r="288" s="27" customFormat="1" ht="15.75" customHeight="1" x14ac:dyDescent="0.15"/>
    <row r="303" spans="2:17" ht="15.75" customHeight="1" x14ac:dyDescent="0.15">
      <c r="B303"/>
      <c r="C303" t="s">
        <v>620</v>
      </c>
      <c r="D303"/>
      <c r="E303"/>
      <c r="F303"/>
      <c r="G303"/>
      <c r="H303"/>
      <c r="I303"/>
      <c r="J303"/>
      <c r="K303"/>
      <c r="L303"/>
      <c r="M303"/>
      <c r="N303"/>
      <c r="O303"/>
      <c r="P303"/>
      <c r="Q303"/>
    </row>
    <row r="305" spans="2:40" ht="15.75" customHeight="1" x14ac:dyDescent="0.15">
      <c r="D305" s="27" t="s">
        <v>444</v>
      </c>
    </row>
    <row r="306" spans="2:40" ht="15.75" customHeight="1" x14ac:dyDescent="0.15">
      <c r="D306" s="27" t="s">
        <v>445</v>
      </c>
    </row>
    <row r="308" spans="2:40" ht="15.75" hidden="1" customHeight="1" x14ac:dyDescent="0.15">
      <c r="D308" s="27" t="s">
        <v>464</v>
      </c>
    </row>
    <row r="309" spans="2:40" ht="15.75" hidden="1" customHeight="1" x14ac:dyDescent="0.15"/>
    <row r="310" spans="2:40" ht="15.75" customHeight="1" x14ac:dyDescent="0.15">
      <c r="F310" s="27" t="s">
        <v>348</v>
      </c>
      <c r="K310" s="158">
        <v>22</v>
      </c>
      <c r="L310" s="158"/>
      <c r="M310" s="31" t="s">
        <v>316</v>
      </c>
      <c r="N310" s="140">
        <v>1</v>
      </c>
      <c r="O310" s="140"/>
      <c r="P310" s="56" t="s">
        <v>350</v>
      </c>
      <c r="Q310" s="159" t="s">
        <v>351</v>
      </c>
      <c r="R310" s="159"/>
      <c r="S310" s="153">
        <v>150</v>
      </c>
      <c r="T310" s="153"/>
    </row>
    <row r="311" spans="2:40" ht="15.75" customHeight="1" x14ac:dyDescent="0.15">
      <c r="F311" s="27" t="s">
        <v>349</v>
      </c>
      <c r="K311" s="315">
        <f>K310</f>
        <v>22</v>
      </c>
      <c r="L311" s="315"/>
      <c r="M311" s="31" t="s">
        <v>316</v>
      </c>
      <c r="N311" s="140">
        <v>4</v>
      </c>
      <c r="O311" s="140"/>
      <c r="P311" s="56" t="s">
        <v>350</v>
      </c>
      <c r="Q311" s="159" t="s">
        <v>351</v>
      </c>
      <c r="R311" s="159"/>
      <c r="S311" s="314">
        <f>S310</f>
        <v>150</v>
      </c>
      <c r="T311" s="314"/>
    </row>
    <row r="313" spans="2:40" ht="15.75" customHeight="1" x14ac:dyDescent="0.15">
      <c r="F313" s="124" t="s">
        <v>352</v>
      </c>
      <c r="G313" s="116" t="s">
        <v>222</v>
      </c>
      <c r="H313" s="124" t="s">
        <v>315</v>
      </c>
      <c r="I313" s="124">
        <f>N310*2</f>
        <v>2</v>
      </c>
      <c r="J313" s="124"/>
      <c r="K313" s="31" t="s">
        <v>313</v>
      </c>
      <c r="L313" s="119">
        <f>VLOOKUP(K310,AS1:AT11,2,FALSE)</f>
        <v>387.1</v>
      </c>
      <c r="M313" s="119"/>
      <c r="N313" s="119"/>
      <c r="O313" s="124" t="s">
        <v>340</v>
      </c>
      <c r="P313" s="124">
        <f>N311*2</f>
        <v>8</v>
      </c>
      <c r="Q313" s="124"/>
      <c r="R313" s="31" t="s">
        <v>313</v>
      </c>
      <c r="S313" s="119">
        <f>VLOOKUP(K311,AS1:AT11,2,FALSE)</f>
        <v>387.1</v>
      </c>
      <c r="T313" s="119"/>
      <c r="U313" s="119"/>
      <c r="V313" s="124" t="s">
        <v>97</v>
      </c>
      <c r="W313" s="124" t="s">
        <v>246</v>
      </c>
      <c r="X313" s="124">
        <v>100</v>
      </c>
      <c r="Y313" s="124"/>
      <c r="AL313" s="124">
        <f>I313*L313+P313*S313</f>
        <v>3871</v>
      </c>
      <c r="AM313" s="124"/>
      <c r="AN313" s="124"/>
    </row>
    <row r="314" spans="2:40" ht="15.75" customHeight="1" x14ac:dyDescent="0.15">
      <c r="F314" s="124"/>
      <c r="G314" s="116"/>
      <c r="H314" s="124"/>
      <c r="I314" s="145">
        <f>AK18</f>
        <v>1140</v>
      </c>
      <c r="J314" s="145"/>
      <c r="K314" s="145"/>
      <c r="L314" s="31" t="s">
        <v>313</v>
      </c>
      <c r="M314" s="124">
        <f>S310</f>
        <v>150</v>
      </c>
      <c r="N314" s="124"/>
      <c r="O314" s="124"/>
      <c r="P314" s="145">
        <f>I314</f>
        <v>1140</v>
      </c>
      <c r="Q314" s="145"/>
      <c r="R314" s="145"/>
      <c r="S314" s="31" t="s">
        <v>313</v>
      </c>
      <c r="T314" s="124">
        <f>S311</f>
        <v>150</v>
      </c>
      <c r="U314" s="124"/>
      <c r="V314" s="124"/>
      <c r="W314" s="124"/>
      <c r="X314" s="124"/>
      <c r="Y314" s="124"/>
    </row>
    <row r="315" spans="2:40" ht="15.75" customHeight="1" x14ac:dyDescent="0.15">
      <c r="G315" s="31" t="s">
        <v>124</v>
      </c>
      <c r="H315" s="134">
        <f>((I313*L313)/(I314*M314)+(P313*S313)/(P314*T314))*X313</f>
        <v>2.2637426900584798</v>
      </c>
      <c r="I315" s="134"/>
      <c r="J315" s="134"/>
      <c r="K315" s="27" t="s">
        <v>247</v>
      </c>
      <c r="L315" s="31" t="str">
        <f>IF(H315&gt;M315,"＞","＜")</f>
        <v>＞</v>
      </c>
      <c r="M315" s="125">
        <v>0.15</v>
      </c>
      <c r="N315" s="125"/>
      <c r="O315" s="125"/>
      <c r="P315" s="27" t="s">
        <v>247</v>
      </c>
      <c r="R315" s="124" t="s">
        <v>248</v>
      </c>
      <c r="S315" s="124"/>
      <c r="T315" s="124" t="str">
        <f>IF(H315&lt;M315,"NG","OK")</f>
        <v>OK</v>
      </c>
      <c r="U315" s="124"/>
    </row>
    <row r="316" spans="2:40" ht="15.75" customHeight="1" x14ac:dyDescent="0.15">
      <c r="G316" s="31"/>
      <c r="H316" s="62"/>
      <c r="I316" s="62"/>
      <c r="J316" s="62"/>
      <c r="L316" s="31"/>
      <c r="M316" s="54"/>
      <c r="N316" s="54"/>
      <c r="O316" s="54"/>
      <c r="R316" s="31"/>
      <c r="S316" s="31"/>
      <c r="T316" s="31"/>
      <c r="U316" s="31"/>
    </row>
    <row r="317" spans="2:40" ht="15.75" hidden="1" customHeight="1" x14ac:dyDescent="0.15">
      <c r="F317" s="27" t="s">
        <v>465</v>
      </c>
      <c r="G317" s="31"/>
      <c r="H317" s="62"/>
      <c r="I317" s="62"/>
      <c r="J317" s="62"/>
      <c r="L317" s="31"/>
      <c r="M317" s="54"/>
      <c r="N317" s="54"/>
      <c r="O317" s="54"/>
      <c r="R317" s="31"/>
      <c r="S317" s="31"/>
      <c r="T317" s="31"/>
      <c r="U317" s="31"/>
    </row>
    <row r="318" spans="2:40" ht="15.75" hidden="1" customHeight="1" x14ac:dyDescent="0.15">
      <c r="G318" s="31"/>
      <c r="H318" s="62"/>
      <c r="I318" s="62"/>
      <c r="J318" s="62"/>
      <c r="L318" s="31"/>
      <c r="M318" s="54"/>
      <c r="N318" s="54"/>
      <c r="O318" s="54"/>
      <c r="R318" s="31"/>
      <c r="S318" s="31"/>
      <c r="T318" s="31"/>
      <c r="U318" s="31"/>
    </row>
    <row r="319" spans="2:40" ht="15.75" customHeight="1" x14ac:dyDescent="0.15">
      <c r="B319"/>
      <c r="C319" t="s">
        <v>623</v>
      </c>
      <c r="D319"/>
      <c r="E319"/>
      <c r="F319"/>
      <c r="G319"/>
      <c r="H319"/>
      <c r="I319"/>
      <c r="J319"/>
      <c r="K319"/>
      <c r="L319"/>
      <c r="M319"/>
      <c r="N319"/>
      <c r="O319"/>
      <c r="P319"/>
      <c r="Q319"/>
    </row>
    <row r="321" spans="4:38" ht="15.75" customHeight="1" x14ac:dyDescent="0.15">
      <c r="D321" s="27" t="s">
        <v>463</v>
      </c>
    </row>
    <row r="322" spans="4:38" ht="15.75" customHeight="1" x14ac:dyDescent="0.15">
      <c r="D322" s="27" t="s">
        <v>446</v>
      </c>
    </row>
    <row r="323" spans="4:38" ht="15.75" customHeight="1" x14ac:dyDescent="0.15">
      <c r="D323" s="91" t="str">
        <f>IF(AL6="上層梁",AL324,IF(AL6="梁",AL324,AL323))</f>
        <v>　 の24倍以下の間隔で配置する。なお、部材接合部及び柱下端から断面高さの2.0倍までの</v>
      </c>
      <c r="AL323" t="s">
        <v>622</v>
      </c>
    </row>
    <row r="324" spans="4:38" ht="15.75" customHeight="1" x14ac:dyDescent="0.15">
      <c r="D324" s="27" t="s">
        <v>448</v>
      </c>
      <c r="AL324" t="s">
        <v>621</v>
      </c>
    </row>
    <row r="326" spans="4:38" ht="15.75" customHeight="1" x14ac:dyDescent="0.15">
      <c r="E326" s="27" t="s">
        <v>449</v>
      </c>
      <c r="P326" s="31" t="s">
        <v>52</v>
      </c>
      <c r="Q326" s="119">
        <f>V186</f>
        <v>1558.4</v>
      </c>
      <c r="R326" s="119"/>
      <c r="S326" s="119"/>
      <c r="T326" s="27" t="s">
        <v>450</v>
      </c>
      <c r="U326" s="167">
        <v>0.25</v>
      </c>
      <c r="V326" s="168"/>
      <c r="W326" s="31" t="s">
        <v>451</v>
      </c>
      <c r="X326" s="145">
        <f>Q326*U326</f>
        <v>389.6</v>
      </c>
      <c r="Y326" s="145"/>
      <c r="Z326" s="145"/>
      <c r="AA326" s="27" t="s">
        <v>452</v>
      </c>
    </row>
    <row r="327" spans="4:38" ht="15.75" customHeight="1" x14ac:dyDescent="0.15">
      <c r="E327" s="27" t="s">
        <v>453</v>
      </c>
      <c r="P327" s="31" t="s">
        <v>222</v>
      </c>
      <c r="Q327" s="124">
        <f>Z18</f>
        <v>38</v>
      </c>
      <c r="R327" s="124"/>
      <c r="S327" s="124"/>
      <c r="T327" s="27" t="s">
        <v>235</v>
      </c>
      <c r="U327" s="166">
        <v>8</v>
      </c>
      <c r="V327" s="131"/>
      <c r="W327" s="31" t="s">
        <v>222</v>
      </c>
      <c r="X327" s="145">
        <f>Q327*U327</f>
        <v>304</v>
      </c>
      <c r="Y327" s="145"/>
      <c r="Z327" s="145"/>
      <c r="AA327" s="27" t="s">
        <v>454</v>
      </c>
    </row>
    <row r="328" spans="4:38" ht="15.75" customHeight="1" x14ac:dyDescent="0.15">
      <c r="E328" s="27" t="s">
        <v>455</v>
      </c>
      <c r="P328" s="31" t="s">
        <v>456</v>
      </c>
      <c r="Q328" s="124">
        <f>K310</f>
        <v>22</v>
      </c>
      <c r="R328" s="124"/>
      <c r="S328" s="124"/>
      <c r="T328" s="27" t="s">
        <v>457</v>
      </c>
      <c r="U328" s="166">
        <v>24</v>
      </c>
      <c r="V328" s="131"/>
      <c r="W328" s="31" t="s">
        <v>458</v>
      </c>
      <c r="X328" s="145">
        <f>Q328*U328</f>
        <v>528</v>
      </c>
      <c r="Y328" s="145"/>
      <c r="Z328" s="145"/>
      <c r="AA328" s="27" t="s">
        <v>459</v>
      </c>
    </row>
    <row r="329" spans="4:38" ht="15.75" customHeight="1" x14ac:dyDescent="0.15">
      <c r="E329" s="27" t="s">
        <v>460</v>
      </c>
    </row>
    <row r="331" spans="4:38" ht="15.75" customHeight="1" x14ac:dyDescent="0.15">
      <c r="E331" s="27" t="s">
        <v>461</v>
      </c>
      <c r="I331" s="31" t="s">
        <v>462</v>
      </c>
      <c r="J331" s="27" t="str">
        <f>"上記最小間隔は"&amp;MIN(X326,X327,X328,300)&amp;"mmに対して計算上の配置間隔は"&amp;MAX(S310,S311)&amp;"mmより満足する。"</f>
        <v>上記最小間隔は300mmに対して計算上の配置間隔は150mmより満足する。</v>
      </c>
    </row>
    <row r="332" spans="4:38" ht="15.75" customHeight="1" x14ac:dyDescent="0.15">
      <c r="I332" s="31"/>
    </row>
    <row r="333" spans="4:38" ht="15.75" customHeight="1" x14ac:dyDescent="0.15">
      <c r="D333" s="27" t="s">
        <v>466</v>
      </c>
      <c r="G333" s="31"/>
      <c r="H333" s="62"/>
      <c r="I333" s="62"/>
      <c r="J333" s="62"/>
      <c r="L333" s="31"/>
      <c r="M333" s="54"/>
      <c r="N333" s="54"/>
      <c r="O333" s="54"/>
      <c r="R333" s="31"/>
      <c r="S333" s="31"/>
      <c r="T333" s="31"/>
      <c r="U333" s="31"/>
    </row>
    <row r="334" spans="4:38" ht="15.75" customHeight="1" x14ac:dyDescent="0.15">
      <c r="D334" s="27" t="s">
        <v>467</v>
      </c>
      <c r="G334" s="31"/>
      <c r="H334" s="62"/>
      <c r="I334" s="62"/>
      <c r="J334" s="62"/>
      <c r="L334" s="31"/>
      <c r="M334" s="54"/>
      <c r="N334" s="54"/>
      <c r="O334" s="54"/>
      <c r="R334" s="31"/>
      <c r="S334" s="31"/>
      <c r="T334" s="31"/>
      <c r="U334" s="31"/>
    </row>
    <row r="335" spans="4:38" ht="15.75" customHeight="1" x14ac:dyDescent="0.15">
      <c r="D335" s="27" t="s">
        <v>468</v>
      </c>
      <c r="G335" s="31"/>
      <c r="H335" s="62"/>
      <c r="I335" s="62"/>
      <c r="J335" s="62"/>
      <c r="L335" s="31"/>
      <c r="M335" s="54"/>
      <c r="N335" s="54"/>
      <c r="O335" s="54"/>
      <c r="R335" s="31"/>
      <c r="S335" s="31"/>
      <c r="T335" s="31"/>
      <c r="U335" s="31"/>
    </row>
    <row r="336" spans="4:38" ht="15.75" customHeight="1" x14ac:dyDescent="0.15">
      <c r="G336" s="31"/>
      <c r="H336" s="62"/>
      <c r="I336" s="62"/>
      <c r="J336" s="62"/>
      <c r="L336" s="31"/>
      <c r="M336" s="54"/>
      <c r="N336" s="54"/>
      <c r="O336" s="54"/>
      <c r="R336" s="31"/>
      <c r="S336" s="31"/>
      <c r="T336" s="31"/>
      <c r="U336" s="31"/>
    </row>
    <row r="337" spans="5:21" ht="15.75" customHeight="1" x14ac:dyDescent="0.15">
      <c r="E337" s="27" t="str">
        <f>"・帯鉄筋の直径は"&amp;FIXED(K310,0)&amp;"mmであり"&amp;FIXED(K310,0)&amp;"×48＝"&amp;FIXED(K310*48,0,3)&amp;"mm"</f>
        <v>・帯鉄筋の直径は22mmであり22×48＝1056mm</v>
      </c>
      <c r="G337" s="31"/>
      <c r="H337" s="62"/>
      <c r="I337" s="62"/>
      <c r="J337" s="62"/>
      <c r="L337" s="31"/>
      <c r="M337" s="54"/>
      <c r="N337" s="54"/>
      <c r="O337" s="54"/>
      <c r="R337" s="31"/>
      <c r="S337" s="31"/>
      <c r="T337" s="31"/>
      <c r="U337" s="31"/>
    </row>
    <row r="338" spans="5:21" ht="15.75" customHeight="1" x14ac:dyDescent="0.15">
      <c r="E338" s="27" t="str">
        <f>"よって、帯鉄筋の横方向の必要配置間隔は"&amp;FIXED(K310*48,0,3)&amp;"mmとなる。"</f>
        <v>よって、帯鉄筋の横方向の必要配置間隔は1056mmとなる。</v>
      </c>
      <c r="G338" s="31"/>
      <c r="H338" s="62"/>
      <c r="I338" s="62"/>
      <c r="J338" s="62"/>
      <c r="L338" s="31"/>
      <c r="M338" s="54"/>
      <c r="N338" s="54"/>
      <c r="O338" s="54"/>
      <c r="R338" s="31"/>
      <c r="S338" s="31"/>
      <c r="T338" s="31"/>
      <c r="U338" s="31"/>
    </row>
    <row r="339" spans="5:21" ht="15.75" customHeight="1" x14ac:dyDescent="0.15">
      <c r="E339" s="27" t="str">
        <f>"中間帯鉄筋を"&amp;FIXED(N311,1)&amp;"組配置することにより満足する。"</f>
        <v>中間帯鉄筋を4.0組配置することにより満足する。</v>
      </c>
      <c r="G339" s="31"/>
      <c r="H339" s="62"/>
      <c r="I339" s="62"/>
      <c r="J339" s="62"/>
      <c r="L339" s="31"/>
      <c r="M339" s="54"/>
      <c r="N339" s="54"/>
      <c r="O339" s="54"/>
      <c r="R339" s="31"/>
      <c r="S339" s="31"/>
      <c r="T339" s="31"/>
      <c r="U339" s="31"/>
    </row>
    <row r="340" spans="5:21" ht="15.75" customHeight="1" x14ac:dyDescent="0.15">
      <c r="G340" s="31"/>
      <c r="H340" s="62"/>
      <c r="I340" s="62"/>
      <c r="J340" s="62"/>
      <c r="L340" s="31"/>
      <c r="M340" s="54"/>
      <c r="N340" s="54"/>
      <c r="O340" s="54"/>
      <c r="R340" s="31"/>
      <c r="S340" s="31"/>
      <c r="T340" s="31"/>
      <c r="U340" s="31"/>
    </row>
    <row r="341" spans="5:21" ht="15.75" customHeight="1" x14ac:dyDescent="0.15">
      <c r="G341" s="31"/>
      <c r="H341" s="62"/>
      <c r="I341" s="62"/>
      <c r="J341" s="62"/>
      <c r="L341" s="31"/>
      <c r="M341" s="54"/>
      <c r="N341" s="54"/>
      <c r="O341" s="54"/>
      <c r="R341" s="31"/>
      <c r="S341" s="31"/>
      <c r="T341" s="31"/>
      <c r="U341" s="31"/>
    </row>
    <row r="342" spans="5:21" ht="15.75" customHeight="1" x14ac:dyDescent="0.15">
      <c r="G342" s="31"/>
      <c r="H342" s="62"/>
      <c r="I342" s="62"/>
      <c r="J342" s="62"/>
      <c r="L342" s="31"/>
      <c r="M342" s="54"/>
      <c r="N342" s="54"/>
      <c r="O342" s="54"/>
      <c r="R342" s="31"/>
      <c r="S342" s="31"/>
      <c r="T342" s="31"/>
      <c r="U342" s="31"/>
    </row>
    <row r="343" spans="5:21" ht="15.75" customHeight="1" x14ac:dyDescent="0.15">
      <c r="G343" s="31"/>
      <c r="H343" s="62"/>
      <c r="I343" s="62"/>
      <c r="J343" s="62"/>
      <c r="L343" s="31"/>
      <c r="M343" s="54"/>
      <c r="N343" s="54"/>
      <c r="O343" s="54"/>
      <c r="R343" s="31"/>
      <c r="S343" s="31"/>
      <c r="T343" s="31"/>
      <c r="U343" s="31"/>
    </row>
    <row r="344" spans="5:21" ht="15.75" customHeight="1" x14ac:dyDescent="0.15">
      <c r="G344" s="31"/>
      <c r="H344" s="62"/>
      <c r="I344" s="62"/>
      <c r="J344" s="62"/>
      <c r="L344" s="31"/>
      <c r="M344" s="54"/>
      <c r="N344" s="54"/>
      <c r="O344" s="54"/>
      <c r="R344" s="31"/>
      <c r="S344" s="31"/>
      <c r="T344" s="31"/>
      <c r="U344" s="31"/>
    </row>
    <row r="345" spans="5:21" ht="15.75" customHeight="1" x14ac:dyDescent="0.15">
      <c r="G345" s="31"/>
      <c r="H345" s="62"/>
      <c r="I345" s="62"/>
      <c r="J345" s="62"/>
      <c r="L345" s="31"/>
      <c r="M345" s="54"/>
      <c r="N345" s="54"/>
      <c r="O345" s="54"/>
      <c r="R345" s="31"/>
      <c r="S345" s="31"/>
      <c r="T345" s="31"/>
      <c r="U345" s="31"/>
    </row>
    <row r="346" spans="5:21" ht="15.75" customHeight="1" x14ac:dyDescent="0.15">
      <c r="G346" s="31"/>
      <c r="H346" s="62"/>
      <c r="I346" s="62"/>
      <c r="J346" s="62"/>
      <c r="L346" s="31"/>
      <c r="M346" s="54"/>
      <c r="N346" s="54"/>
      <c r="O346" s="54"/>
      <c r="R346" s="31"/>
      <c r="S346" s="31"/>
      <c r="T346" s="31"/>
      <c r="U346" s="31"/>
    </row>
    <row r="347" spans="5:21" ht="15.75" customHeight="1" x14ac:dyDescent="0.15">
      <c r="G347" s="31"/>
      <c r="H347" s="62"/>
      <c r="I347" s="62"/>
      <c r="J347" s="62"/>
      <c r="L347" s="31"/>
      <c r="M347" s="54"/>
      <c r="N347" s="54"/>
      <c r="O347" s="54"/>
      <c r="R347" s="31"/>
      <c r="S347" s="31"/>
      <c r="T347" s="31"/>
      <c r="U347" s="31"/>
    </row>
    <row r="348" spans="5:21" ht="15.75" customHeight="1" x14ac:dyDescent="0.15">
      <c r="G348" s="31"/>
      <c r="H348" s="62"/>
      <c r="I348" s="62"/>
      <c r="J348" s="62"/>
      <c r="L348" s="31"/>
      <c r="M348" s="54"/>
      <c r="N348" s="54"/>
      <c r="O348" s="54"/>
      <c r="R348" s="31"/>
      <c r="S348" s="31"/>
      <c r="T348" s="31"/>
      <c r="U348" s="31"/>
    </row>
    <row r="349" spans="5:21" ht="15.75" customHeight="1" x14ac:dyDescent="0.15">
      <c r="G349" s="31"/>
      <c r="H349" s="62"/>
      <c r="I349" s="62"/>
      <c r="J349" s="62"/>
      <c r="L349" s="31"/>
      <c r="M349" s="54"/>
      <c r="N349" s="54"/>
      <c r="O349" s="54"/>
      <c r="R349" s="31"/>
      <c r="S349" s="31"/>
      <c r="T349" s="31"/>
      <c r="U349" s="31"/>
    </row>
    <row r="350" spans="5:21" ht="15.75" customHeight="1" x14ac:dyDescent="0.15">
      <c r="G350" s="31"/>
      <c r="H350" s="62"/>
      <c r="I350" s="62"/>
      <c r="J350" s="62"/>
      <c r="L350" s="31"/>
      <c r="M350" s="54"/>
      <c r="N350" s="54"/>
      <c r="O350" s="54"/>
      <c r="R350" s="31"/>
      <c r="S350" s="31"/>
      <c r="T350" s="31"/>
      <c r="U350" s="31"/>
    </row>
    <row r="353" spans="3:30" ht="15.75" customHeight="1" x14ac:dyDescent="0.15">
      <c r="C353" t="s">
        <v>641</v>
      </c>
    </row>
    <row r="355" spans="3:30" ht="15.75" customHeight="1" x14ac:dyDescent="0.15">
      <c r="D355" s="93" t="s">
        <v>624</v>
      </c>
      <c r="E355" s="94"/>
      <c r="F355" s="95"/>
      <c r="G355" s="95"/>
      <c r="H355" s="95"/>
      <c r="I355" s="95"/>
      <c r="J355" s="95"/>
      <c r="K355" s="95"/>
      <c r="L355" s="95"/>
      <c r="M355" s="95"/>
      <c r="N355" s="96"/>
      <c r="O355" s="96"/>
      <c r="P355" s="97"/>
      <c r="Q355" s="98"/>
      <c r="R355" s="98"/>
      <c r="S355" s="97"/>
      <c r="T355" s="99"/>
      <c r="U355" s="99"/>
      <c r="V355" s="97"/>
      <c r="W355" s="97"/>
      <c r="X355" s="100"/>
    </row>
    <row r="356" spans="3:30" ht="15.75" customHeight="1" x14ac:dyDescent="0.15">
      <c r="D356" s="101"/>
      <c r="E356" s="319">
        <v>2.1000000000000001E-2</v>
      </c>
      <c r="F356" s="319"/>
      <c r="G356" s="319"/>
      <c r="H356" s="109" t="s">
        <v>625</v>
      </c>
      <c r="I356" s="110" t="s">
        <v>626</v>
      </c>
      <c r="J356" s="109" t="s">
        <v>625</v>
      </c>
      <c r="K356" s="110" t="s">
        <v>627</v>
      </c>
      <c r="L356" s="109" t="s">
        <v>628</v>
      </c>
      <c r="M356" s="319">
        <v>1.2999999999999999E-2</v>
      </c>
      <c r="N356" s="319"/>
      <c r="O356" s="319"/>
      <c r="P356" s="109" t="s">
        <v>629</v>
      </c>
      <c r="Q356" s="176">
        <v>0.04</v>
      </c>
      <c r="R356" s="176"/>
      <c r="S356" s="97"/>
      <c r="T356" s="97"/>
      <c r="U356" s="102"/>
      <c r="V356" s="94"/>
      <c r="W356" s="97"/>
      <c r="X356" s="103"/>
      <c r="Y356" s="103"/>
      <c r="Z356" s="104"/>
    </row>
    <row r="357" spans="3:30" s="320" customFormat="1" ht="15.75" customHeight="1" x14ac:dyDescent="0.15">
      <c r="D357" s="321"/>
      <c r="E357" s="322"/>
      <c r="F357" s="322"/>
      <c r="G357" s="322"/>
      <c r="H357" s="323"/>
      <c r="I357" s="324"/>
      <c r="J357" s="323"/>
      <c r="K357" s="324"/>
      <c r="L357" s="323"/>
      <c r="M357" s="322"/>
      <c r="N357" s="322"/>
      <c r="O357" s="322"/>
      <c r="P357" s="323"/>
      <c r="Q357" s="325"/>
      <c r="R357" s="325"/>
      <c r="S357" s="326"/>
      <c r="T357" s="326"/>
      <c r="U357" s="327"/>
      <c r="V357" s="328"/>
      <c r="W357" s="326"/>
      <c r="X357" s="329"/>
      <c r="Y357" s="329"/>
      <c r="Z357" s="330"/>
    </row>
    <row r="358" spans="3:30" ht="15.75" customHeight="1" x14ac:dyDescent="0.15">
      <c r="D358" s="93" t="s">
        <v>386</v>
      </c>
      <c r="E358" s="94"/>
      <c r="F358" s="105"/>
      <c r="G358" s="94" t="s">
        <v>627</v>
      </c>
      <c r="H358" s="106" t="s">
        <v>388</v>
      </c>
      <c r="I358" s="93" t="s">
        <v>630</v>
      </c>
      <c r="J358" s="107"/>
      <c r="K358" s="107"/>
      <c r="L358" s="97" t="s">
        <v>631</v>
      </c>
      <c r="M358" s="94" t="s">
        <v>632</v>
      </c>
      <c r="N358" s="97" t="s">
        <v>633</v>
      </c>
      <c r="O358" s="94" t="s">
        <v>634</v>
      </c>
      <c r="P358" s="97" t="s">
        <v>625</v>
      </c>
      <c r="Q358" s="94" t="s">
        <v>635</v>
      </c>
      <c r="R358" s="108" t="s">
        <v>636</v>
      </c>
      <c r="S358" s="104"/>
      <c r="Y358" s="108"/>
    </row>
    <row r="359" spans="3:30" ht="15.75" customHeight="1" x14ac:dyDescent="0.15">
      <c r="D359" s="93"/>
      <c r="E359" s="94"/>
      <c r="F359" s="105"/>
      <c r="G359" s="94" t="s">
        <v>626</v>
      </c>
      <c r="H359" s="106" t="s">
        <v>388</v>
      </c>
      <c r="I359" s="93" t="s">
        <v>637</v>
      </c>
      <c r="J359" s="95"/>
      <c r="K359" s="95"/>
      <c r="L359" s="95"/>
      <c r="M359" s="95"/>
      <c r="N359" s="95"/>
      <c r="O359" s="95"/>
      <c r="P359" s="97"/>
      <c r="Q359" s="97"/>
      <c r="S359" s="310" t="s">
        <v>631</v>
      </c>
      <c r="T359" s="125">
        <f>AS19</f>
        <v>1.1499999999999999</v>
      </c>
      <c r="U359" s="125"/>
      <c r="V359" s="125"/>
      <c r="W359" s="311" t="s">
        <v>67</v>
      </c>
      <c r="X359" s="309">
        <f>AB17</f>
        <v>390</v>
      </c>
      <c r="Y359" s="309"/>
      <c r="Z359" s="309"/>
      <c r="AA359" s="312" t="s">
        <v>81</v>
      </c>
    </row>
    <row r="360" spans="3:30" ht="15.75" customHeight="1" x14ac:dyDescent="0.15">
      <c r="D360" s="93"/>
      <c r="E360" s="94"/>
      <c r="F360" s="105"/>
      <c r="G360" s="94"/>
      <c r="H360" s="106"/>
      <c r="I360" s="94" t="s">
        <v>627</v>
      </c>
      <c r="J360" s="95" t="s">
        <v>638</v>
      </c>
      <c r="K360" s="206">
        <f>AL313</f>
        <v>3871</v>
      </c>
      <c r="L360" s="206"/>
      <c r="M360" s="206"/>
      <c r="N360" s="201" t="s">
        <v>633</v>
      </c>
      <c r="O360" s="201"/>
      <c r="P360" s="313">
        <f>X228</f>
        <v>3940</v>
      </c>
      <c r="Q360" s="202"/>
      <c r="R360" s="202"/>
      <c r="S360" s="97" t="s">
        <v>639</v>
      </c>
      <c r="T360" s="316">
        <f>S310</f>
        <v>150</v>
      </c>
      <c r="U360" s="316"/>
      <c r="V360" s="317" t="s">
        <v>640</v>
      </c>
      <c r="W360" s="97" t="s">
        <v>639</v>
      </c>
      <c r="X360" s="131">
        <v>100</v>
      </c>
      <c r="Y360" s="131"/>
      <c r="Z360" s="108" t="s">
        <v>13</v>
      </c>
      <c r="AA360" s="318">
        <f>ROUND(K360/(P360*T360),6)</f>
        <v>6.5500000000000003E-3</v>
      </c>
      <c r="AB360" s="318"/>
      <c r="AC360" s="318"/>
      <c r="AD360" s="318"/>
    </row>
    <row r="361" spans="3:30" s="320" customFormat="1" ht="15.75" customHeight="1" x14ac:dyDescent="0.15">
      <c r="D361" s="331"/>
      <c r="E361" s="328"/>
      <c r="F361" s="332"/>
      <c r="G361" s="328"/>
      <c r="H361" s="333"/>
      <c r="I361" s="328"/>
      <c r="J361" s="334"/>
      <c r="K361" s="333"/>
      <c r="L361" s="333"/>
      <c r="M361" s="333"/>
      <c r="N361" s="326"/>
      <c r="O361" s="326"/>
      <c r="P361" s="335"/>
      <c r="Q361" s="336"/>
      <c r="R361" s="336"/>
      <c r="S361" s="326"/>
      <c r="T361" s="337"/>
      <c r="U361" s="337"/>
      <c r="V361" s="338"/>
      <c r="W361" s="326"/>
      <c r="X361" s="339"/>
      <c r="Y361" s="339"/>
      <c r="Z361" s="340"/>
      <c r="AA361" s="341"/>
      <c r="AB361" s="341"/>
      <c r="AC361" s="341"/>
      <c r="AD361" s="341"/>
    </row>
    <row r="362" spans="3:30" ht="15.75" customHeight="1" x14ac:dyDescent="0.15">
      <c r="D362" s="104"/>
      <c r="E362" s="203">
        <f>E356</f>
        <v>2.1000000000000001E-2</v>
      </c>
      <c r="F362" s="203"/>
      <c r="G362" s="203"/>
      <c r="H362" s="97" t="s">
        <v>639</v>
      </c>
      <c r="I362" s="205">
        <f>T359</f>
        <v>1.1499999999999999</v>
      </c>
      <c r="J362" s="204"/>
      <c r="K362" s="97" t="s">
        <v>639</v>
      </c>
      <c r="L362" s="203">
        <f>AA360*100</f>
        <v>0.65500000000000003</v>
      </c>
      <c r="M362" s="203"/>
      <c r="N362" s="203"/>
      <c r="O362" s="97" t="s">
        <v>628</v>
      </c>
      <c r="P362" s="134">
        <f>M356</f>
        <v>1.2999999999999999E-2</v>
      </c>
      <c r="Q362" s="134"/>
      <c r="R362" s="134"/>
      <c r="S362" s="104" t="s">
        <v>638</v>
      </c>
      <c r="T362" s="375">
        <f>ROUND(E362*I362*L362+P362,3)</f>
        <v>2.9000000000000001E-2</v>
      </c>
      <c r="U362" s="375"/>
      <c r="V362" s="375"/>
      <c r="W362" s="97" t="str">
        <f>IF(T362&gt;X362,"＞","≦")</f>
        <v>≦</v>
      </c>
      <c r="X362" s="157">
        <v>0.04</v>
      </c>
      <c r="Y362" s="157"/>
      <c r="Z362" s="157"/>
      <c r="AA362" s="97"/>
      <c r="AB362" s="97"/>
    </row>
    <row r="364" spans="3:30" ht="15.75" customHeight="1" x14ac:dyDescent="0.15">
      <c r="C364" s="306" t="s">
        <v>642</v>
      </c>
    </row>
    <row r="366" spans="3:30" ht="15.75" customHeight="1" x14ac:dyDescent="0.15">
      <c r="D366" s="93" t="s">
        <v>643</v>
      </c>
      <c r="E366" s="93"/>
      <c r="F366" s="102"/>
      <c r="G366" s="342"/>
      <c r="H366" s="342"/>
      <c r="I366" s="343"/>
      <c r="J366" s="343"/>
      <c r="K366" s="344"/>
      <c r="L366" s="344"/>
      <c r="M366" s="345"/>
      <c r="N366" s="345"/>
      <c r="O366" s="345"/>
      <c r="P366" s="93"/>
      <c r="Q366" s="104"/>
      <c r="R366" s="104"/>
      <c r="S366" s="104"/>
      <c r="T366" s="104"/>
      <c r="U366" s="104"/>
      <c r="V366" s="104"/>
      <c r="W366" s="104"/>
      <c r="X366" s="104"/>
    </row>
    <row r="367" spans="3:30" ht="15.75" customHeight="1" x14ac:dyDescent="0.15">
      <c r="D367" s="93"/>
      <c r="E367" s="32" t="s">
        <v>644</v>
      </c>
      <c r="F367" s="346" t="s">
        <v>645</v>
      </c>
      <c r="G367" s="116" t="s">
        <v>646</v>
      </c>
      <c r="H367" s="116"/>
      <c r="I367" s="346" t="s">
        <v>647</v>
      </c>
      <c r="J367" s="116" t="s">
        <v>648</v>
      </c>
      <c r="K367" s="116"/>
      <c r="L367" s="346" t="s">
        <v>649</v>
      </c>
      <c r="M367" s="347">
        <v>0.1</v>
      </c>
      <c r="N367" s="347"/>
      <c r="O367" s="345"/>
      <c r="P367" s="93"/>
      <c r="Q367" s="104"/>
      <c r="R367" s="104"/>
      <c r="S367" s="104"/>
      <c r="T367" s="104"/>
      <c r="U367" s="104"/>
      <c r="V367" s="104"/>
      <c r="W367" s="104"/>
      <c r="X367" s="104"/>
    </row>
    <row r="368" spans="3:30" ht="15.75" customHeight="1" x14ac:dyDescent="0.15">
      <c r="D368" s="93"/>
      <c r="E368" s="32"/>
      <c r="F368" s="346"/>
      <c r="G368" s="32"/>
      <c r="H368" s="32"/>
      <c r="I368" s="346"/>
      <c r="J368" s="32"/>
      <c r="K368" s="32"/>
      <c r="L368" s="346"/>
      <c r="M368" s="357"/>
      <c r="N368" s="357"/>
      <c r="O368" s="345"/>
      <c r="P368" s="93"/>
      <c r="Q368" s="104"/>
      <c r="R368" s="104"/>
      <c r="S368" s="104"/>
      <c r="T368" s="104"/>
      <c r="U368" s="104"/>
      <c r="V368" s="104"/>
      <c r="W368" s="104"/>
      <c r="X368" s="104"/>
    </row>
    <row r="369" spans="4:34" ht="15.75" customHeight="1" x14ac:dyDescent="0.15">
      <c r="D369" s="93" t="s">
        <v>386</v>
      </c>
      <c r="E369" s="93"/>
      <c r="F369" s="102"/>
      <c r="G369" s="94" t="s">
        <v>650</v>
      </c>
      <c r="H369" s="348" t="s">
        <v>651</v>
      </c>
      <c r="I369" s="93" t="s">
        <v>652</v>
      </c>
      <c r="J369" s="343"/>
      <c r="K369" s="344"/>
      <c r="L369" s="344"/>
      <c r="M369" s="345"/>
      <c r="N369" s="345"/>
      <c r="O369" s="345"/>
      <c r="P369" s="93"/>
      <c r="Q369" s="104"/>
      <c r="R369" s="104"/>
      <c r="S369" s="104"/>
      <c r="T369" s="104"/>
      <c r="U369" s="104"/>
    </row>
    <row r="370" spans="4:34" ht="15.75" customHeight="1" x14ac:dyDescent="0.15">
      <c r="D370" s="93"/>
      <c r="E370" s="93"/>
      <c r="F370" s="102"/>
      <c r="G370" s="94"/>
      <c r="H370" s="348"/>
      <c r="I370" s="94" t="s">
        <v>627</v>
      </c>
      <c r="J370" s="95" t="s">
        <v>638</v>
      </c>
      <c r="K370" s="206">
        <f>K360</f>
        <v>3871</v>
      </c>
      <c r="L370" s="206"/>
      <c r="M370" s="206"/>
      <c r="N370" s="97" t="s">
        <v>633</v>
      </c>
      <c r="O370" s="313">
        <f>P360</f>
        <v>3940</v>
      </c>
      <c r="P370" s="202"/>
      <c r="Q370" s="202"/>
      <c r="R370" s="97" t="s">
        <v>639</v>
      </c>
      <c r="S370" s="358">
        <f>T360</f>
        <v>150</v>
      </c>
      <c r="T370" s="358"/>
      <c r="U370" s="317" t="s">
        <v>640</v>
      </c>
      <c r="V370" s="97" t="s">
        <v>639</v>
      </c>
      <c r="W370" s="131">
        <v>100</v>
      </c>
      <c r="X370" s="131"/>
      <c r="Y370" s="108" t="s">
        <v>13</v>
      </c>
      <c r="Z370" s="359">
        <f>ROUND(K370/(O370*S370),6)</f>
        <v>6.5500000000000003E-3</v>
      </c>
      <c r="AA370" s="359"/>
      <c r="AB370" s="359"/>
    </row>
    <row r="371" spans="4:34" ht="15.75" customHeight="1" x14ac:dyDescent="0.15">
      <c r="D371" s="93"/>
      <c r="E371" s="93"/>
      <c r="F371" s="102"/>
      <c r="G371" s="94" t="s">
        <v>654</v>
      </c>
      <c r="H371" s="348" t="s">
        <v>651</v>
      </c>
      <c r="I371" s="93" t="s">
        <v>655</v>
      </c>
      <c r="J371" s="343"/>
      <c r="K371" s="344"/>
      <c r="L371" s="344"/>
      <c r="M371" s="345"/>
      <c r="N371" s="345"/>
      <c r="O371" s="345"/>
      <c r="P371" s="93"/>
      <c r="Q371" s="104"/>
      <c r="R371" s="104"/>
      <c r="S371" s="104"/>
      <c r="T371" s="104"/>
      <c r="U371" s="104"/>
      <c r="V371" s="104"/>
      <c r="W371" s="104"/>
      <c r="X371" s="104"/>
    </row>
    <row r="372" spans="4:34" ht="15.75" customHeight="1" x14ac:dyDescent="0.15">
      <c r="D372" s="93"/>
      <c r="E372" s="93"/>
      <c r="F372" s="102"/>
      <c r="G372" s="94" t="s">
        <v>656</v>
      </c>
      <c r="H372" s="348" t="s">
        <v>651</v>
      </c>
      <c r="I372" s="93" t="s">
        <v>657</v>
      </c>
      <c r="J372" s="343"/>
      <c r="K372" s="344"/>
      <c r="L372" s="344"/>
      <c r="M372" s="345"/>
      <c r="N372" s="345"/>
      <c r="O372" s="345"/>
      <c r="P372" s="93"/>
      <c r="Q372" s="104"/>
      <c r="R372" s="104"/>
      <c r="S372" s="104"/>
      <c r="T372" s="104"/>
      <c r="U372" s="104"/>
      <c r="V372" s="104"/>
      <c r="W372" s="104"/>
      <c r="X372" s="104"/>
    </row>
    <row r="373" spans="4:34" ht="15.75" customHeight="1" x14ac:dyDescent="0.15">
      <c r="D373" s="93"/>
      <c r="E373" s="104"/>
      <c r="F373" s="104"/>
      <c r="G373" s="94" t="s">
        <v>658</v>
      </c>
      <c r="H373" s="348" t="s">
        <v>651</v>
      </c>
      <c r="I373" s="93" t="s">
        <v>659</v>
      </c>
      <c r="J373" s="104"/>
      <c r="K373" s="104"/>
      <c r="L373" s="104"/>
      <c r="M373" s="104"/>
      <c r="N373" s="104"/>
      <c r="O373" s="104"/>
      <c r="P373" s="68"/>
      <c r="Q373" s="104"/>
      <c r="R373" s="104"/>
      <c r="S373" s="104"/>
      <c r="T373" s="104"/>
      <c r="U373" s="104"/>
      <c r="V373" s="104"/>
      <c r="AD373" s="104"/>
    </row>
    <row r="374" spans="4:34" ht="15.75" customHeight="1" x14ac:dyDescent="0.15">
      <c r="D374" s="93"/>
      <c r="E374" s="104"/>
      <c r="F374" s="104"/>
      <c r="G374" s="102" t="s">
        <v>660</v>
      </c>
      <c r="H374" s="348" t="s">
        <v>651</v>
      </c>
      <c r="I374" s="95" t="s">
        <v>661</v>
      </c>
      <c r="J374" s="348"/>
      <c r="K374" s="106"/>
      <c r="L374" s="348"/>
      <c r="M374" s="106"/>
      <c r="N374" s="348"/>
      <c r="O374" s="106"/>
      <c r="P374" s="348"/>
    </row>
    <row r="375" spans="4:34" ht="15.75" customHeight="1" x14ac:dyDescent="0.15">
      <c r="D375" s="93"/>
      <c r="E375" s="104"/>
      <c r="F375" s="104"/>
      <c r="G375" s="102" t="s">
        <v>664</v>
      </c>
      <c r="H375" s="348" t="s">
        <v>651</v>
      </c>
      <c r="I375" s="93" t="s">
        <v>665</v>
      </c>
      <c r="J375" s="93"/>
      <c r="K375" s="93"/>
      <c r="L375" s="93"/>
      <c r="M375" s="93"/>
      <c r="N375" s="93"/>
      <c r="O375" s="93"/>
      <c r="P375" s="93"/>
      <c r="Q375" s="93"/>
    </row>
    <row r="376" spans="4:34" ht="15.75" customHeight="1" x14ac:dyDescent="0.15">
      <c r="D376" s="93"/>
      <c r="E376" s="104"/>
      <c r="F376" s="104"/>
      <c r="G376" s="102"/>
      <c r="H376" s="348"/>
      <c r="I376" s="102" t="s">
        <v>664</v>
      </c>
      <c r="J376" s="348" t="s">
        <v>653</v>
      </c>
      <c r="K376" s="104" t="s">
        <v>666</v>
      </c>
      <c r="L376" s="348" t="s">
        <v>647</v>
      </c>
      <c r="M376" s="106" t="s">
        <v>667</v>
      </c>
      <c r="N376" s="349" t="s">
        <v>229</v>
      </c>
      <c r="O376" s="360" t="s">
        <v>672</v>
      </c>
      <c r="P376" s="360"/>
      <c r="Q376" s="360"/>
      <c r="R376" s="360"/>
      <c r="S376" s="106" t="s">
        <v>662</v>
      </c>
      <c r="T376" s="350">
        <v>1275</v>
      </c>
      <c r="U376" s="350"/>
      <c r="V376" s="350"/>
      <c r="W376" s="351" t="s">
        <v>663</v>
      </c>
    </row>
    <row r="377" spans="4:34" ht="15.75" customHeight="1" x14ac:dyDescent="0.15">
      <c r="D377" s="93"/>
      <c r="E377" s="104"/>
      <c r="F377" s="104"/>
      <c r="G377" s="102" t="s">
        <v>666</v>
      </c>
      <c r="H377" s="348" t="s">
        <v>651</v>
      </c>
      <c r="I377" s="93" t="s">
        <v>668</v>
      </c>
      <c r="J377" s="102"/>
      <c r="K377" s="348"/>
      <c r="L377" s="94"/>
      <c r="M377" s="94"/>
      <c r="N377" s="348"/>
      <c r="O377" s="106"/>
      <c r="P377" s="93"/>
      <c r="Q377" s="93"/>
      <c r="W377" s="102" t="s">
        <v>666</v>
      </c>
      <c r="X377" s="348" t="s">
        <v>653</v>
      </c>
      <c r="Y377" s="361">
        <f>Y73</f>
        <v>24</v>
      </c>
      <c r="Z377" s="362"/>
      <c r="AA377" s="351" t="s">
        <v>663</v>
      </c>
    </row>
    <row r="378" spans="4:34" ht="15.75" customHeight="1" x14ac:dyDescent="0.15">
      <c r="D378" s="93"/>
      <c r="E378" s="104"/>
      <c r="F378" s="104"/>
      <c r="G378" s="106" t="s">
        <v>667</v>
      </c>
      <c r="H378" s="348" t="s">
        <v>651</v>
      </c>
      <c r="I378" s="93" t="s">
        <v>669</v>
      </c>
      <c r="J378" s="93"/>
      <c r="K378" s="93"/>
      <c r="L378" s="93"/>
      <c r="M378" s="93"/>
      <c r="N378" s="93"/>
      <c r="O378" s="93"/>
      <c r="R378" s="352" t="s">
        <v>670</v>
      </c>
      <c r="S378" s="363">
        <f>U172</f>
        <v>1.3</v>
      </c>
      <c r="T378" s="363"/>
      <c r="U378" s="353" t="s">
        <v>671</v>
      </c>
      <c r="V378" s="93"/>
    </row>
    <row r="379" spans="4:34" ht="15.75" customHeight="1" x14ac:dyDescent="0.15">
      <c r="D379" s="93"/>
      <c r="E379" s="104"/>
      <c r="F379" s="104"/>
      <c r="G379" s="106"/>
      <c r="H379" s="348"/>
      <c r="I379" s="93"/>
      <c r="J379" s="93"/>
      <c r="K379" s="93"/>
      <c r="L379" s="93"/>
      <c r="M379" s="93"/>
      <c r="N379" s="93"/>
      <c r="O379" s="93"/>
      <c r="R379" s="352"/>
      <c r="S379" s="364"/>
      <c r="T379" s="364"/>
      <c r="U379" s="353"/>
      <c r="V379" s="93"/>
    </row>
    <row r="380" spans="4:34" ht="15.75" customHeight="1" x14ac:dyDescent="0.15">
      <c r="D380" s="93"/>
      <c r="E380" s="367">
        <f>Z370</f>
        <v>6.5500000000000003E-3</v>
      </c>
      <c r="F380" s="367"/>
      <c r="G380" s="367"/>
      <c r="H380" s="109" t="s">
        <v>639</v>
      </c>
      <c r="I380" s="365">
        <f>AB17</f>
        <v>390</v>
      </c>
      <c r="J380" s="365"/>
      <c r="K380" s="354" t="s">
        <v>647</v>
      </c>
      <c r="L380" s="355">
        <f>Y377</f>
        <v>24</v>
      </c>
      <c r="M380" s="355"/>
      <c r="N380" s="355"/>
      <c r="O380" s="366">
        <f>S378</f>
        <v>1.3</v>
      </c>
      <c r="P380" s="366"/>
      <c r="Q380" s="104" t="s">
        <v>640</v>
      </c>
      <c r="R380" s="97" t="s">
        <v>631</v>
      </c>
      <c r="S380" s="375">
        <f>ROUND(E380*I380/(L380/O380),3)</f>
        <v>0.13800000000000001</v>
      </c>
      <c r="T380" s="375"/>
      <c r="U380" s="375"/>
      <c r="V380" s="97" t="str">
        <f>IF(S380&gt;W380,"＞","≦")</f>
        <v>＞</v>
      </c>
      <c r="W380" s="356">
        <v>0.1</v>
      </c>
      <c r="X380" s="356"/>
      <c r="Y380" s="104"/>
      <c r="Z380" s="104"/>
      <c r="AA380" s="104"/>
      <c r="AB380" s="104"/>
      <c r="AH380" s="93"/>
    </row>
    <row r="381" spans="4:34" s="320" customFormat="1" ht="15.75" customHeight="1" x14ac:dyDescent="0.15">
      <c r="D381" s="331"/>
      <c r="E381" s="368"/>
      <c r="F381" s="368"/>
      <c r="G381" s="368"/>
      <c r="H381" s="323"/>
      <c r="I381" s="369"/>
      <c r="J381" s="369"/>
      <c r="K381" s="370"/>
      <c r="L381" s="371"/>
      <c r="M381" s="371"/>
      <c r="N381" s="371"/>
      <c r="O381" s="372"/>
      <c r="P381" s="372"/>
      <c r="Q381" s="330"/>
      <c r="R381" s="326"/>
      <c r="S381" s="373"/>
      <c r="T381" s="373"/>
      <c r="U381" s="373"/>
      <c r="V381" s="326"/>
      <c r="W381" s="374"/>
      <c r="X381" s="374"/>
      <c r="Y381" s="330"/>
      <c r="Z381" s="330"/>
      <c r="AA381" s="330"/>
      <c r="AB381" s="330"/>
      <c r="AH381" s="331"/>
    </row>
  </sheetData>
  <mergeCells count="428">
    <mergeCell ref="I380:J380"/>
    <mergeCell ref="W380:X380"/>
    <mergeCell ref="L380:N380"/>
    <mergeCell ref="O380:P380"/>
    <mergeCell ref="S380:U380"/>
    <mergeCell ref="E380:G380"/>
    <mergeCell ref="G367:H367"/>
    <mergeCell ref="J367:K367"/>
    <mergeCell ref="M367:N367"/>
    <mergeCell ref="S370:T370"/>
    <mergeCell ref="Z370:AB370"/>
    <mergeCell ref="S378:T378"/>
    <mergeCell ref="K370:M370"/>
    <mergeCell ref="O370:Q370"/>
    <mergeCell ref="W370:X370"/>
    <mergeCell ref="O376:R376"/>
    <mergeCell ref="Y377:Z377"/>
    <mergeCell ref="T376:V376"/>
    <mergeCell ref="AS19:AT19"/>
    <mergeCell ref="X359:Z359"/>
    <mergeCell ref="K360:M360"/>
    <mergeCell ref="AL313:AN313"/>
    <mergeCell ref="N360:O360"/>
    <mergeCell ref="P360:R360"/>
    <mergeCell ref="AA360:AD360"/>
    <mergeCell ref="E362:G362"/>
    <mergeCell ref="P362:R362"/>
    <mergeCell ref="T362:V362"/>
    <mergeCell ref="X360:Y360"/>
    <mergeCell ref="L362:N362"/>
    <mergeCell ref="X362:Z362"/>
    <mergeCell ref="E356:G356"/>
    <mergeCell ref="M356:O356"/>
    <mergeCell ref="T359:V359"/>
    <mergeCell ref="T360:U360"/>
    <mergeCell ref="I362:J362"/>
    <mergeCell ref="L313:N313"/>
    <mergeCell ref="I314:K314"/>
    <mergeCell ref="M314:N314"/>
    <mergeCell ref="O313:O314"/>
    <mergeCell ref="F313:F314"/>
    <mergeCell ref="G313:G314"/>
    <mergeCell ref="H313:H314"/>
    <mergeCell ref="I313:J313"/>
    <mergeCell ref="K311:L311"/>
    <mergeCell ref="N311:O311"/>
    <mergeCell ref="Q356:R356"/>
    <mergeCell ref="U270:V270"/>
    <mergeCell ref="X270:Y270"/>
    <mergeCell ref="AA270:AB270"/>
    <mergeCell ref="R269:S271"/>
    <mergeCell ref="U271:V271"/>
    <mergeCell ref="X271:Y271"/>
    <mergeCell ref="AA271:AB271"/>
    <mergeCell ref="S313:U313"/>
    <mergeCell ref="P314:R314"/>
    <mergeCell ref="T314:U314"/>
    <mergeCell ref="Q311:R311"/>
    <mergeCell ref="U265:V265"/>
    <mergeCell ref="X265:Y265"/>
    <mergeCell ref="K268:S268"/>
    <mergeCell ref="F268:J268"/>
    <mergeCell ref="U269:V269"/>
    <mergeCell ref="K269:Q271"/>
    <mergeCell ref="F269:J271"/>
    <mergeCell ref="T268:AC268"/>
    <mergeCell ref="K234:L234"/>
    <mergeCell ref="R234:S234"/>
    <mergeCell ref="U234:W234"/>
    <mergeCell ref="Y234:AA234"/>
    <mergeCell ref="R262:S262"/>
    <mergeCell ref="R263:S263"/>
    <mergeCell ref="R264:S264"/>
    <mergeCell ref="U264:V264"/>
    <mergeCell ref="X264:Y264"/>
    <mergeCell ref="F267:AC267"/>
    <mergeCell ref="G232:G233"/>
    <mergeCell ref="R261:S261"/>
    <mergeCell ref="R233:S233"/>
    <mergeCell ref="U233:V233"/>
    <mergeCell ref="X233:Z233"/>
    <mergeCell ref="AB233:AD233"/>
    <mergeCell ref="V232:X232"/>
    <mergeCell ref="AK232:AM232"/>
    <mergeCell ref="AK233:AM233"/>
    <mergeCell ref="H232:I233"/>
    <mergeCell ref="J232:J233"/>
    <mergeCell ref="K232:M232"/>
    <mergeCell ref="K233:P233"/>
    <mergeCell ref="Q232:Q233"/>
    <mergeCell ref="AC219:AE219"/>
    <mergeCell ref="AD220:AE220"/>
    <mergeCell ref="AG220:AI220"/>
    <mergeCell ref="O221:Q221"/>
    <mergeCell ref="V230:W230"/>
    <mergeCell ref="AA230:AC230"/>
    <mergeCell ref="X228:Z228"/>
    <mergeCell ref="X229:Z229"/>
    <mergeCell ref="R219:S219"/>
    <mergeCell ref="U219:W219"/>
    <mergeCell ref="Z219:AA219"/>
    <mergeCell ref="S227:V227"/>
    <mergeCell ref="Z227:AA227"/>
    <mergeCell ref="AC227:AD227"/>
    <mergeCell ref="W227:X227"/>
    <mergeCell ref="AC226:AF226"/>
    <mergeCell ref="AB222:AC222"/>
    <mergeCell ref="AE222:AF222"/>
    <mergeCell ref="Y224:Z224"/>
    <mergeCell ref="Y223:Z223"/>
    <mergeCell ref="N226:Q226"/>
    <mergeCell ref="T226:V226"/>
    <mergeCell ref="X226:Z226"/>
    <mergeCell ref="G210:G211"/>
    <mergeCell ref="E210:F211"/>
    <mergeCell ref="Z214:AB214"/>
    <mergeCell ref="AE214:AH214"/>
    <mergeCell ref="S215:V215"/>
    <mergeCell ref="AA216:AC216"/>
    <mergeCell ref="AG216:AI216"/>
    <mergeCell ref="AC119:AI119"/>
    <mergeCell ref="K211:P211"/>
    <mergeCell ref="K210:P210"/>
    <mergeCell ref="J210:J211"/>
    <mergeCell ref="H210:I210"/>
    <mergeCell ref="H211:I211"/>
    <mergeCell ref="G196:I196"/>
    <mergeCell ref="S183:U183"/>
    <mergeCell ref="S180:S181"/>
    <mergeCell ref="P180:R180"/>
    <mergeCell ref="X180:Z181"/>
    <mergeCell ref="W180:W181"/>
    <mergeCell ref="U180:V181"/>
    <mergeCell ref="G186:J186"/>
    <mergeCell ref="L186:O186"/>
    <mergeCell ref="R186:T186"/>
    <mergeCell ref="V186:X186"/>
    <mergeCell ref="AL6:AO6"/>
    <mergeCell ref="H15:K15"/>
    <mergeCell ref="AN18:AP18"/>
    <mergeCell ref="AN19:AP19"/>
    <mergeCell ref="V62:Z62"/>
    <mergeCell ref="AC85:AG85"/>
    <mergeCell ref="AA64:AD64"/>
    <mergeCell ref="Q328:S328"/>
    <mergeCell ref="U328:V328"/>
    <mergeCell ref="X328:Z328"/>
    <mergeCell ref="Q326:S326"/>
    <mergeCell ref="U326:V326"/>
    <mergeCell ref="X326:Z326"/>
    <mergeCell ref="Q327:S327"/>
    <mergeCell ref="U327:V327"/>
    <mergeCell ref="X327:Z327"/>
    <mergeCell ref="H315:J315"/>
    <mergeCell ref="M315:O315"/>
    <mergeCell ref="R315:S315"/>
    <mergeCell ref="T315:U315"/>
    <mergeCell ref="V313:V314"/>
    <mergeCell ref="W313:W314"/>
    <mergeCell ref="X313:Y314"/>
    <mergeCell ref="P313:Q313"/>
    <mergeCell ref="S311:T311"/>
    <mergeCell ref="Z126:AA126"/>
    <mergeCell ref="AB126:AC126"/>
    <mergeCell ref="P181:R181"/>
    <mergeCell ref="AA186:AB186"/>
    <mergeCell ref="L187:N187"/>
    <mergeCell ref="Q187:S187"/>
    <mergeCell ref="Z121:AA122"/>
    <mergeCell ref="K310:L310"/>
    <mergeCell ref="N310:O310"/>
    <mergeCell ref="Q310:R310"/>
    <mergeCell ref="S310:T310"/>
    <mergeCell ref="N124:Q124"/>
    <mergeCell ref="S124:V124"/>
    <mergeCell ref="N121:Q121"/>
    <mergeCell ref="Y222:Z222"/>
    <mergeCell ref="R265:S265"/>
    <mergeCell ref="L196:N196"/>
    <mergeCell ref="Q196:R196"/>
    <mergeCell ref="S196:T196"/>
    <mergeCell ref="V187:W187"/>
    <mergeCell ref="X187:Y187"/>
    <mergeCell ref="O180:O181"/>
    <mergeCell ref="O183:Q183"/>
    <mergeCell ref="O119:Q119"/>
    <mergeCell ref="S119:T119"/>
    <mergeCell ref="K121:L121"/>
    <mergeCell ref="V121:Y122"/>
    <mergeCell ref="U121:U122"/>
    <mergeCell ref="J116:K116"/>
    <mergeCell ref="J118:K118"/>
    <mergeCell ref="T118:U118"/>
    <mergeCell ref="O118:R118"/>
    <mergeCell ref="V119:X119"/>
    <mergeCell ref="O122:Q122"/>
    <mergeCell ref="AF92:AG92"/>
    <mergeCell ref="Y112:Z112"/>
    <mergeCell ref="J113:K113"/>
    <mergeCell ref="X113:Y113"/>
    <mergeCell ref="J111:K111"/>
    <mergeCell ref="M112:N112"/>
    <mergeCell ref="P112:Q112"/>
    <mergeCell ref="S112:T112"/>
    <mergeCell ref="G108:G109"/>
    <mergeCell ref="H109:O109"/>
    <mergeCell ref="H108:O108"/>
    <mergeCell ref="AD92:AE92"/>
    <mergeCell ref="W92:Z92"/>
    <mergeCell ref="J92:K92"/>
    <mergeCell ref="M92:P92"/>
    <mergeCell ref="T92:U92"/>
    <mergeCell ref="V112:W112"/>
    <mergeCell ref="V75:W75"/>
    <mergeCell ref="Y73:Z73"/>
    <mergeCell ref="F66:I67"/>
    <mergeCell ref="V68:X68"/>
    <mergeCell ref="L66:L67"/>
    <mergeCell ref="W67:X67"/>
    <mergeCell ref="J17:K17"/>
    <mergeCell ref="S18:V18"/>
    <mergeCell ref="Z18:AA18"/>
    <mergeCell ref="J75:K75"/>
    <mergeCell ref="N66:N67"/>
    <mergeCell ref="S20:U20"/>
    <mergeCell ref="S21:U21"/>
    <mergeCell ref="H25:J25"/>
    <mergeCell ref="M25:O25"/>
    <mergeCell ref="M24:P24"/>
    <mergeCell ref="R25:S25"/>
    <mergeCell ref="T25:U25"/>
    <mergeCell ref="R24:S24"/>
    <mergeCell ref="J20:K20"/>
    <mergeCell ref="J21:K21"/>
    <mergeCell ref="V72:W72"/>
    <mergeCell ref="J70:K70"/>
    <mergeCell ref="J68:K68"/>
    <mergeCell ref="J69:K69"/>
    <mergeCell ref="U17:X17"/>
    <mergeCell ref="AE73:AF73"/>
    <mergeCell ref="J74:K74"/>
    <mergeCell ref="M74:O74"/>
    <mergeCell ref="Q74:R74"/>
    <mergeCell ref="U74:V74"/>
    <mergeCell ref="Y74:AA74"/>
    <mergeCell ref="AB73:AC73"/>
    <mergeCell ref="O67:P67"/>
    <mergeCell ref="R67:S67"/>
    <mergeCell ref="J62:K62"/>
    <mergeCell ref="J63:K63"/>
    <mergeCell ref="J64:K64"/>
    <mergeCell ref="J66:K67"/>
    <mergeCell ref="M71:N71"/>
    <mergeCell ref="J72:K72"/>
    <mergeCell ref="J73:K73"/>
    <mergeCell ref="M66:M67"/>
    <mergeCell ref="AB17:AD17"/>
    <mergeCell ref="AK18:AM18"/>
    <mergeCell ref="V64:X64"/>
    <mergeCell ref="AK19:AM19"/>
    <mergeCell ref="V61:Y61"/>
    <mergeCell ref="V63:X63"/>
    <mergeCell ref="AC19:AD19"/>
    <mergeCell ref="F58:G59"/>
    <mergeCell ref="H58:H59"/>
    <mergeCell ref="I58:O58"/>
    <mergeCell ref="J61:K61"/>
    <mergeCell ref="H24:K24"/>
    <mergeCell ref="J22:K22"/>
    <mergeCell ref="S22:V22"/>
    <mergeCell ref="Z19:AA19"/>
    <mergeCell ref="AC18:AD18"/>
    <mergeCell ref="S19:V19"/>
    <mergeCell ref="L185:M185"/>
    <mergeCell ref="O185:P185"/>
    <mergeCell ref="S185:V185"/>
    <mergeCell ref="G180:G181"/>
    <mergeCell ref="H181:J181"/>
    <mergeCell ref="L181:N181"/>
    <mergeCell ref="G183:H183"/>
    <mergeCell ref="L183:M183"/>
    <mergeCell ref="I180:M180"/>
    <mergeCell ref="T180:T181"/>
    <mergeCell ref="AA180:AA181"/>
    <mergeCell ref="AF178:AG178"/>
    <mergeCell ref="AE178:AE179"/>
    <mergeCell ref="AF179:AG179"/>
    <mergeCell ref="P179:R179"/>
    <mergeCell ref="AB167:AD167"/>
    <mergeCell ref="N178:P178"/>
    <mergeCell ref="S178:S179"/>
    <mergeCell ref="T179:V179"/>
    <mergeCell ref="X179:Z179"/>
    <mergeCell ref="AB179:AC179"/>
    <mergeCell ref="U178:X178"/>
    <mergeCell ref="W173:X173"/>
    <mergeCell ref="X172:Y172"/>
    <mergeCell ref="W170:Y170"/>
    <mergeCell ref="E178:E179"/>
    <mergeCell ref="F178:F179"/>
    <mergeCell ref="G178:G179"/>
    <mergeCell ref="H178:J179"/>
    <mergeCell ref="I174:J174"/>
    <mergeCell ref="W174:X174"/>
    <mergeCell ref="K178:K179"/>
    <mergeCell ref="L179:N179"/>
    <mergeCell ref="AJ172:AL172"/>
    <mergeCell ref="I176:J176"/>
    <mergeCell ref="AD176:AE176"/>
    <mergeCell ref="AK176:AN176"/>
    <mergeCell ref="AD175:AG175"/>
    <mergeCell ref="I175:J175"/>
    <mergeCell ref="W175:X175"/>
    <mergeCell ref="Z175:AA175"/>
    <mergeCell ref="W176:Y176"/>
    <mergeCell ref="I173:J173"/>
    <mergeCell ref="AD178:AD179"/>
    <mergeCell ref="I171:J171"/>
    <mergeCell ref="L172:M172"/>
    <mergeCell ref="O172:P172"/>
    <mergeCell ref="R172:S172"/>
    <mergeCell ref="U172:V172"/>
    <mergeCell ref="I170:J170"/>
    <mergeCell ref="W168:Y168"/>
    <mergeCell ref="I169:J169"/>
    <mergeCell ref="W169:Y169"/>
    <mergeCell ref="I168:J168"/>
    <mergeCell ref="I167:J167"/>
    <mergeCell ref="V167:W167"/>
    <mergeCell ref="W165:W166"/>
    <mergeCell ref="U165:V165"/>
    <mergeCell ref="Y167:Z167"/>
    <mergeCell ref="I164:J164"/>
    <mergeCell ref="K165:K166"/>
    <mergeCell ref="L165:M165"/>
    <mergeCell ref="O165:P165"/>
    <mergeCell ref="M166:O166"/>
    <mergeCell ref="AB165:AD166"/>
    <mergeCell ref="AA165:AA166"/>
    <mergeCell ref="Z163:AA163"/>
    <mergeCell ref="X165:Z166"/>
    <mergeCell ref="S166:U166"/>
    <mergeCell ref="AD159:AE160"/>
    <mergeCell ref="I162:J162"/>
    <mergeCell ref="L162:M162"/>
    <mergeCell ref="O162:Q162"/>
    <mergeCell ref="Z159:Z160"/>
    <mergeCell ref="AA159:AB159"/>
    <mergeCell ref="AA160:AB160"/>
    <mergeCell ref="AC159:AC160"/>
    <mergeCell ref="U159:V159"/>
    <mergeCell ref="U160:V160"/>
    <mergeCell ref="W159:W160"/>
    <mergeCell ref="X159:Y159"/>
    <mergeCell ref="X160:Y160"/>
    <mergeCell ref="O159:O160"/>
    <mergeCell ref="P160:S160"/>
    <mergeCell ref="Q159:R159"/>
    <mergeCell ref="T159:T160"/>
    <mergeCell ref="Q165:Q166"/>
    <mergeCell ref="R165:S165"/>
    <mergeCell ref="E159:E160"/>
    <mergeCell ref="F159:F160"/>
    <mergeCell ref="G159:G160"/>
    <mergeCell ref="H159:H160"/>
    <mergeCell ref="J77:K77"/>
    <mergeCell ref="M78:P78"/>
    <mergeCell ref="J85:K86"/>
    <mergeCell ref="J82:K82"/>
    <mergeCell ref="M82:N82"/>
    <mergeCell ref="I83:J83"/>
    <mergeCell ref="J80:K81"/>
    <mergeCell ref="L80:L81"/>
    <mergeCell ref="I80:I81"/>
    <mergeCell ref="M80:M81"/>
    <mergeCell ref="N80:N81"/>
    <mergeCell ref="O81:P81"/>
    <mergeCell ref="L83:M83"/>
    <mergeCell ref="L85:L86"/>
    <mergeCell ref="N85:O85"/>
    <mergeCell ref="F108:F109"/>
    <mergeCell ref="F121:F122"/>
    <mergeCell ref="J126:M126"/>
    <mergeCell ref="J124:L124"/>
    <mergeCell ref="G121:G122"/>
    <mergeCell ref="R78:S78"/>
    <mergeCell ref="U78:V78"/>
    <mergeCell ref="Y78:Z78"/>
    <mergeCell ref="J79:K79"/>
    <mergeCell ref="M79:N79"/>
    <mergeCell ref="P79:R79"/>
    <mergeCell ref="T79:U79"/>
    <mergeCell ref="W79:X79"/>
    <mergeCell ref="AA79:AB79"/>
    <mergeCell ref="R81:S81"/>
    <mergeCell ref="V81:X81"/>
    <mergeCell ref="Z81:AA81"/>
    <mergeCell ref="U80:V80"/>
    <mergeCell ref="AC80:AC81"/>
    <mergeCell ref="AD80:AE81"/>
    <mergeCell ref="O83:P83"/>
    <mergeCell ref="R83:S83"/>
    <mergeCell ref="U83:V83"/>
    <mergeCell ref="X83:Y83"/>
    <mergeCell ref="L163:M163"/>
    <mergeCell ref="O163:Q163"/>
    <mergeCell ref="I159:I160"/>
    <mergeCell ref="J160:K160"/>
    <mergeCell ref="M160:N160"/>
    <mergeCell ref="K159:M159"/>
    <mergeCell ref="Q85:S85"/>
    <mergeCell ref="W85:Z85"/>
    <mergeCell ref="U86:X86"/>
    <mergeCell ref="M87:P87"/>
    <mergeCell ref="T87:W87"/>
    <mergeCell ref="J91:K91"/>
    <mergeCell ref="M91:N91"/>
    <mergeCell ref="R91:S91"/>
    <mergeCell ref="U91:V91"/>
    <mergeCell ref="S163:T163"/>
    <mergeCell ref="V163:X163"/>
    <mergeCell ref="Q126:R126"/>
    <mergeCell ref="T126:W126"/>
    <mergeCell ref="Z119:AB119"/>
    <mergeCell ref="H122:J122"/>
    <mergeCell ref="L122:M122"/>
    <mergeCell ref="S122:T122"/>
    <mergeCell ref="H121:I121"/>
  </mergeCells>
  <phoneticPr fontId="3"/>
  <printOptions horizontalCentered="1"/>
  <pageMargins left="0.98425196850393704" right="0.59055118110236227" top="0.78740157480314965" bottom="0.59055118110236227" header="0.51181102362204722" footer="0.51181102362204722"/>
  <pageSetup paperSize="9" orientation="portrait" blackAndWhite="1" r:id="rId1"/>
  <headerFooter alignWithMargins="0"/>
  <rowBreaks count="7" manualBreakCount="7">
    <brk id="50" max="34" man="1"/>
    <brk id="100" max="34" man="1"/>
    <brk id="150" max="34" man="1"/>
    <brk id="200" max="34" man="1"/>
    <brk id="250" max="34" man="1"/>
    <brk id="300" max="34" man="1"/>
    <brk id="350" max="34" man="1"/>
  </rowBreaks>
  <colBreaks count="1" manualBreakCount="1">
    <brk id="35" max="49" man="1"/>
  </colBreak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48114-5CD9-4837-8308-3F0F2992B4BB}">
  <sheetPr codeName="Sheet16"/>
  <dimension ref="A1:AQ310"/>
  <sheetViews>
    <sheetView view="pageBreakPreview" zoomScale="115" zoomScaleNormal="100" zoomScaleSheetLayoutView="115" workbookViewId="0">
      <selection activeCell="P209" sqref="P209"/>
    </sheetView>
  </sheetViews>
  <sheetFormatPr defaultColWidth="2.7109375" defaultRowHeight="15.75" customHeight="1" x14ac:dyDescent="0.15"/>
  <cols>
    <col min="1" max="16384" width="2.7109375" style="27"/>
  </cols>
  <sheetData>
    <row r="1" spans="2:43" ht="15.75" customHeight="1" x14ac:dyDescent="0.15">
      <c r="AL1" s="27">
        <v>13</v>
      </c>
      <c r="AM1" s="27">
        <v>126.7</v>
      </c>
      <c r="AO1" s="27">
        <v>1</v>
      </c>
      <c r="AP1" s="27">
        <v>18</v>
      </c>
      <c r="AQ1" s="27">
        <v>22</v>
      </c>
    </row>
    <row r="2" spans="2:43" ht="15.75" customHeight="1" x14ac:dyDescent="0.15">
      <c r="B2" t="s">
        <v>674</v>
      </c>
      <c r="AL2" s="27">
        <v>16</v>
      </c>
      <c r="AM2" s="27">
        <v>198.6</v>
      </c>
      <c r="AO2" s="27">
        <v>2</v>
      </c>
      <c r="AP2" s="27">
        <v>24</v>
      </c>
      <c r="AQ2" s="27">
        <v>25</v>
      </c>
    </row>
    <row r="3" spans="2:43" ht="15.75" customHeight="1" x14ac:dyDescent="0.15">
      <c r="B3"/>
      <c r="AL3" s="27">
        <v>19</v>
      </c>
      <c r="AM3" s="27">
        <v>286.5</v>
      </c>
      <c r="AO3" s="27">
        <v>3</v>
      </c>
      <c r="AP3" s="27">
        <v>30</v>
      </c>
      <c r="AQ3" s="27">
        <v>28</v>
      </c>
    </row>
    <row r="4" spans="2:43" ht="15.75" customHeight="1" x14ac:dyDescent="0.15">
      <c r="C4" t="s">
        <v>554</v>
      </c>
      <c r="AL4" s="27">
        <v>22</v>
      </c>
      <c r="AM4" s="27">
        <v>387.1</v>
      </c>
      <c r="AO4" s="27">
        <v>4</v>
      </c>
      <c r="AP4" s="27">
        <v>40</v>
      </c>
      <c r="AQ4" s="27">
        <v>31</v>
      </c>
    </row>
    <row r="5" spans="2:43" ht="15.75" customHeight="1" x14ac:dyDescent="0.15">
      <c r="AL5" s="27">
        <v>25</v>
      </c>
      <c r="AM5" s="27">
        <v>506.7</v>
      </c>
      <c r="AO5" s="27">
        <v>5</v>
      </c>
      <c r="AP5" s="27">
        <v>50</v>
      </c>
      <c r="AQ5" s="27">
        <v>33</v>
      </c>
    </row>
    <row r="6" spans="2:43" ht="15.75" customHeight="1" x14ac:dyDescent="0.15">
      <c r="D6" s="27" t="s">
        <v>360</v>
      </c>
      <c r="AL6" s="27">
        <v>29</v>
      </c>
      <c r="AM6" s="27">
        <v>642.4</v>
      </c>
      <c r="AO6" s="27">
        <v>6</v>
      </c>
      <c r="AP6" s="27">
        <v>60</v>
      </c>
      <c r="AQ6" s="27">
        <v>35</v>
      </c>
    </row>
    <row r="7" spans="2:43" ht="15.75" customHeight="1" x14ac:dyDescent="0.15">
      <c r="AL7" s="27">
        <v>32</v>
      </c>
      <c r="AM7" s="27">
        <v>794.2</v>
      </c>
      <c r="AO7" s="27">
        <v>7</v>
      </c>
      <c r="AP7" s="27">
        <v>70</v>
      </c>
      <c r="AQ7" s="27">
        <v>37</v>
      </c>
    </row>
    <row r="8" spans="2:43" ht="15.75" customHeight="1" x14ac:dyDescent="0.15">
      <c r="E8" s="27" t="s">
        <v>57</v>
      </c>
      <c r="AL8" s="27">
        <v>35</v>
      </c>
      <c r="AM8" s="27">
        <v>956.6</v>
      </c>
      <c r="AO8" s="27">
        <v>8</v>
      </c>
      <c r="AP8" s="27">
        <v>80</v>
      </c>
      <c r="AQ8" s="27">
        <v>38</v>
      </c>
    </row>
    <row r="9" spans="2:43" ht="15.75" customHeight="1" x14ac:dyDescent="0.15">
      <c r="E9" s="27" t="s">
        <v>58</v>
      </c>
      <c r="AL9" s="27">
        <v>38</v>
      </c>
      <c r="AM9" s="27">
        <v>1140</v>
      </c>
    </row>
    <row r="10" spans="2:43" ht="15.75" customHeight="1" x14ac:dyDescent="0.15">
      <c r="AL10" s="27">
        <v>41</v>
      </c>
      <c r="AM10" s="27">
        <v>1340</v>
      </c>
    </row>
    <row r="11" spans="2:43" ht="15.75" customHeight="1" x14ac:dyDescent="0.15">
      <c r="F11" s="124" t="s">
        <v>59</v>
      </c>
      <c r="G11" s="124"/>
      <c r="H11" s="116" t="s">
        <v>60</v>
      </c>
      <c r="I11" s="124" t="s">
        <v>61</v>
      </c>
      <c r="J11" s="124"/>
      <c r="K11" s="124"/>
      <c r="L11" s="124"/>
      <c r="M11" s="124"/>
      <c r="N11" s="124"/>
      <c r="O11" s="124"/>
      <c r="AL11" s="27">
        <v>51</v>
      </c>
      <c r="AM11" s="27">
        <v>2027</v>
      </c>
    </row>
    <row r="12" spans="2:43" ht="15.75" customHeight="1" x14ac:dyDescent="0.15">
      <c r="F12" s="124"/>
      <c r="G12" s="124"/>
      <c r="H12" s="116"/>
      <c r="L12" s="31" t="s">
        <v>62</v>
      </c>
    </row>
    <row r="14" spans="2:43" ht="15.75" customHeight="1" x14ac:dyDescent="0.15">
      <c r="G14"/>
      <c r="I14" s="33" t="s">
        <v>63</v>
      </c>
      <c r="J14" s="116" t="s">
        <v>64</v>
      </c>
      <c r="K14" s="116"/>
      <c r="L14" s="32" t="s">
        <v>65</v>
      </c>
      <c r="M14" s="27" t="s">
        <v>66</v>
      </c>
      <c r="T14" s="31" t="s">
        <v>67</v>
      </c>
      <c r="U14" s="31" t="s">
        <v>60</v>
      </c>
      <c r="V14" s="150" t="e">
        <f>#REF!</f>
        <v>#REF!</v>
      </c>
      <c r="W14" s="150"/>
      <c r="X14" s="150"/>
      <c r="Y14" s="150"/>
      <c r="Z14" s="34" t="s">
        <v>68</v>
      </c>
      <c r="AA14" s="31"/>
      <c r="AJ14" s="31" t="s">
        <v>69</v>
      </c>
      <c r="AK14" s="119">
        <f>'Myd（躯体最小）上端'!P14</f>
        <v>1700</v>
      </c>
      <c r="AL14" s="119"/>
      <c r="AM14" s="119"/>
    </row>
    <row r="15" spans="2:43" ht="15.75" customHeight="1" x14ac:dyDescent="0.15">
      <c r="J15" s="116" t="s">
        <v>70</v>
      </c>
      <c r="K15" s="116"/>
      <c r="L15" s="32" t="s">
        <v>65</v>
      </c>
      <c r="M15" s="27" t="s">
        <v>71</v>
      </c>
      <c r="T15" s="31" t="s">
        <v>72</v>
      </c>
      <c r="U15" s="31" t="s">
        <v>52</v>
      </c>
      <c r="V15" s="395">
        <f>ROUND(AK14*AK15^3/12,0)</f>
        <v>8664756066667</v>
      </c>
      <c r="W15" s="395"/>
      <c r="X15" s="395"/>
      <c r="Y15" s="395"/>
      <c r="Z15" s="395"/>
      <c r="AA15" s="395"/>
      <c r="AB15" s="34" t="s">
        <v>73</v>
      </c>
      <c r="AC15" s="31"/>
      <c r="AJ15" s="31" t="s">
        <v>74</v>
      </c>
      <c r="AK15" s="119">
        <f>'Myd（躯体最小）上端'!P16</f>
        <v>3940</v>
      </c>
      <c r="AL15" s="119"/>
      <c r="AM15" s="119"/>
    </row>
    <row r="16" spans="2:43" ht="15.75" customHeight="1" x14ac:dyDescent="0.15">
      <c r="J16" s="116" t="s">
        <v>75</v>
      </c>
      <c r="K16" s="116"/>
      <c r="L16" s="32" t="s">
        <v>76</v>
      </c>
      <c r="M16" s="27" t="s">
        <v>77</v>
      </c>
      <c r="T16" s="31" t="s">
        <v>78</v>
      </c>
      <c r="U16" s="31" t="s">
        <v>79</v>
      </c>
      <c r="V16" s="141">
        <f>AK15/2</f>
        <v>1970</v>
      </c>
      <c r="W16" s="141"/>
      <c r="X16" s="141"/>
      <c r="Y16" s="27" t="s">
        <v>80</v>
      </c>
      <c r="Z16" s="31" t="s">
        <v>81</v>
      </c>
    </row>
    <row r="17" spans="6:42" ht="15.75" customHeight="1" x14ac:dyDescent="0.15">
      <c r="J17" s="116" t="s">
        <v>33</v>
      </c>
      <c r="K17" s="116"/>
      <c r="L17" s="32" t="s">
        <v>82</v>
      </c>
      <c r="M17" t="s">
        <v>83</v>
      </c>
      <c r="T17" s="31" t="s">
        <v>84</v>
      </c>
      <c r="U17" s="31" t="s">
        <v>85</v>
      </c>
      <c r="V17" s="149">
        <v>7618.8</v>
      </c>
      <c r="W17" s="149"/>
      <c r="X17" s="149"/>
      <c r="Y17" s="27" t="s">
        <v>86</v>
      </c>
      <c r="Z17" s="31" t="s">
        <v>472</v>
      </c>
      <c r="AA17" s="124" t="s">
        <v>473</v>
      </c>
      <c r="AB17" s="124"/>
      <c r="AC17" s="124"/>
      <c r="AD17" s="124"/>
      <c r="AE17" s="31" t="s">
        <v>474</v>
      </c>
    </row>
    <row r="18" spans="6:42" ht="15.75" customHeight="1" x14ac:dyDescent="0.15">
      <c r="J18" s="27" t="s">
        <v>88</v>
      </c>
      <c r="U18" t="s">
        <v>556</v>
      </c>
    </row>
    <row r="19" spans="6:42" ht="15.75" customHeight="1" x14ac:dyDescent="0.15">
      <c r="F19" s="156" t="s">
        <v>63</v>
      </c>
      <c r="G19" s="156"/>
      <c r="H19" s="156"/>
      <c r="I19" s="156"/>
      <c r="J19" s="116" t="s">
        <v>89</v>
      </c>
      <c r="K19" s="116"/>
      <c r="L19" s="116" t="s">
        <v>60</v>
      </c>
      <c r="M19" s="124">
        <v>1</v>
      </c>
      <c r="N19" s="124" t="s">
        <v>90</v>
      </c>
      <c r="O19"/>
      <c r="T19" s="32">
        <v>1</v>
      </c>
      <c r="U19" s="32"/>
    </row>
    <row r="20" spans="6:42" ht="15.75" customHeight="1" x14ac:dyDescent="0.15">
      <c r="F20" s="156"/>
      <c r="G20" s="156"/>
      <c r="H20" s="156"/>
      <c r="I20" s="156"/>
      <c r="J20" s="116"/>
      <c r="K20" s="116"/>
      <c r="L20" s="116"/>
      <c r="M20" s="124"/>
      <c r="N20" s="124"/>
      <c r="O20" s="114">
        <v>0.85</v>
      </c>
      <c r="P20" s="114"/>
      <c r="Q20" s="35" t="s">
        <v>90</v>
      </c>
      <c r="R20" s="155">
        <v>4.5</v>
      </c>
      <c r="S20" s="155"/>
      <c r="T20" s="31" t="s">
        <v>67</v>
      </c>
      <c r="U20" s="31" t="s">
        <v>91</v>
      </c>
      <c r="V20" s="36" t="s">
        <v>92</v>
      </c>
      <c r="W20" s="124" t="s">
        <v>93</v>
      </c>
      <c r="X20" s="124"/>
      <c r="Y20" s="31" t="s">
        <v>94</v>
      </c>
    </row>
    <row r="21" spans="6:42" ht="15.75" customHeight="1" x14ac:dyDescent="0.15">
      <c r="J21" s="116" t="s">
        <v>91</v>
      </c>
      <c r="K21" s="116"/>
      <c r="L21" s="32" t="s">
        <v>65</v>
      </c>
      <c r="M21" s="27" t="s">
        <v>95</v>
      </c>
      <c r="T21" s="31" t="s">
        <v>72</v>
      </c>
      <c r="U21" s="31" t="s">
        <v>52</v>
      </c>
      <c r="V21" s="141">
        <f>AK15</f>
        <v>3940</v>
      </c>
      <c r="W21" s="141"/>
      <c r="X21" s="141"/>
      <c r="Y21" s="27" t="s">
        <v>96</v>
      </c>
      <c r="Z21" s="31" t="s">
        <v>97</v>
      </c>
    </row>
    <row r="22" spans="6:42" ht="15.75" customHeight="1" x14ac:dyDescent="0.15">
      <c r="J22" s="124" t="s">
        <v>98</v>
      </c>
      <c r="K22" s="124"/>
      <c r="L22" s="32" t="s">
        <v>76</v>
      </c>
      <c r="M22" s="27" t="s">
        <v>99</v>
      </c>
      <c r="T22" s="31" t="s">
        <v>72</v>
      </c>
      <c r="U22" s="31" t="s">
        <v>52</v>
      </c>
      <c r="V22" s="34" t="s">
        <v>100</v>
      </c>
      <c r="AB22" s="31" t="s">
        <v>97</v>
      </c>
    </row>
    <row r="23" spans="6:42" ht="15.75" customHeight="1" x14ac:dyDescent="0.15">
      <c r="I23" s="33" t="s">
        <v>101</v>
      </c>
      <c r="J23" s="124" t="s">
        <v>102</v>
      </c>
      <c r="K23" s="124"/>
      <c r="L23" s="32" t="s">
        <v>76</v>
      </c>
      <c r="M23" s="27" t="s">
        <v>103</v>
      </c>
    </row>
    <row r="24" spans="6:42" ht="15.75" customHeight="1" x14ac:dyDescent="0.15">
      <c r="M24" s="124" t="s">
        <v>102</v>
      </c>
      <c r="N24" s="124"/>
      <c r="O24" s="31" t="s">
        <v>52</v>
      </c>
      <c r="P24" s="34" t="s">
        <v>104</v>
      </c>
      <c r="X24" t="s">
        <v>557</v>
      </c>
    </row>
    <row r="25" spans="6:42" ht="15.75" customHeight="1" x14ac:dyDescent="0.15">
      <c r="J25" s="124" t="s">
        <v>105</v>
      </c>
      <c r="K25" s="124"/>
      <c r="L25" s="32" t="s">
        <v>65</v>
      </c>
      <c r="M25" s="27" t="s">
        <v>106</v>
      </c>
      <c r="T25" s="31" t="s">
        <v>107</v>
      </c>
      <c r="U25" s="31" t="s">
        <v>53</v>
      </c>
      <c r="V25" s="124">
        <f>'躯体（線路）'!V72</f>
        <v>25</v>
      </c>
      <c r="W25" s="124"/>
      <c r="X25" s="27" t="s">
        <v>108</v>
      </c>
      <c r="Y25" s="31" t="s">
        <v>109</v>
      </c>
    </row>
    <row r="26" spans="6:42" ht="15.75" customHeight="1" x14ac:dyDescent="0.15">
      <c r="J26" s="116" t="s">
        <v>110</v>
      </c>
      <c r="K26" s="116"/>
      <c r="L26" s="32" t="s">
        <v>111</v>
      </c>
      <c r="M26" s="27" t="s">
        <v>112</v>
      </c>
      <c r="W26" s="31" t="s">
        <v>113</v>
      </c>
      <c r="X26" s="31" t="s">
        <v>50</v>
      </c>
      <c r="Y26" s="119">
        <f>'躯体（線路）'!Y73</f>
        <v>24</v>
      </c>
      <c r="Z26" s="119"/>
      <c r="AA26" s="31" t="s">
        <v>114</v>
      </c>
      <c r="AB26" s="119">
        <f>'躯体（線路）'!AB73</f>
        <v>1.3</v>
      </c>
      <c r="AC26" s="119"/>
      <c r="AD26" s="31" t="s">
        <v>50</v>
      </c>
      <c r="AE26" s="119">
        <f>Y26*AB26</f>
        <v>31.200000000000003</v>
      </c>
      <c r="AF26" s="119"/>
      <c r="AG26" s="34" t="s">
        <v>51</v>
      </c>
      <c r="AI26" s="31" t="s">
        <v>115</v>
      </c>
      <c r="AJ26" s="31">
        <f>MATCH(AE26,AP1:AP8,1)</f>
        <v>3</v>
      </c>
      <c r="AK26" s="27">
        <f>VLOOKUP(AJ26,AO1:AQ8,2,FALSE)</f>
        <v>30</v>
      </c>
      <c r="AL26" s="31">
        <f>VLOOKUP(AJ26,AO1:AQ8,3,FALSE)</f>
        <v>28</v>
      </c>
      <c r="AM26" s="31"/>
      <c r="AN26" s="31"/>
      <c r="AO26" s="31"/>
      <c r="AP26" s="31"/>
    </row>
    <row r="27" spans="6:42" ht="15.75" customHeight="1" x14ac:dyDescent="0.15">
      <c r="I27" s="31" t="s">
        <v>116</v>
      </c>
      <c r="J27" s="124" t="s">
        <v>117</v>
      </c>
      <c r="K27" s="124"/>
      <c r="L27" s="31" t="s">
        <v>50</v>
      </c>
      <c r="M27" s="396" t="s">
        <v>118</v>
      </c>
      <c r="N27" s="396"/>
      <c r="O27" s="396"/>
      <c r="P27" s="31" t="s">
        <v>114</v>
      </c>
      <c r="Q27" s="124">
        <f>V25</f>
        <v>25</v>
      </c>
      <c r="R27" s="124"/>
      <c r="S27" s="397" t="s">
        <v>119</v>
      </c>
      <c r="T27" s="31" t="s">
        <v>114</v>
      </c>
      <c r="U27" s="119">
        <f>AE26</f>
        <v>31.200000000000003</v>
      </c>
      <c r="V27" s="119"/>
      <c r="W27" s="397" t="s">
        <v>119</v>
      </c>
      <c r="X27" s="31" t="s">
        <v>50</v>
      </c>
      <c r="Y27" s="128">
        <f>(1/100)*Q27^(1/3)*U27^(1/3)</f>
        <v>9.2051640825158862E-2</v>
      </c>
      <c r="Z27" s="128"/>
      <c r="AA27" s="128"/>
      <c r="AJ27" s="31">
        <f>AJ26+1</f>
        <v>4</v>
      </c>
      <c r="AK27" s="27">
        <f>VLOOKUP(AJ27,AO1:AQ8,2,FALSE)</f>
        <v>40</v>
      </c>
      <c r="AL27" s="27">
        <f>VLOOKUP(AJ27,AO1:AQ8,3,FALSE)</f>
        <v>31</v>
      </c>
    </row>
    <row r="28" spans="6:42" ht="15.75" customHeight="1" x14ac:dyDescent="0.15">
      <c r="J28" s="124" t="s">
        <v>120</v>
      </c>
      <c r="K28" s="124"/>
      <c r="L28" s="32" t="s">
        <v>121</v>
      </c>
      <c r="M28" s="27" t="s">
        <v>122</v>
      </c>
      <c r="T28" s="31" t="s">
        <v>123</v>
      </c>
      <c r="U28" s="31" t="s">
        <v>124</v>
      </c>
      <c r="V28" s="129">
        <f>(((AL27-AL26)/(AK27-AK26))*(AE26-AK26))+AL26</f>
        <v>28.36</v>
      </c>
      <c r="W28" s="129"/>
      <c r="X28" s="38" t="s">
        <v>125</v>
      </c>
      <c r="AA28" s="31" t="s">
        <v>126</v>
      </c>
    </row>
    <row r="29" spans="6:42" ht="15.75" customHeight="1" x14ac:dyDescent="0.15">
      <c r="F29" s="33"/>
      <c r="G29" s="33"/>
      <c r="H29" s="33"/>
      <c r="I29" s="33"/>
      <c r="J29" s="116" t="s">
        <v>127</v>
      </c>
      <c r="K29" s="116"/>
      <c r="L29" s="32" t="s">
        <v>128</v>
      </c>
      <c r="M29" s="27" t="s">
        <v>129</v>
      </c>
    </row>
    <row r="30" spans="6:42" ht="15.75" customHeight="1" x14ac:dyDescent="0.15">
      <c r="F30" s="33"/>
      <c r="G30" s="33"/>
      <c r="H30" s="33"/>
      <c r="I30" s="33"/>
      <c r="J30" s="32"/>
      <c r="K30" s="31" t="s">
        <v>130</v>
      </c>
      <c r="L30" s="31" t="s">
        <v>54</v>
      </c>
      <c r="M30" s="130" t="s">
        <v>131</v>
      </c>
      <c r="N30" s="130"/>
      <c r="O30" s="130"/>
      <c r="P30" s="130"/>
      <c r="Q30" s="31" t="s">
        <v>54</v>
      </c>
      <c r="R30" s="126">
        <v>0.23</v>
      </c>
      <c r="S30" s="126"/>
      <c r="T30" s="31" t="s">
        <v>132</v>
      </c>
      <c r="U30" s="119">
        <f>AE26</f>
        <v>31.200000000000003</v>
      </c>
      <c r="V30" s="119"/>
      <c r="W30" s="37" t="s">
        <v>133</v>
      </c>
      <c r="X30" s="31" t="s">
        <v>54</v>
      </c>
      <c r="Y30" s="125">
        <f>R30*U30^(2/3)</f>
        <v>2.2794543477252898</v>
      </c>
      <c r="Z30" s="125"/>
      <c r="AA30" s="34" t="s">
        <v>32</v>
      </c>
      <c r="AC30" s="31" t="s">
        <v>134</v>
      </c>
    </row>
    <row r="31" spans="6:42" ht="15.75" customHeight="1" x14ac:dyDescent="0.15">
      <c r="H31"/>
      <c r="I31" s="31" t="s">
        <v>135</v>
      </c>
      <c r="J31" s="124" t="s">
        <v>136</v>
      </c>
      <c r="K31" s="124"/>
      <c r="L31" s="31" t="s">
        <v>54</v>
      </c>
      <c r="M31" s="127">
        <v>1000</v>
      </c>
      <c r="N31" s="127"/>
      <c r="O31" s="31" t="s">
        <v>132</v>
      </c>
      <c r="P31" s="128">
        <f>Y27</f>
        <v>9.2051640825158862E-2</v>
      </c>
      <c r="Q31" s="128"/>
      <c r="R31" s="128"/>
      <c r="S31" s="31" t="s">
        <v>132</v>
      </c>
      <c r="T31" s="129">
        <f>V28</f>
        <v>28.36</v>
      </c>
      <c r="U31" s="129"/>
      <c r="V31" s="36" t="s">
        <v>137</v>
      </c>
      <c r="W31" s="125">
        <f>Y30</f>
        <v>2.2794543477252898</v>
      </c>
      <c r="X31" s="125"/>
      <c r="Y31" s="37" t="s">
        <v>138</v>
      </c>
      <c r="Z31" s="31" t="s">
        <v>54</v>
      </c>
      <c r="AA31" s="124">
        <f>M31*P31*T31*1/(W31^2)</f>
        <v>502.43046299086882</v>
      </c>
      <c r="AB31" s="124"/>
      <c r="AC31" s="27" t="s">
        <v>139</v>
      </c>
    </row>
    <row r="32" spans="6:42" ht="15.75" customHeight="1" x14ac:dyDescent="0.15">
      <c r="I32" s="124" t="s">
        <v>135</v>
      </c>
      <c r="J32" s="116" t="s">
        <v>140</v>
      </c>
      <c r="K32" s="116"/>
      <c r="L32" s="116" t="s">
        <v>54</v>
      </c>
      <c r="M32" s="131">
        <v>1</v>
      </c>
      <c r="N32" s="124" t="s">
        <v>141</v>
      </c>
      <c r="U32" s="131">
        <v>1</v>
      </c>
      <c r="V32" s="131"/>
      <c r="AC32" s="116" t="s">
        <v>54</v>
      </c>
      <c r="AD32" s="125">
        <f>M32+(U32/(O33+R33*(V33/Z33)))</f>
        <v>1.0276713465675951</v>
      </c>
      <c r="AE32" s="125"/>
    </row>
    <row r="33" spans="6:33" ht="15.75" customHeight="1" x14ac:dyDescent="0.15">
      <c r="I33" s="124"/>
      <c r="J33" s="116"/>
      <c r="K33" s="116"/>
      <c r="L33" s="116"/>
      <c r="M33" s="131"/>
      <c r="N33" s="124"/>
      <c r="O33" s="132">
        <v>0.85</v>
      </c>
      <c r="P33" s="132"/>
      <c r="Q33" s="35" t="s">
        <v>141</v>
      </c>
      <c r="R33" s="123">
        <v>4.5</v>
      </c>
      <c r="S33" s="123"/>
      <c r="T33" s="31" t="s">
        <v>132</v>
      </c>
      <c r="U33" s="31" t="s">
        <v>130</v>
      </c>
      <c r="V33" s="119">
        <f>V21</f>
        <v>3940</v>
      </c>
      <c r="W33" s="119"/>
      <c r="X33" s="119"/>
      <c r="Y33" s="36" t="s">
        <v>137</v>
      </c>
      <c r="Z33" s="124">
        <f>AA31</f>
        <v>502.43046299086882</v>
      </c>
      <c r="AA33" s="124"/>
      <c r="AB33" s="31" t="s">
        <v>134</v>
      </c>
      <c r="AC33" s="116"/>
      <c r="AD33" s="125"/>
      <c r="AE33" s="125"/>
    </row>
    <row r="34" spans="6:33" ht="15.75" customHeight="1" x14ac:dyDescent="0.15">
      <c r="I34" s="31" t="s">
        <v>135</v>
      </c>
      <c r="J34" s="116" t="s">
        <v>142</v>
      </c>
      <c r="K34" s="116"/>
      <c r="L34" s="31" t="s">
        <v>54</v>
      </c>
      <c r="M34" s="398">
        <f>'躯体（線路）'!M82</f>
        <v>1</v>
      </c>
      <c r="N34" s="398"/>
    </row>
    <row r="35" spans="6:33" ht="15.75" customHeight="1" x14ac:dyDescent="0.15">
      <c r="H35" s="31" t="s">
        <v>135</v>
      </c>
      <c r="I35" s="116" t="s">
        <v>143</v>
      </c>
      <c r="J35" s="116"/>
      <c r="K35" s="31" t="s">
        <v>54</v>
      </c>
      <c r="L35" s="116" t="s">
        <v>144</v>
      </c>
      <c r="M35" s="116"/>
      <c r="N35" s="31" t="s">
        <v>54</v>
      </c>
      <c r="O35" s="125">
        <f>AD32</f>
        <v>1.0276713465675951</v>
      </c>
      <c r="P35" s="125"/>
      <c r="Q35" s="31" t="s">
        <v>132</v>
      </c>
      <c r="R35" s="125">
        <f>M34</f>
        <v>1</v>
      </c>
      <c r="S35" s="125"/>
      <c r="T35" s="31" t="s">
        <v>132</v>
      </c>
      <c r="U35" s="125">
        <f>Y30</f>
        <v>2.2794543477252898</v>
      </c>
      <c r="V35" s="125"/>
      <c r="W35" s="31" t="s">
        <v>54</v>
      </c>
      <c r="X35" s="125">
        <f>O35*R35*U35</f>
        <v>2.3425299189662074</v>
      </c>
      <c r="Y35" s="125"/>
      <c r="Z35" s="34" t="s">
        <v>32</v>
      </c>
    </row>
    <row r="37" spans="6:33" ht="15.75" customHeight="1" x14ac:dyDescent="0.15">
      <c r="I37" s="39" t="s">
        <v>145</v>
      </c>
      <c r="J37" s="124" t="s">
        <v>146</v>
      </c>
      <c r="K37" s="124"/>
      <c r="L37" s="116" t="s">
        <v>54</v>
      </c>
      <c r="M37" s="31" t="s">
        <v>130</v>
      </c>
      <c r="N37" s="125">
        <f>X35</f>
        <v>2.3425299189662074</v>
      </c>
      <c r="O37" s="125"/>
      <c r="P37" s="31" t="s">
        <v>141</v>
      </c>
      <c r="Q37" s="119">
        <f>V17</f>
        <v>7618.8</v>
      </c>
      <c r="R37" s="119"/>
      <c r="S37" s="119"/>
      <c r="T37" s="27" t="s">
        <v>132</v>
      </c>
      <c r="U37" s="40" t="s">
        <v>147</v>
      </c>
      <c r="W37" s="145" t="e">
        <f>V14</f>
        <v>#REF!</v>
      </c>
      <c r="X37" s="145"/>
      <c r="Y37" s="145"/>
      <c r="Z37" s="145"/>
      <c r="AA37" s="31" t="s">
        <v>134</v>
      </c>
      <c r="AB37" s="31" t="s">
        <v>132</v>
      </c>
      <c r="AC37" s="120">
        <f>V15</f>
        <v>8664756066667</v>
      </c>
      <c r="AD37" s="120"/>
      <c r="AE37" s="120"/>
      <c r="AF37" s="120"/>
    </row>
    <row r="38" spans="6:33" ht="15.75" customHeight="1" x14ac:dyDescent="0.15">
      <c r="J38" s="124"/>
      <c r="K38" s="124"/>
      <c r="L38" s="116"/>
      <c r="U38" s="119">
        <f>V16</f>
        <v>1970</v>
      </c>
      <c r="V38" s="119"/>
      <c r="W38" s="119"/>
      <c r="X38" s="119"/>
    </row>
    <row r="39" spans="6:33" ht="15.75" customHeight="1" x14ac:dyDescent="0.15">
      <c r="L39" s="31" t="s">
        <v>54</v>
      </c>
      <c r="M39" s="120" t="e">
        <f>((N37+Q37*10^3/W37)*AC37)/U38</f>
        <v>#REF!</v>
      </c>
      <c r="N39" s="120"/>
      <c r="O39" s="120"/>
      <c r="P39" s="120"/>
      <c r="Q39" s="41" t="s">
        <v>148</v>
      </c>
      <c r="S39" s="31" t="s">
        <v>54</v>
      </c>
      <c r="T39" s="119" t="e">
        <f>M39/10^6</f>
        <v>#REF!</v>
      </c>
      <c r="U39" s="119"/>
      <c r="V39" s="119"/>
      <c r="W39" s="119"/>
      <c r="X39" s="41" t="s">
        <v>149</v>
      </c>
    </row>
    <row r="41" spans="6:33" ht="15.75" customHeight="1" x14ac:dyDescent="0.15">
      <c r="F41" s="27" t="s">
        <v>150</v>
      </c>
    </row>
    <row r="43" spans="6:33" ht="15.75" customHeight="1" x14ac:dyDescent="0.15">
      <c r="J43" s="116" t="s">
        <v>151</v>
      </c>
      <c r="K43" s="116"/>
      <c r="L43" s="31" t="s">
        <v>54</v>
      </c>
      <c r="M43" s="119">
        <f>AE26</f>
        <v>31.200000000000003</v>
      </c>
      <c r="N43" s="119"/>
      <c r="O43" s="34" t="s">
        <v>32</v>
      </c>
      <c r="Q43" s="27" t="s">
        <v>152</v>
      </c>
      <c r="R43" s="121" t="s">
        <v>153</v>
      </c>
      <c r="S43" s="116"/>
      <c r="T43" s="31" t="s">
        <v>54</v>
      </c>
      <c r="U43" s="122">
        <v>1.1000000000000001</v>
      </c>
      <c r="V43" s="122"/>
    </row>
    <row r="44" spans="6:33" ht="15.75" customHeight="1" x14ac:dyDescent="0.15">
      <c r="J44" s="116" t="s">
        <v>154</v>
      </c>
      <c r="K44" s="116"/>
      <c r="L44" s="31" t="s">
        <v>54</v>
      </c>
      <c r="M44" s="119">
        <f>'Myd（躯体最小）上端'!P36</f>
        <v>32833.199999999997</v>
      </c>
      <c r="N44" s="119"/>
      <c r="O44" s="119"/>
      <c r="P44" s="119"/>
      <c r="Q44" s="41" t="s">
        <v>149</v>
      </c>
      <c r="S44" s="31" t="e">
        <f>IF(M44&gt;W44,"＞","＜")</f>
        <v>#REF!</v>
      </c>
      <c r="T44" s="116" t="s">
        <v>146</v>
      </c>
      <c r="U44" s="116"/>
      <c r="V44" s="31" t="s">
        <v>54</v>
      </c>
      <c r="W44" s="119" t="e">
        <f>T39</f>
        <v>#REF!</v>
      </c>
      <c r="X44" s="119"/>
      <c r="Y44" s="119"/>
      <c r="Z44" s="119"/>
      <c r="AA44" s="41" t="s">
        <v>149</v>
      </c>
      <c r="AD44" s="124" t="s">
        <v>354</v>
      </c>
      <c r="AE44" s="124"/>
      <c r="AF44" s="124" t="e">
        <f>IF(M44&lt;W44,"NG","OK")</f>
        <v>#REF!</v>
      </c>
      <c r="AG44" s="124"/>
    </row>
    <row r="46" spans="6:33" ht="15.75" customHeight="1" x14ac:dyDescent="0.15">
      <c r="F46" s="27" t="s">
        <v>155</v>
      </c>
    </row>
    <row r="53" spans="1:33" ht="15.75" customHeight="1" x14ac:dyDescent="0.15">
      <c r="B53"/>
      <c r="C53" t="s">
        <v>562</v>
      </c>
      <c r="D53"/>
      <c r="E53"/>
      <c r="F53"/>
      <c r="G53"/>
      <c r="H53"/>
      <c r="I53"/>
      <c r="J53"/>
      <c r="K53"/>
      <c r="L53"/>
      <c r="M53"/>
      <c r="N53"/>
      <c r="O53"/>
      <c r="P53"/>
      <c r="Q53"/>
    </row>
    <row r="54" spans="1:33" ht="15.75" customHeight="1" x14ac:dyDescent="0.15">
      <c r="A54"/>
      <c r="B54"/>
      <c r="C54"/>
      <c r="D54"/>
      <c r="E54"/>
      <c r="F54"/>
      <c r="G54"/>
      <c r="H54"/>
      <c r="I54"/>
      <c r="J54"/>
      <c r="K54"/>
      <c r="L54"/>
      <c r="M54"/>
      <c r="N54"/>
      <c r="O54"/>
      <c r="P54"/>
      <c r="Q54"/>
    </row>
    <row r="55" spans="1:33" ht="15.75" customHeight="1" x14ac:dyDescent="0.15">
      <c r="A55"/>
      <c r="C55"/>
      <c r="D55" t="s">
        <v>156</v>
      </c>
      <c r="E55"/>
      <c r="F55"/>
      <c r="G55"/>
      <c r="H55"/>
      <c r="I55"/>
      <c r="J55"/>
      <c r="K55"/>
      <c r="L55"/>
      <c r="M55"/>
      <c r="N55"/>
      <c r="O55"/>
      <c r="P55"/>
      <c r="Q55"/>
    </row>
    <row r="56" spans="1:33" ht="15.75" customHeight="1" x14ac:dyDescent="0.15">
      <c r="A56"/>
      <c r="C56"/>
      <c r="D56"/>
      <c r="E56"/>
      <c r="F56"/>
      <c r="G56"/>
      <c r="H56"/>
      <c r="I56"/>
      <c r="J56"/>
      <c r="K56"/>
      <c r="L56"/>
      <c r="M56"/>
      <c r="N56"/>
      <c r="O56"/>
      <c r="P56"/>
      <c r="Q56"/>
      <c r="AG56" s="29"/>
    </row>
    <row r="57" spans="1:33" ht="15.75" customHeight="1" x14ac:dyDescent="0.15">
      <c r="A57"/>
      <c r="B57"/>
      <c r="D57" t="s">
        <v>157</v>
      </c>
      <c r="E57"/>
      <c r="F57"/>
      <c r="G57"/>
      <c r="H57"/>
      <c r="I57"/>
      <c r="J57"/>
      <c r="K57"/>
      <c r="L57"/>
      <c r="M57"/>
      <c r="N57"/>
      <c r="O57"/>
      <c r="P57"/>
      <c r="Q57"/>
      <c r="S57" s="28"/>
      <c r="T57" s="28"/>
      <c r="U57" s="28"/>
      <c r="W57" s="28"/>
      <c r="X57" s="28"/>
      <c r="Y57" s="28"/>
      <c r="AG57" s="29"/>
    </row>
    <row r="58" spans="1:33" ht="15.75" customHeight="1" x14ac:dyDescent="0.15">
      <c r="A58"/>
      <c r="B58"/>
      <c r="C58"/>
      <c r="D58"/>
      <c r="E58"/>
      <c r="F58"/>
      <c r="G58"/>
      <c r="H58"/>
      <c r="I58"/>
      <c r="J58"/>
      <c r="K58"/>
      <c r="L58"/>
      <c r="M58"/>
      <c r="N58" s="42"/>
      <c r="O58" s="43"/>
      <c r="P58" s="43"/>
      <c r="Q58" s="43"/>
      <c r="AG58" s="29"/>
    </row>
    <row r="59" spans="1:33" ht="15.75" customHeight="1" x14ac:dyDescent="0.15">
      <c r="A59"/>
      <c r="B59"/>
      <c r="C59"/>
      <c r="D59"/>
      <c r="E59" s="116" t="s">
        <v>158</v>
      </c>
      <c r="F59" s="116" t="s">
        <v>159</v>
      </c>
      <c r="G59" s="116" t="s">
        <v>160</v>
      </c>
      <c r="H59" s="121" t="s">
        <v>161</v>
      </c>
      <c r="I59" s="116" t="s">
        <v>162</v>
      </c>
      <c r="J59"/>
      <c r="K59" s="116" t="s">
        <v>163</v>
      </c>
      <c r="L59" s="116"/>
      <c r="M59" s="116"/>
      <c r="N59" s="42"/>
      <c r="O59" s="116" t="s">
        <v>164</v>
      </c>
      <c r="P59"/>
      <c r="Q59" s="116" t="s">
        <v>165</v>
      </c>
      <c r="R59" s="116"/>
      <c r="T59" s="124" t="s">
        <v>166</v>
      </c>
      <c r="U59" s="116" t="s">
        <v>167</v>
      </c>
      <c r="V59" s="116"/>
      <c r="W59" s="116" t="s">
        <v>168</v>
      </c>
      <c r="X59" s="136" t="s">
        <v>169</v>
      </c>
      <c r="Y59" s="136"/>
      <c r="Z59" s="116" t="s">
        <v>162</v>
      </c>
      <c r="AA59" s="121" t="s">
        <v>170</v>
      </c>
      <c r="AB59" s="116"/>
      <c r="AC59" s="124" t="s">
        <v>171</v>
      </c>
      <c r="AD59" s="124">
        <v>100</v>
      </c>
      <c r="AE59" s="124"/>
      <c r="AF59" s="44"/>
      <c r="AG59" s="44"/>
    </row>
    <row r="60" spans="1:33" ht="15.75" customHeight="1" x14ac:dyDescent="0.15">
      <c r="A60"/>
      <c r="B60"/>
      <c r="C60"/>
      <c r="D60"/>
      <c r="E60" s="116"/>
      <c r="F60" s="116"/>
      <c r="G60" s="116"/>
      <c r="H60" s="121"/>
      <c r="I60" s="116"/>
      <c r="J60" s="116" t="s">
        <v>163</v>
      </c>
      <c r="K60" s="116"/>
      <c r="L60" s="32" t="s">
        <v>168</v>
      </c>
      <c r="M60" s="116" t="s">
        <v>172</v>
      </c>
      <c r="N60" s="116"/>
      <c r="O60" s="116"/>
      <c r="P60" s="137" t="s">
        <v>173</v>
      </c>
      <c r="Q60" s="137"/>
      <c r="R60" s="137"/>
      <c r="S60" s="137"/>
      <c r="T60" s="124"/>
      <c r="U60" s="124" t="s">
        <v>174</v>
      </c>
      <c r="V60" s="124"/>
      <c r="W60" s="116"/>
      <c r="X60" s="124" t="s">
        <v>175</v>
      </c>
      <c r="Y60" s="124"/>
      <c r="Z60" s="116"/>
      <c r="AA60" s="124" t="s">
        <v>174</v>
      </c>
      <c r="AB60" s="124"/>
      <c r="AC60" s="124"/>
      <c r="AD60" s="124"/>
      <c r="AE60" s="124"/>
      <c r="AG60" s="29"/>
    </row>
    <row r="61" spans="1:33" ht="15.75" customHeight="1" x14ac:dyDescent="0.15">
      <c r="A61"/>
      <c r="B61"/>
      <c r="C61"/>
      <c r="D61"/>
      <c r="E61"/>
      <c r="F61"/>
      <c r="G61"/>
      <c r="H61"/>
      <c r="I61"/>
      <c r="J61"/>
      <c r="K61"/>
      <c r="L61"/>
      <c r="M61"/>
      <c r="N61"/>
      <c r="O61"/>
      <c r="P61"/>
      <c r="Q61"/>
      <c r="AG61" s="29"/>
    </row>
    <row r="62" spans="1:33" ht="15.75" customHeight="1" x14ac:dyDescent="0.15">
      <c r="A62"/>
      <c r="B62"/>
      <c r="C62"/>
      <c r="D62" s="45"/>
      <c r="F62"/>
      <c r="H62" s="33" t="s">
        <v>176</v>
      </c>
      <c r="I62" s="121" t="s">
        <v>161</v>
      </c>
      <c r="J62" s="121"/>
      <c r="K62" s="32" t="s">
        <v>177</v>
      </c>
      <c r="L62" s="132">
        <v>0.88</v>
      </c>
      <c r="M62" s="132"/>
      <c r="N62" s="32" t="s">
        <v>164</v>
      </c>
      <c r="O62" s="399">
        <v>4.0000000000000001E-3</v>
      </c>
      <c r="P62" s="399"/>
      <c r="Q62" s="399"/>
      <c r="R62" s="27" t="s">
        <v>178</v>
      </c>
      <c r="T62" s="27" t="s">
        <v>179</v>
      </c>
      <c r="AF62" s="29"/>
    </row>
    <row r="63" spans="1:33" ht="15.75" customHeight="1" x14ac:dyDescent="0.15">
      <c r="A63"/>
      <c r="B63"/>
      <c r="C63"/>
      <c r="D63" s="45"/>
      <c r="E63"/>
      <c r="F63"/>
      <c r="G63"/>
      <c r="H63"/>
      <c r="I63"/>
      <c r="J63"/>
      <c r="K63" s="32" t="s">
        <v>159</v>
      </c>
      <c r="L63" s="114">
        <f>L62</f>
        <v>0.88</v>
      </c>
      <c r="M63" s="114"/>
      <c r="N63" s="32" t="s">
        <v>164</v>
      </c>
      <c r="O63" s="115">
        <f>O62</f>
        <v>4.0000000000000001E-3</v>
      </c>
      <c r="P63" s="115"/>
      <c r="Q63" s="115"/>
      <c r="R63" s="46" t="s">
        <v>180</v>
      </c>
      <c r="S63" s="119">
        <f>R72</f>
        <v>24</v>
      </c>
      <c r="T63" s="119"/>
      <c r="U63" s="31" t="s">
        <v>159</v>
      </c>
      <c r="V63" s="134">
        <f>L63-(O63*S63)</f>
        <v>0.78400000000000003</v>
      </c>
      <c r="W63" s="134"/>
      <c r="X63" s="134"/>
      <c r="Y63" s="27" t="str">
        <f>IF(V63&lt;Z63,"＜","＞")</f>
        <v>＞</v>
      </c>
      <c r="Z63" s="125">
        <v>0.68</v>
      </c>
      <c r="AA63" s="125"/>
      <c r="AF63" s="29"/>
    </row>
    <row r="64" spans="1:33" ht="15.75" customHeight="1" x14ac:dyDescent="0.15">
      <c r="A64"/>
      <c r="B64"/>
      <c r="C64"/>
      <c r="D64" s="45"/>
      <c r="E64"/>
      <c r="F64"/>
      <c r="G64"/>
      <c r="H64"/>
      <c r="I64" s="116" t="s">
        <v>163</v>
      </c>
      <c r="J64" s="116"/>
      <c r="K64" s="32" t="s">
        <v>177</v>
      </c>
      <c r="L64" t="s">
        <v>181</v>
      </c>
      <c r="M64" s="42"/>
      <c r="N64" s="43"/>
      <c r="O64" s="43"/>
      <c r="P64" s="43"/>
      <c r="AF64" s="29"/>
    </row>
    <row r="65" spans="1:40" ht="15.75" customHeight="1" x14ac:dyDescent="0.15">
      <c r="A65"/>
      <c r="B65"/>
      <c r="C65"/>
      <c r="D65" s="45"/>
      <c r="E65"/>
      <c r="F65"/>
      <c r="G65"/>
      <c r="H65"/>
      <c r="I65"/>
      <c r="J65"/>
      <c r="K65" s="116" t="s">
        <v>52</v>
      </c>
      <c r="L65" s="127">
        <v>155</v>
      </c>
      <c r="M65" s="127"/>
      <c r="N65" s="35" t="s">
        <v>182</v>
      </c>
      <c r="O65" s="116" t="s">
        <v>183</v>
      </c>
      <c r="P65" s="116"/>
      <c r="Q65" s="116" t="s">
        <v>52</v>
      </c>
      <c r="R65" s="116">
        <f>L65</f>
        <v>155</v>
      </c>
      <c r="S65" s="116"/>
      <c r="T65" s="35" t="s">
        <v>182</v>
      </c>
      <c r="U65" s="119">
        <f>S63</f>
        <v>24</v>
      </c>
      <c r="V65" s="119"/>
      <c r="W65" s="116" t="s">
        <v>52</v>
      </c>
      <c r="X65" s="128">
        <f>(R65-U65)/S66</f>
        <v>4.3666666666666663E-3</v>
      </c>
      <c r="Y65" s="128"/>
      <c r="Z65" s="128"/>
      <c r="AA65" s="124" t="str">
        <f>IF(X65&lt;AB65,"＜","＞")</f>
        <v>＞</v>
      </c>
      <c r="AB65" s="128">
        <v>3.5000000000000001E-3</v>
      </c>
      <c r="AC65" s="128"/>
      <c r="AD65" s="128"/>
      <c r="AF65" s="29"/>
    </row>
    <row r="66" spans="1:40" ht="15.75" customHeight="1" x14ac:dyDescent="0.15">
      <c r="A66"/>
      <c r="B66"/>
      <c r="C66"/>
      <c r="D66" s="45"/>
      <c r="E66"/>
      <c r="F66"/>
      <c r="G66"/>
      <c r="H66"/>
      <c r="I66"/>
      <c r="J66"/>
      <c r="K66" s="116"/>
      <c r="L66"/>
      <c r="M66" s="400">
        <v>30000</v>
      </c>
      <c r="N66" s="400"/>
      <c r="O66" s="400"/>
      <c r="P66" s="43"/>
      <c r="Q66" s="116"/>
      <c r="R66"/>
      <c r="S66" s="135">
        <f>M66</f>
        <v>30000</v>
      </c>
      <c r="T66" s="135"/>
      <c r="U66" s="135"/>
      <c r="V66" s="43"/>
      <c r="W66" s="116"/>
      <c r="X66" s="128"/>
      <c r="Y66" s="128"/>
      <c r="Z66" s="128"/>
      <c r="AA66" s="124"/>
      <c r="AB66" s="128"/>
      <c r="AC66" s="128"/>
      <c r="AD66" s="128"/>
      <c r="AF66" s="29"/>
    </row>
    <row r="67" spans="1:40" ht="15.75" customHeight="1" x14ac:dyDescent="0.15">
      <c r="A67"/>
      <c r="B67"/>
      <c r="C67"/>
      <c r="D67" s="45"/>
      <c r="E67"/>
      <c r="F67"/>
      <c r="G67"/>
      <c r="H67"/>
      <c r="I67" s="116" t="s">
        <v>184</v>
      </c>
      <c r="J67" s="116"/>
      <c r="K67" s="32" t="s">
        <v>76</v>
      </c>
      <c r="L67" t="s">
        <v>185</v>
      </c>
      <c r="M67" s="42"/>
      <c r="N67" s="43"/>
      <c r="O67" s="43"/>
      <c r="P67" s="43"/>
      <c r="U67" s="31" t="s">
        <v>186</v>
      </c>
      <c r="V67" s="124" t="s">
        <v>187</v>
      </c>
      <c r="W67" s="124"/>
      <c r="X67" s="36" t="s">
        <v>188</v>
      </c>
      <c r="Y67" s="124" t="s">
        <v>189</v>
      </c>
      <c r="Z67" s="124"/>
      <c r="AA67" s="31" t="s">
        <v>190</v>
      </c>
      <c r="AB67" s="147">
        <f>W73/(W74*10^3)</f>
        <v>1.9499999999999999E-3</v>
      </c>
      <c r="AC67" s="147"/>
      <c r="AD67" s="147"/>
      <c r="AE67" s="31" t="s">
        <v>191</v>
      </c>
      <c r="AG67" s="29"/>
    </row>
    <row r="68" spans="1:40" ht="15.75" customHeight="1" x14ac:dyDescent="0.15">
      <c r="A68"/>
      <c r="B68"/>
      <c r="C68"/>
      <c r="D68" s="45"/>
      <c r="E68"/>
      <c r="F68"/>
      <c r="G68"/>
      <c r="H68"/>
      <c r="I68" s="116" t="s">
        <v>192</v>
      </c>
      <c r="J68" s="116"/>
      <c r="K68" s="32" t="s">
        <v>193</v>
      </c>
      <c r="L68" t="s">
        <v>83</v>
      </c>
      <c r="M68" s="42"/>
      <c r="N68" s="43"/>
      <c r="O68" s="43"/>
      <c r="P68" s="43"/>
      <c r="U68" s="31" t="s">
        <v>84</v>
      </c>
      <c r="V68" s="31" t="s">
        <v>85</v>
      </c>
      <c r="W68" s="141">
        <f>V17</f>
        <v>7618.8</v>
      </c>
      <c r="X68" s="141"/>
      <c r="Y68" s="141"/>
      <c r="Z68" s="27" t="s">
        <v>86</v>
      </c>
      <c r="AA68" s="31" t="s">
        <v>87</v>
      </c>
      <c r="AG68" s="29"/>
    </row>
    <row r="69" spans="1:40" ht="15.75" customHeight="1" x14ac:dyDescent="0.15">
      <c r="A69"/>
      <c r="B69"/>
      <c r="C69"/>
      <c r="D69" s="45"/>
      <c r="E69"/>
      <c r="F69"/>
      <c r="G69"/>
      <c r="H69"/>
      <c r="I69" s="116" t="s">
        <v>194</v>
      </c>
      <c r="J69" s="116"/>
      <c r="K69" s="32" t="s">
        <v>195</v>
      </c>
      <c r="L69" t="s">
        <v>196</v>
      </c>
      <c r="M69" s="42"/>
      <c r="N69" s="43"/>
      <c r="O69" s="43"/>
      <c r="P69" s="43"/>
      <c r="U69" s="31" t="s">
        <v>72</v>
      </c>
      <c r="V69" s="31" t="s">
        <v>52</v>
      </c>
      <c r="W69" s="141">
        <f>AK14</f>
        <v>1700</v>
      </c>
      <c r="X69" s="141"/>
      <c r="Y69" s="141"/>
      <c r="Z69" s="27" t="s">
        <v>96</v>
      </c>
      <c r="AA69" s="31" t="s">
        <v>97</v>
      </c>
      <c r="AG69" s="29"/>
    </row>
    <row r="70" spans="1:40" ht="15.75" customHeight="1" x14ac:dyDescent="0.15">
      <c r="D70" s="29"/>
      <c r="I70" s="116" t="s">
        <v>197</v>
      </c>
      <c r="J70" s="116"/>
      <c r="K70" s="32" t="s">
        <v>76</v>
      </c>
      <c r="L70" t="s">
        <v>198</v>
      </c>
      <c r="M70" s="42"/>
      <c r="N70" s="43"/>
      <c r="O70" s="43"/>
      <c r="P70" s="43"/>
      <c r="U70" s="31" t="s">
        <v>130</v>
      </c>
      <c r="V70" s="31" t="s">
        <v>54</v>
      </c>
      <c r="W70" s="141">
        <f>'Myd（躯体最小）上端'!P18</f>
        <v>3834</v>
      </c>
      <c r="X70" s="141"/>
      <c r="Y70" s="141"/>
      <c r="Z70" s="27" t="s">
        <v>199</v>
      </c>
      <c r="AA70" s="31" t="s">
        <v>134</v>
      </c>
      <c r="AG70" s="29"/>
    </row>
    <row r="71" spans="1:40" ht="15.75" customHeight="1" x14ac:dyDescent="0.15">
      <c r="D71" s="29"/>
      <c r="I71" s="116" t="s">
        <v>200</v>
      </c>
      <c r="J71" s="116"/>
      <c r="K71" s="32" t="s">
        <v>201</v>
      </c>
      <c r="L71" s="27" t="s">
        <v>202</v>
      </c>
      <c r="M71" s="47"/>
      <c r="AF71" s="29"/>
    </row>
    <row r="72" spans="1:40" ht="15.75" customHeight="1" x14ac:dyDescent="0.15">
      <c r="D72" s="29"/>
      <c r="J72" s="31" t="s">
        <v>67</v>
      </c>
      <c r="K72" s="31" t="s">
        <v>60</v>
      </c>
      <c r="L72" s="116" t="s">
        <v>203</v>
      </c>
      <c r="M72" s="116"/>
      <c r="N72" s="36" t="s">
        <v>92</v>
      </c>
      <c r="O72" s="138" t="s">
        <v>204</v>
      </c>
      <c r="P72" s="139"/>
      <c r="Q72" s="31" t="s">
        <v>60</v>
      </c>
      <c r="R72" s="119">
        <f>Y26</f>
        <v>24</v>
      </c>
      <c r="S72" s="119"/>
      <c r="T72" s="36" t="s">
        <v>92</v>
      </c>
      <c r="U72" s="119">
        <f>'躯体（線路）'!U172</f>
        <v>1.3</v>
      </c>
      <c r="V72" s="119"/>
      <c r="W72" s="31" t="s">
        <v>60</v>
      </c>
      <c r="X72" s="119">
        <f>R72/U72</f>
        <v>18.46153846153846</v>
      </c>
      <c r="Y72" s="119"/>
      <c r="Z72" s="34" t="s">
        <v>205</v>
      </c>
      <c r="AB72" s="31" t="s">
        <v>94</v>
      </c>
      <c r="AD72" s="44"/>
      <c r="AE72" s="44"/>
      <c r="AF72" s="44"/>
    </row>
    <row r="73" spans="1:40" ht="15.75" customHeight="1" x14ac:dyDescent="0.15">
      <c r="D73" s="29"/>
      <c r="I73" s="124" t="s">
        <v>206</v>
      </c>
      <c r="J73" s="124"/>
      <c r="K73" s="32" t="s">
        <v>65</v>
      </c>
      <c r="L73" s="47" t="s">
        <v>207</v>
      </c>
      <c r="U73" s="31" t="s">
        <v>208</v>
      </c>
      <c r="V73" s="31" t="s">
        <v>55</v>
      </c>
      <c r="W73" s="148">
        <f>'Myd（躯体最小）上端'!Z5</f>
        <v>390</v>
      </c>
      <c r="X73" s="148"/>
      <c r="Y73" s="34" t="s">
        <v>209</v>
      </c>
      <c r="AA73" s="31" t="s">
        <v>210</v>
      </c>
      <c r="AF73" s="29"/>
      <c r="AJ73" s="124"/>
      <c r="AK73" s="124"/>
      <c r="AL73" s="124"/>
    </row>
    <row r="74" spans="1:40" ht="15.75" customHeight="1" x14ac:dyDescent="0.15">
      <c r="I74" s="124" t="s">
        <v>211</v>
      </c>
      <c r="J74" s="124"/>
      <c r="K74" s="32" t="s">
        <v>212</v>
      </c>
      <c r="L74" s="27" t="s">
        <v>213</v>
      </c>
      <c r="U74" s="31" t="s">
        <v>214</v>
      </c>
      <c r="V74" s="31" t="s">
        <v>215</v>
      </c>
      <c r="W74" s="148">
        <f>'躯体（線路）'!W174</f>
        <v>200</v>
      </c>
      <c r="X74" s="148"/>
      <c r="Y74" s="38" t="s">
        <v>216</v>
      </c>
      <c r="AB74" s="31" t="s">
        <v>217</v>
      </c>
      <c r="AJ74" s="31" t="s">
        <v>232</v>
      </c>
      <c r="AK74" s="208">
        <v>0</v>
      </c>
      <c r="AL74" s="208"/>
      <c r="AM74" s="208"/>
      <c r="AN74" s="208"/>
    </row>
    <row r="75" spans="1:40" ht="15.75" customHeight="1" x14ac:dyDescent="0.15">
      <c r="I75" s="136" t="s">
        <v>218</v>
      </c>
      <c r="J75" s="136"/>
      <c r="K75" s="32" t="s">
        <v>219</v>
      </c>
      <c r="L75" s="27" t="s">
        <v>220</v>
      </c>
      <c r="U75" s="31" t="s">
        <v>221</v>
      </c>
      <c r="V75" s="31" t="s">
        <v>222</v>
      </c>
      <c r="W75" s="144">
        <f>'躯体（線路）'!Z19</f>
        <v>38</v>
      </c>
      <c r="X75" s="144"/>
      <c r="Y75" s="31" t="s">
        <v>223</v>
      </c>
      <c r="Z75" s="145">
        <f>'躯体（線路）'!AC19/2+2</f>
        <v>13</v>
      </c>
      <c r="AA75" s="124"/>
      <c r="AB75" s="27" t="s">
        <v>224</v>
      </c>
      <c r="AC75" s="31" t="s">
        <v>124</v>
      </c>
      <c r="AD75" s="141">
        <f>VLOOKUP(W75,AL1:AM11,2,FALSE)*Z75</f>
        <v>14820</v>
      </c>
      <c r="AE75" s="141"/>
      <c r="AF75" s="141"/>
      <c r="AG75" s="141"/>
      <c r="AH75" s="34" t="s">
        <v>225</v>
      </c>
      <c r="AI75" s="31"/>
    </row>
    <row r="76" spans="1:40" ht="15.75" customHeight="1" x14ac:dyDescent="0.15">
      <c r="I76" s="121" t="s">
        <v>226</v>
      </c>
      <c r="J76" s="116"/>
      <c r="K76" s="32" t="s">
        <v>128</v>
      </c>
      <c r="L76" s="27" t="s">
        <v>227</v>
      </c>
      <c r="M76" s="47"/>
      <c r="N76" s="28"/>
      <c r="O76" s="28"/>
      <c r="P76" s="28"/>
      <c r="R76" s="28"/>
      <c r="S76" s="28"/>
      <c r="T76" s="28"/>
      <c r="U76" s="31" t="s">
        <v>221</v>
      </c>
      <c r="V76" s="31" t="s">
        <v>222</v>
      </c>
      <c r="W76" s="129">
        <f>IF(W74*10^3*AK74&gt;=W73,W73,W74*10^3*AK74)</f>
        <v>0</v>
      </c>
      <c r="X76" s="129"/>
      <c r="Y76" s="129"/>
      <c r="Z76" s="34" t="s">
        <v>228</v>
      </c>
      <c r="AB76" s="31" t="s">
        <v>221</v>
      </c>
      <c r="AC76" s="31" t="s">
        <v>229</v>
      </c>
      <c r="AD76" s="124" t="s">
        <v>230</v>
      </c>
      <c r="AE76" s="124"/>
      <c r="AF76" s="31" t="s">
        <v>231</v>
      </c>
    </row>
    <row r="77" spans="1:40" ht="15.75" customHeight="1" x14ac:dyDescent="0.15">
      <c r="M77" s="47"/>
    </row>
    <row r="78" spans="1:40" ht="15.75" customHeight="1" x14ac:dyDescent="0.15">
      <c r="E78" s="116" t="s">
        <v>233</v>
      </c>
      <c r="F78" s="116" t="s">
        <v>222</v>
      </c>
      <c r="G78" s="116" t="s">
        <v>234</v>
      </c>
      <c r="H78" s="134">
        <f>MIN(V63,Z63)</f>
        <v>0.68</v>
      </c>
      <c r="I78" s="134"/>
      <c r="J78" s="134"/>
      <c r="K78" s="124" t="s">
        <v>235</v>
      </c>
      <c r="N78" s="128">
        <f>MIN(X65,AB65)</f>
        <v>3.5000000000000001E-3</v>
      </c>
      <c r="O78" s="128"/>
      <c r="P78" s="128"/>
      <c r="Q78" s="28"/>
      <c r="S78" s="116" t="s">
        <v>223</v>
      </c>
      <c r="V78" s="119">
        <f>W68</f>
        <v>7618.8</v>
      </c>
      <c r="W78" s="119"/>
      <c r="X78" s="119"/>
      <c r="Y78" s="119"/>
      <c r="Z78" s="27" t="s">
        <v>132</v>
      </c>
      <c r="AA78" s="40" t="s">
        <v>341</v>
      </c>
      <c r="AD78" s="136" t="s">
        <v>236</v>
      </c>
      <c r="AE78" s="124" t="s">
        <v>235</v>
      </c>
      <c r="AF78" s="119">
        <f>X72</f>
        <v>18.46153846153846</v>
      </c>
      <c r="AG78" s="119"/>
    </row>
    <row r="79" spans="1:40" ht="15.75" customHeight="1" x14ac:dyDescent="0.15">
      <c r="E79" s="116"/>
      <c r="F79" s="116"/>
      <c r="G79" s="116"/>
      <c r="H79" s="134"/>
      <c r="I79" s="134"/>
      <c r="J79" s="134"/>
      <c r="K79" s="124"/>
      <c r="L79" s="128">
        <f>N78</f>
        <v>3.5000000000000001E-3</v>
      </c>
      <c r="M79" s="128"/>
      <c r="N79" s="128"/>
      <c r="O79" s="32" t="s">
        <v>237</v>
      </c>
      <c r="P79" s="147">
        <f>AB67</f>
        <v>1.9499999999999999E-3</v>
      </c>
      <c r="Q79" s="147"/>
      <c r="R79" s="147"/>
      <c r="S79" s="116"/>
      <c r="T79" s="119">
        <f>W69</f>
        <v>1700</v>
      </c>
      <c r="U79" s="119"/>
      <c r="V79" s="119"/>
      <c r="W79" s="31" t="s">
        <v>235</v>
      </c>
      <c r="X79" s="119">
        <f>W70</f>
        <v>3834</v>
      </c>
      <c r="Y79" s="119"/>
      <c r="Z79" s="119"/>
      <c r="AA79" s="31" t="s">
        <v>235</v>
      </c>
      <c r="AB79" s="119">
        <f>X72</f>
        <v>18.46153846153846</v>
      </c>
      <c r="AC79" s="119"/>
      <c r="AD79" s="136"/>
      <c r="AE79" s="124"/>
      <c r="AF79" s="145">
        <f>W73</f>
        <v>390</v>
      </c>
      <c r="AG79" s="124"/>
    </row>
    <row r="80" spans="1:40" ht="15.75" customHeight="1" x14ac:dyDescent="0.15">
      <c r="D80" s="29"/>
      <c r="G80" s="124" t="s">
        <v>237</v>
      </c>
      <c r="I80" s="119">
        <f>AD75</f>
        <v>14820</v>
      </c>
      <c r="J80" s="119"/>
      <c r="K80" s="119"/>
      <c r="L80" s="119"/>
      <c r="M80" s="119"/>
      <c r="O80" s="124" t="s">
        <v>235</v>
      </c>
      <c r="P80" s="119">
        <f>W76</f>
        <v>0</v>
      </c>
      <c r="Q80" s="119"/>
      <c r="R80" s="119"/>
      <c r="S80" s="124" t="s">
        <v>238</v>
      </c>
      <c r="T80" s="124" t="s">
        <v>235</v>
      </c>
      <c r="U80" s="131">
        <v>100</v>
      </c>
      <c r="V80" s="131"/>
      <c r="W80" s="116" t="s">
        <v>222</v>
      </c>
      <c r="X80" s="173">
        <f>(((H78*(N78/(L79+P79)))-((V78*1000)/(T79*X79*AB79)))*(AF78/AF79)+(I80/(H81*L81))*(P80/P81))*U80</f>
        <v>1.7674823091473439</v>
      </c>
      <c r="Y80" s="173"/>
      <c r="Z80" s="173"/>
      <c r="AA80" s="146" t="s">
        <v>239</v>
      </c>
    </row>
    <row r="81" spans="2:28" ht="15.75" customHeight="1" x14ac:dyDescent="0.15">
      <c r="G81" s="124"/>
      <c r="H81" s="119">
        <f>T79</f>
        <v>1700</v>
      </c>
      <c r="I81" s="119"/>
      <c r="J81" s="119"/>
      <c r="K81" s="31" t="s">
        <v>235</v>
      </c>
      <c r="L81" s="119">
        <f>X79</f>
        <v>3834</v>
      </c>
      <c r="M81" s="119"/>
      <c r="N81" s="119"/>
      <c r="O81" s="124"/>
      <c r="P81" s="145">
        <f>W73</f>
        <v>390</v>
      </c>
      <c r="Q81" s="145"/>
      <c r="R81" s="145"/>
      <c r="S81" s="124"/>
      <c r="T81" s="124"/>
      <c r="U81" s="131"/>
      <c r="V81" s="131"/>
      <c r="W81" s="116"/>
      <c r="X81" s="173"/>
      <c r="Y81" s="173"/>
      <c r="Z81" s="173"/>
      <c r="AA81" s="146"/>
    </row>
    <row r="82" spans="2:28" ht="15.75" customHeight="1" x14ac:dyDescent="0.15">
      <c r="D82" s="29"/>
    </row>
    <row r="83" spans="2:28" ht="15.75" customHeight="1" x14ac:dyDescent="0.15">
      <c r="G83" s="125">
        <v>0.75</v>
      </c>
      <c r="H83" s="125"/>
      <c r="I83" s="31" t="s">
        <v>235</v>
      </c>
      <c r="J83" s="32" t="s">
        <v>233</v>
      </c>
      <c r="K83" s="31" t="s">
        <v>222</v>
      </c>
      <c r="L83" s="126">
        <v>0.75</v>
      </c>
      <c r="M83" s="126"/>
      <c r="N83" s="31" t="s">
        <v>235</v>
      </c>
      <c r="O83" s="134">
        <f>X80</f>
        <v>1.7674823091473439</v>
      </c>
      <c r="P83" s="134"/>
      <c r="Q83" s="134"/>
      <c r="R83" s="31" t="s">
        <v>222</v>
      </c>
      <c r="S83" s="134">
        <f>L83*O83</f>
        <v>1.3256117318605081</v>
      </c>
      <c r="T83" s="134"/>
      <c r="U83" s="134"/>
      <c r="V83" s="27" t="s">
        <v>239</v>
      </c>
    </row>
    <row r="84" spans="2:28" ht="15.75" customHeight="1" x14ac:dyDescent="0.15">
      <c r="D84" s="29"/>
    </row>
    <row r="85" spans="2:28" ht="15.75" customHeight="1" x14ac:dyDescent="0.15">
      <c r="E85" s="27" t="s">
        <v>240</v>
      </c>
      <c r="H85" s="27" t="s">
        <v>241</v>
      </c>
      <c r="K85" s="31" t="s">
        <v>52</v>
      </c>
      <c r="L85" s="144">
        <f>'Myd（躯体最小）上端'!P24</f>
        <v>38</v>
      </c>
      <c r="M85" s="144"/>
      <c r="N85" s="31" t="s">
        <v>182</v>
      </c>
      <c r="O85" s="145">
        <f>'Myd（躯体最小）上端'!T24</f>
        <v>13</v>
      </c>
      <c r="P85" s="124"/>
      <c r="Q85" s="27" t="s">
        <v>224</v>
      </c>
      <c r="R85" s="31" t="s">
        <v>124</v>
      </c>
      <c r="S85" s="141">
        <f>VLOOKUP(L85,AL1:AM11,2,FALSE)*O85</f>
        <v>14820</v>
      </c>
      <c r="T85" s="141"/>
      <c r="U85" s="141"/>
      <c r="V85" s="141"/>
      <c r="W85" s="34" t="s">
        <v>242</v>
      </c>
    </row>
    <row r="86" spans="2:28" ht="15.75" customHeight="1" x14ac:dyDescent="0.15">
      <c r="D86" s="29"/>
      <c r="E86" s="32" t="s">
        <v>243</v>
      </c>
      <c r="F86" s="31" t="s">
        <v>124</v>
      </c>
      <c r="G86" s="124" t="s">
        <v>244</v>
      </c>
      <c r="H86" s="124"/>
      <c r="I86" s="124"/>
      <c r="J86" s="124"/>
      <c r="K86" s="31" t="s">
        <v>124</v>
      </c>
      <c r="L86" s="119">
        <f>S85</f>
        <v>14820</v>
      </c>
      <c r="M86" s="119"/>
      <c r="N86" s="119"/>
      <c r="O86" s="119"/>
      <c r="P86" s="36" t="s">
        <v>245</v>
      </c>
      <c r="Q86" s="31" t="s">
        <v>123</v>
      </c>
      <c r="R86" s="119">
        <f>W69</f>
        <v>1700</v>
      </c>
      <c r="S86" s="119"/>
      <c r="T86" s="119"/>
      <c r="U86" s="31" t="s">
        <v>246</v>
      </c>
      <c r="V86" s="119">
        <f>W70</f>
        <v>3834</v>
      </c>
      <c r="W86" s="119"/>
      <c r="X86" s="119"/>
      <c r="Y86" s="31" t="s">
        <v>126</v>
      </c>
      <c r="Z86" s="31" t="s">
        <v>246</v>
      </c>
      <c r="AA86" s="131">
        <v>100</v>
      </c>
      <c r="AB86" s="131"/>
    </row>
    <row r="87" spans="2:28" ht="15.75" customHeight="1" x14ac:dyDescent="0.15">
      <c r="K87" s="31" t="s">
        <v>124</v>
      </c>
      <c r="L87" s="134">
        <f>(L86/(R86*V86))*AA86</f>
        <v>0.22737733591089015</v>
      </c>
      <c r="M87" s="134"/>
      <c r="N87" s="134"/>
      <c r="O87" s="27" t="s">
        <v>247</v>
      </c>
      <c r="P87" s="31" t="str">
        <f>IF(L87&gt;Q87,"＞","＜")</f>
        <v>＜</v>
      </c>
      <c r="Q87" s="134">
        <f>S83</f>
        <v>1.3256117318605081</v>
      </c>
      <c r="R87" s="134"/>
      <c r="S87" s="134"/>
      <c r="T87" s="27" t="s">
        <v>247</v>
      </c>
      <c r="V87" s="124" t="s">
        <v>248</v>
      </c>
      <c r="W87" s="124"/>
      <c r="X87" s="124" t="str">
        <f>IF(L87&gt;Q87,"NG","OK")</f>
        <v>OK</v>
      </c>
      <c r="Y87" s="124"/>
    </row>
    <row r="88" spans="2:28" ht="15.75" customHeight="1" x14ac:dyDescent="0.15">
      <c r="D88" s="29"/>
    </row>
    <row r="89" spans="2:28" ht="15.75" customHeight="1" x14ac:dyDescent="0.15">
      <c r="E89" s="27" t="s">
        <v>249</v>
      </c>
    </row>
    <row r="91" spans="2:28" ht="15.75" customHeight="1" x14ac:dyDescent="0.15">
      <c r="B91"/>
      <c r="C91" t="s">
        <v>564</v>
      </c>
      <c r="D91"/>
      <c r="E91"/>
      <c r="F91"/>
      <c r="G91"/>
      <c r="H91"/>
      <c r="I91"/>
      <c r="J91"/>
      <c r="K91"/>
      <c r="L91"/>
      <c r="M91"/>
      <c r="N91"/>
      <c r="O91"/>
      <c r="P91"/>
      <c r="Q91"/>
    </row>
    <row r="92" spans="2:28" ht="15.75" customHeight="1" x14ac:dyDescent="0.15">
      <c r="C92" s="29"/>
      <c r="D92" s="29"/>
    </row>
    <row r="93" spans="2:28" ht="15.75" customHeight="1" x14ac:dyDescent="0.15">
      <c r="C93" s="29"/>
      <c r="D93" s="27" t="s">
        <v>345</v>
      </c>
      <c r="E93" s="29"/>
    </row>
    <row r="94" spans="2:28" ht="15.75" customHeight="1" x14ac:dyDescent="0.15">
      <c r="C94" s="29"/>
      <c r="D94" s="27" t="s">
        <v>346</v>
      </c>
      <c r="E94" s="29"/>
    </row>
    <row r="95" spans="2:28" ht="15.75" customHeight="1" x14ac:dyDescent="0.15">
      <c r="C95" s="29"/>
      <c r="D95" s="29"/>
    </row>
    <row r="96" spans="2:28" ht="15.75" customHeight="1" x14ac:dyDescent="0.15">
      <c r="D96" s="29"/>
      <c r="E96" s="32" t="s">
        <v>320</v>
      </c>
      <c r="F96" s="31" t="s">
        <v>13</v>
      </c>
      <c r="G96" s="134">
        <f>L87</f>
        <v>0.22737733591089015</v>
      </c>
      <c r="H96" s="134"/>
      <c r="I96" s="134"/>
      <c r="J96" s="27" t="s">
        <v>239</v>
      </c>
      <c r="K96" s="31" t="str">
        <f>IF(G96&gt;L96,"＞","＜")</f>
        <v>＜</v>
      </c>
      <c r="L96" s="122">
        <v>6</v>
      </c>
      <c r="M96" s="122"/>
      <c r="N96" s="122"/>
      <c r="O96" s="27" t="s">
        <v>239</v>
      </c>
      <c r="Q96" s="124" t="s">
        <v>248</v>
      </c>
      <c r="R96" s="124"/>
      <c r="S96" s="124" t="str">
        <f>IF(G96&gt;L96,"NG","OK")</f>
        <v>OK</v>
      </c>
      <c r="T96" s="124"/>
    </row>
    <row r="98" spans="3:16" ht="15.75" customHeight="1" x14ac:dyDescent="0.15">
      <c r="E98" s="27" t="s">
        <v>347</v>
      </c>
    </row>
    <row r="103" spans="3:16" ht="15.75" customHeight="1" x14ac:dyDescent="0.15">
      <c r="C103" t="s">
        <v>565</v>
      </c>
    </row>
    <row r="105" spans="3:16" ht="15.75" customHeight="1" x14ac:dyDescent="0.15">
      <c r="D105" t="s">
        <v>566</v>
      </c>
    </row>
    <row r="106" spans="3:16" ht="15.75" customHeight="1" x14ac:dyDescent="0.15">
      <c r="D106" t="s">
        <v>567</v>
      </c>
    </row>
    <row r="107" spans="3:16" ht="15.75" customHeight="1" x14ac:dyDescent="0.15">
      <c r="D107" t="s">
        <v>568</v>
      </c>
    </row>
    <row r="108" spans="3:16" ht="15.75" customHeight="1" x14ac:dyDescent="0.15">
      <c r="D108" t="s">
        <v>569</v>
      </c>
    </row>
    <row r="110" spans="3:16" ht="15.75" customHeight="1" x14ac:dyDescent="0.15">
      <c r="E110" s="156" t="s">
        <v>570</v>
      </c>
      <c r="F110" s="156"/>
      <c r="G110" s="116" t="s">
        <v>13</v>
      </c>
      <c r="H110" s="172" t="s">
        <v>571</v>
      </c>
      <c r="I110" s="172"/>
      <c r="J110" s="116" t="s">
        <v>90</v>
      </c>
      <c r="K110" s="171" t="s">
        <v>573</v>
      </c>
      <c r="L110" s="171"/>
      <c r="M110" s="171"/>
      <c r="N110" s="171"/>
      <c r="O110" s="171"/>
      <c r="P110" s="171"/>
    </row>
    <row r="111" spans="3:16" ht="15.75" customHeight="1" x14ac:dyDescent="0.15">
      <c r="E111" s="156"/>
      <c r="F111" s="156"/>
      <c r="G111" s="116"/>
      <c r="H111" s="116" t="s">
        <v>572</v>
      </c>
      <c r="I111" s="116"/>
      <c r="J111" s="116"/>
      <c r="K111" s="169" t="s">
        <v>574</v>
      </c>
      <c r="L111" s="169"/>
      <c r="M111" s="169"/>
      <c r="N111" s="169"/>
      <c r="O111" s="169"/>
      <c r="P111" s="169"/>
    </row>
    <row r="113" spans="8:35" ht="15.75" customHeight="1" x14ac:dyDescent="0.15">
      <c r="H113" s="33" t="s">
        <v>63</v>
      </c>
      <c r="J113" t="s">
        <v>570</v>
      </c>
      <c r="L113" t="s">
        <v>65</v>
      </c>
      <c r="M113" t="s">
        <v>575</v>
      </c>
    </row>
    <row r="114" spans="8:35" ht="15.75" customHeight="1" x14ac:dyDescent="0.15">
      <c r="J114" t="s">
        <v>571</v>
      </c>
      <c r="L114" t="s">
        <v>65</v>
      </c>
      <c r="M114" t="s">
        <v>576</v>
      </c>
      <c r="X114" s="31" t="s">
        <v>67</v>
      </c>
      <c r="Y114" s="31" t="s">
        <v>13</v>
      </c>
      <c r="Z114" s="141">
        <f>V17</f>
        <v>7618.8</v>
      </c>
      <c r="AA114" s="141"/>
      <c r="AB114" s="141"/>
      <c r="AC114" s="27" t="s">
        <v>86</v>
      </c>
      <c r="AD114" s="31" t="s">
        <v>65</v>
      </c>
      <c r="AE114" s="124" t="s">
        <v>473</v>
      </c>
      <c r="AF114" s="124"/>
      <c r="AG114" s="124"/>
      <c r="AH114" s="124"/>
      <c r="AI114" s="31" t="s">
        <v>81</v>
      </c>
    </row>
    <row r="115" spans="8:35" ht="15.75" customHeight="1" x14ac:dyDescent="0.15">
      <c r="J115" t="s">
        <v>572</v>
      </c>
      <c r="L115" t="s">
        <v>577</v>
      </c>
      <c r="Q115" t="s">
        <v>572</v>
      </c>
      <c r="R115" t="s">
        <v>13</v>
      </c>
      <c r="S115" s="150" t="e">
        <f>V14</f>
        <v>#REF!</v>
      </c>
      <c r="T115" s="150"/>
      <c r="U115" s="150"/>
      <c r="V115" s="150"/>
      <c r="W115" s="38" t="s">
        <v>578</v>
      </c>
    </row>
    <row r="116" spans="8:35" ht="15.75" customHeight="1" x14ac:dyDescent="0.15">
      <c r="J116" t="s">
        <v>579</v>
      </c>
      <c r="L116" t="s">
        <v>65</v>
      </c>
      <c r="M116" t="s">
        <v>580</v>
      </c>
      <c r="X116" t="s">
        <v>581</v>
      </c>
      <c r="AA116" s="149">
        <v>1150</v>
      </c>
      <c r="AB116" s="149"/>
      <c r="AC116" s="149"/>
      <c r="AD116" t="s">
        <v>114</v>
      </c>
      <c r="AE116" s="81">
        <v>10</v>
      </c>
      <c r="AF116" s="78">
        <v>3</v>
      </c>
      <c r="AG116" s="169" t="s">
        <v>582</v>
      </c>
      <c r="AH116" s="169"/>
      <c r="AI116" s="169"/>
    </row>
    <row r="117" spans="8:35" ht="15.75" customHeight="1" x14ac:dyDescent="0.15">
      <c r="M117" t="s">
        <v>583</v>
      </c>
    </row>
    <row r="118" spans="8:35" ht="15.75" customHeight="1" x14ac:dyDescent="0.15">
      <c r="J118"/>
      <c r="L118"/>
      <c r="M118" t="s">
        <v>584</v>
      </c>
      <c r="N118" s="45" t="s">
        <v>599</v>
      </c>
    </row>
    <row r="119" spans="8:35" ht="15.75" customHeight="1" x14ac:dyDescent="0.15">
      <c r="N119" t="s">
        <v>13</v>
      </c>
      <c r="O119" t="s">
        <v>602</v>
      </c>
      <c r="P119" s="27">
        <v>2</v>
      </c>
      <c r="Q119" t="s">
        <v>114</v>
      </c>
      <c r="R119" s="176">
        <f>AE122</f>
        <v>7.05</v>
      </c>
      <c r="S119" s="176"/>
      <c r="T119" t="s">
        <v>114</v>
      </c>
      <c r="U119" s="174">
        <f>AC126</f>
        <v>2.2737733591089017E-3</v>
      </c>
      <c r="V119" s="175"/>
      <c r="W119" s="175"/>
      <c r="X119" t="s">
        <v>90</v>
      </c>
      <c r="Y119" t="s">
        <v>596</v>
      </c>
      <c r="Z119" s="176">
        <f>R119</f>
        <v>7.05</v>
      </c>
      <c r="AA119" s="176"/>
      <c r="AB119" t="s">
        <v>114</v>
      </c>
      <c r="AC119" s="174">
        <f>U119</f>
        <v>2.2737733591089017E-3</v>
      </c>
      <c r="AD119" s="175"/>
      <c r="AE119" s="175"/>
      <c r="AF119" t="s">
        <v>600</v>
      </c>
      <c r="AG119" s="83">
        <v>2</v>
      </c>
      <c r="AH119" t="s">
        <v>601</v>
      </c>
      <c r="AI119" s="82">
        <v>0.5</v>
      </c>
    </row>
    <row r="120" spans="8:35" ht="15.75" customHeight="1" x14ac:dyDescent="0.15">
      <c r="AC120" t="s">
        <v>164</v>
      </c>
      <c r="AD120" s="176">
        <f>R119</f>
        <v>7.05</v>
      </c>
      <c r="AE120" s="176"/>
      <c r="AF120" t="s">
        <v>114</v>
      </c>
      <c r="AG120" s="174">
        <f>U119</f>
        <v>2.2737733591089017E-3</v>
      </c>
      <c r="AH120" s="175"/>
      <c r="AI120" s="175"/>
    </row>
    <row r="121" spans="8:35" ht="15.75" customHeight="1" x14ac:dyDescent="0.15">
      <c r="N121" t="s">
        <v>13</v>
      </c>
      <c r="O121" s="124">
        <f>ROUND((P119*R119*U119+(Z119*AC119)^AG119)^AI119-AD120*AG120,3)</f>
        <v>0.16400000000000001</v>
      </c>
      <c r="P121" s="124"/>
      <c r="Q121" s="124"/>
    </row>
    <row r="122" spans="8:35" ht="15.75" customHeight="1" x14ac:dyDescent="0.15">
      <c r="J122" t="s">
        <v>585</v>
      </c>
      <c r="L122" t="s">
        <v>65</v>
      </c>
      <c r="M122" t="s">
        <v>586</v>
      </c>
      <c r="S122" t="s">
        <v>585</v>
      </c>
      <c r="T122" t="s">
        <v>13</v>
      </c>
      <c r="U122" t="s">
        <v>587</v>
      </c>
      <c r="Y122" s="145">
        <f>Y123</f>
        <v>200</v>
      </c>
      <c r="Z122" s="124"/>
      <c r="AA122" s="45" t="s">
        <v>588</v>
      </c>
      <c r="AB122" s="119">
        <f>Y124</f>
        <v>28.36</v>
      </c>
      <c r="AC122" s="124"/>
      <c r="AD122" t="s">
        <v>13</v>
      </c>
      <c r="AE122" s="124">
        <f>ROUND(Y122/AB122,2)</f>
        <v>7.05</v>
      </c>
      <c r="AF122" s="124"/>
    </row>
    <row r="123" spans="8:35" ht="15.75" customHeight="1" x14ac:dyDescent="0.15">
      <c r="J123" t="s">
        <v>589</v>
      </c>
      <c r="L123" t="s">
        <v>65</v>
      </c>
      <c r="M123" t="s">
        <v>590</v>
      </c>
      <c r="W123" s="31" t="s">
        <v>67</v>
      </c>
      <c r="X123" s="31" t="s">
        <v>13</v>
      </c>
      <c r="Y123" s="151">
        <v>200</v>
      </c>
      <c r="Z123" s="151"/>
      <c r="AA123" s="38" t="s">
        <v>125</v>
      </c>
      <c r="AD123" s="31" t="s">
        <v>81</v>
      </c>
    </row>
    <row r="124" spans="8:35" ht="15.75" customHeight="1" x14ac:dyDescent="0.15">
      <c r="J124" t="s">
        <v>591</v>
      </c>
      <c r="L124" t="s">
        <v>592</v>
      </c>
      <c r="W124" s="31" t="s">
        <v>67</v>
      </c>
      <c r="X124" s="31" t="s">
        <v>13</v>
      </c>
      <c r="Y124" s="129">
        <f>'躯体（線路）'!Y224</f>
        <v>28.36</v>
      </c>
      <c r="Z124" s="129"/>
      <c r="AA124" s="38" t="s">
        <v>125</v>
      </c>
      <c r="AD124" s="31" t="s">
        <v>81</v>
      </c>
    </row>
    <row r="125" spans="8:35" ht="15.75" customHeight="1" x14ac:dyDescent="0.15">
      <c r="J125" t="s">
        <v>43</v>
      </c>
      <c r="L125" t="s">
        <v>65</v>
      </c>
      <c r="M125" t="s">
        <v>593</v>
      </c>
    </row>
    <row r="126" spans="8:35" ht="15.75" customHeight="1" x14ac:dyDescent="0.15">
      <c r="M126" s="31" t="s">
        <v>13</v>
      </c>
      <c r="N126" s="119">
        <f>S127</f>
        <v>14820</v>
      </c>
      <c r="O126" s="119"/>
      <c r="P126" s="119"/>
      <c r="Q126" s="119"/>
      <c r="R126" s="36" t="s">
        <v>92</v>
      </c>
      <c r="S126" s="31" t="s">
        <v>67</v>
      </c>
      <c r="T126" s="119">
        <f>X128</f>
        <v>1700</v>
      </c>
      <c r="U126" s="119"/>
      <c r="V126" s="119"/>
      <c r="W126" s="31" t="s">
        <v>114</v>
      </c>
      <c r="X126" s="119">
        <f>X129</f>
        <v>3834</v>
      </c>
      <c r="Y126" s="119"/>
      <c r="Z126" s="119"/>
      <c r="AA126" s="31" t="s">
        <v>81</v>
      </c>
      <c r="AB126" s="31" t="s">
        <v>13</v>
      </c>
      <c r="AC126" s="147">
        <f>(N126/(T126*X126))</f>
        <v>2.2737733591089017E-3</v>
      </c>
      <c r="AD126" s="147"/>
      <c r="AE126" s="147"/>
      <c r="AF126" s="147"/>
    </row>
    <row r="127" spans="8:35" ht="15.75" customHeight="1" x14ac:dyDescent="0.15">
      <c r="J127" t="s">
        <v>594</v>
      </c>
      <c r="L127" t="s">
        <v>65</v>
      </c>
      <c r="M127" t="s">
        <v>595</v>
      </c>
      <c r="R127" s="32" t="s">
        <v>596</v>
      </c>
      <c r="S127" s="141">
        <f>'Myd（躯体最小）上端'!P26</f>
        <v>14820</v>
      </c>
      <c r="T127" s="141"/>
      <c r="U127" s="141"/>
      <c r="V127" s="141"/>
      <c r="W127" s="178" t="s">
        <v>242</v>
      </c>
      <c r="X127" s="178"/>
      <c r="Y127" s="32" t="s">
        <v>162</v>
      </c>
      <c r="Z127" s="177">
        <f>'Myd（躯体最小）上端'!P24</f>
        <v>38</v>
      </c>
      <c r="AA127" s="177"/>
      <c r="AB127" s="31" t="s">
        <v>164</v>
      </c>
      <c r="AC127" s="145">
        <f>'Myd（躯体最小）上端'!T24</f>
        <v>13</v>
      </c>
      <c r="AD127" s="124"/>
      <c r="AE127" s="31" t="s">
        <v>224</v>
      </c>
      <c r="AF127" s="31" t="s">
        <v>81</v>
      </c>
    </row>
    <row r="128" spans="8:35" ht="15.75" customHeight="1" x14ac:dyDescent="0.15">
      <c r="J128" t="s">
        <v>35</v>
      </c>
      <c r="K128"/>
      <c r="L128" s="32" t="s">
        <v>65</v>
      </c>
      <c r="M128" t="s">
        <v>196</v>
      </c>
      <c r="N128" s="42"/>
      <c r="O128" s="43"/>
      <c r="P128" s="43"/>
      <c r="Q128" s="43"/>
      <c r="V128" s="31" t="s">
        <v>67</v>
      </c>
      <c r="W128" s="31" t="s">
        <v>13</v>
      </c>
      <c r="X128" s="141">
        <f>W69</f>
        <v>1700</v>
      </c>
      <c r="Y128" s="141"/>
      <c r="Z128" s="141"/>
      <c r="AA128" s="27" t="s">
        <v>80</v>
      </c>
      <c r="AB128" s="31" t="s">
        <v>81</v>
      </c>
    </row>
    <row r="129" spans="7:39" ht="15.75" customHeight="1" x14ac:dyDescent="0.15">
      <c r="J129" t="s">
        <v>39</v>
      </c>
      <c r="K129"/>
      <c r="L129" s="32" t="s">
        <v>65</v>
      </c>
      <c r="M129" t="s">
        <v>198</v>
      </c>
      <c r="N129" s="42"/>
      <c r="O129" s="43"/>
      <c r="P129" s="43"/>
      <c r="Q129" s="43"/>
      <c r="V129" s="31" t="s">
        <v>67</v>
      </c>
      <c r="W129" s="31" t="s">
        <v>13</v>
      </c>
      <c r="X129" s="141">
        <f>W70</f>
        <v>3834</v>
      </c>
      <c r="Y129" s="141"/>
      <c r="Z129" s="141"/>
      <c r="AA129" s="27" t="s">
        <v>80</v>
      </c>
      <c r="AB129" s="31" t="s">
        <v>81</v>
      </c>
    </row>
    <row r="130" spans="7:39" ht="15.75" customHeight="1" x14ac:dyDescent="0.15">
      <c r="M130" t="s">
        <v>597</v>
      </c>
      <c r="O130" s="27">
        <v>1</v>
      </c>
      <c r="P130" t="s">
        <v>164</v>
      </c>
      <c r="Q130" t="s">
        <v>598</v>
      </c>
      <c r="S130" t="s">
        <v>13</v>
      </c>
      <c r="T130" s="27">
        <v>1</v>
      </c>
      <c r="U130" t="s">
        <v>164</v>
      </c>
      <c r="V130" s="175">
        <f>O121</f>
        <v>0.16400000000000001</v>
      </c>
      <c r="W130" s="175"/>
      <c r="X130" s="45" t="s">
        <v>588</v>
      </c>
      <c r="Y130" s="27">
        <v>3</v>
      </c>
      <c r="Z130" t="s">
        <v>13</v>
      </c>
      <c r="AA130" s="124">
        <f>ROUND(T130-V130/Y130,3)</f>
        <v>0.94499999999999995</v>
      </c>
      <c r="AB130" s="124"/>
      <c r="AC130" s="124"/>
    </row>
    <row r="132" spans="7:39" ht="15.75" customHeight="1" x14ac:dyDescent="0.15">
      <c r="G132" s="116" t="s">
        <v>116</v>
      </c>
      <c r="H132" s="156" t="s">
        <v>570</v>
      </c>
      <c r="I132" s="156"/>
      <c r="J132" s="116" t="s">
        <v>13</v>
      </c>
      <c r="K132" s="117">
        <f>Z114</f>
        <v>7618.8</v>
      </c>
      <c r="L132" s="180"/>
      <c r="M132" s="180"/>
      <c r="N132" s="85" t="s">
        <v>114</v>
      </c>
      <c r="O132" s="86">
        <v>10</v>
      </c>
      <c r="P132" s="87">
        <v>3</v>
      </c>
      <c r="Q132" s="116" t="s">
        <v>90</v>
      </c>
      <c r="R132" s="88"/>
      <c r="S132" s="88"/>
      <c r="T132" s="88"/>
      <c r="U132" s="88"/>
      <c r="V132" s="179">
        <f>AA116</f>
        <v>1150</v>
      </c>
      <c r="W132" s="179"/>
      <c r="X132" s="179"/>
      <c r="Y132" s="85" t="s">
        <v>114</v>
      </c>
      <c r="Z132" s="86">
        <v>10</v>
      </c>
      <c r="AA132" s="87">
        <v>3</v>
      </c>
      <c r="AB132" s="88"/>
      <c r="AC132" s="88"/>
      <c r="AD132" s="88"/>
      <c r="AE132" s="88"/>
      <c r="AK132" s="124" t="e">
        <f>K132*O132^P132/K133</f>
        <v>#REF!</v>
      </c>
      <c r="AL132" s="124"/>
      <c r="AM132" s="124"/>
    </row>
    <row r="133" spans="7:39" ht="15.75" customHeight="1" x14ac:dyDescent="0.15">
      <c r="G133" s="116"/>
      <c r="H133" s="156"/>
      <c r="I133" s="156"/>
      <c r="J133" s="116"/>
      <c r="K133" s="145" t="e">
        <f>S115</f>
        <v>#REF!</v>
      </c>
      <c r="L133" s="145"/>
      <c r="M133" s="145"/>
      <c r="N133" s="145"/>
      <c r="O133" s="145"/>
      <c r="P133" s="145"/>
      <c r="Q133" s="116"/>
      <c r="R133" s="175">
        <f>O121</f>
        <v>0.16400000000000001</v>
      </c>
      <c r="S133" s="175"/>
      <c r="T133" t="s">
        <v>114</v>
      </c>
      <c r="U133" s="175">
        <f>AA130</f>
        <v>0.94499999999999995</v>
      </c>
      <c r="V133" s="175"/>
      <c r="W133" t="s">
        <v>114</v>
      </c>
      <c r="X133" s="119">
        <f>X128</f>
        <v>1700</v>
      </c>
      <c r="Y133" s="124"/>
      <c r="Z133" s="124"/>
      <c r="AA133" t="s">
        <v>114</v>
      </c>
      <c r="AB133" s="119">
        <f>X129</f>
        <v>3834</v>
      </c>
      <c r="AC133" s="124"/>
      <c r="AD133" s="124"/>
      <c r="AE133" s="83">
        <v>2</v>
      </c>
      <c r="AK133" s="124">
        <f>V132*Z132^AA132/(R133*U133*X133*AB133^AE133)</f>
        <v>2.9694023324726426E-4</v>
      </c>
      <c r="AL133" s="124"/>
      <c r="AM133" s="124"/>
    </row>
    <row r="134" spans="7:39" ht="15.75" customHeight="1" x14ac:dyDescent="0.15">
      <c r="J134" t="s">
        <v>13</v>
      </c>
      <c r="K134" s="175" t="e">
        <f>ROUND(AK132+AK133,2)</f>
        <v>#REF!</v>
      </c>
      <c r="L134" s="175"/>
      <c r="M134" s="27" t="e">
        <f>IF(K134&lt;Y134,"≦","＞")</f>
        <v>#REF!</v>
      </c>
      <c r="Q134" s="33" t="s">
        <v>603</v>
      </c>
      <c r="R134" s="131">
        <v>0.4</v>
      </c>
      <c r="S134" s="131"/>
      <c r="T134" s="31" t="s">
        <v>114</v>
      </c>
      <c r="U134" s="119">
        <f>X72</f>
        <v>18.46153846153846</v>
      </c>
      <c r="V134" s="124"/>
      <c r="W134" s="124"/>
      <c r="X134" t="s">
        <v>13</v>
      </c>
      <c r="Y134" s="124">
        <f>ROUND(R134*U134,2)</f>
        <v>7.38</v>
      </c>
      <c r="Z134" s="124"/>
      <c r="AA134" s="124"/>
    </row>
    <row r="153" spans="3:4" ht="15.75" customHeight="1" x14ac:dyDescent="0.15">
      <c r="C153" t="s">
        <v>604</v>
      </c>
    </row>
    <row r="155" spans="3:4" ht="15.75" customHeight="1" x14ac:dyDescent="0.15">
      <c r="D155" t="s">
        <v>605</v>
      </c>
    </row>
    <row r="156" spans="3:4" ht="15.75" customHeight="1" x14ac:dyDescent="0.15">
      <c r="D156" t="s">
        <v>606</v>
      </c>
    </row>
    <row r="157" spans="3:4" ht="15.75" customHeight="1" x14ac:dyDescent="0.15">
      <c r="D157" t="s">
        <v>607</v>
      </c>
    </row>
    <row r="158" spans="3:4" ht="15.75" customHeight="1" x14ac:dyDescent="0.15">
      <c r="D158" t="s">
        <v>608</v>
      </c>
    </row>
    <row r="159" spans="3:4" ht="15.75" customHeight="1" x14ac:dyDescent="0.15">
      <c r="D159" t="s">
        <v>609</v>
      </c>
    </row>
    <row r="161" spans="6:29" ht="15.75" customHeight="1" x14ac:dyDescent="0.15">
      <c r="F161" t="s">
        <v>610</v>
      </c>
      <c r="Q161" t="s">
        <v>65</v>
      </c>
      <c r="R161" s="131">
        <v>150</v>
      </c>
      <c r="S161" s="131"/>
      <c r="T161" t="s">
        <v>80</v>
      </c>
    </row>
    <row r="162" spans="6:29" ht="15.75" customHeight="1" x14ac:dyDescent="0.15">
      <c r="F162" t="s">
        <v>611</v>
      </c>
      <c r="Q162" t="s">
        <v>65</v>
      </c>
      <c r="R162" s="124">
        <f>L85*2.5</f>
        <v>95</v>
      </c>
      <c r="S162" s="124"/>
      <c r="T162" t="s">
        <v>80</v>
      </c>
    </row>
    <row r="163" spans="6:29" ht="15.75" customHeight="1" x14ac:dyDescent="0.15">
      <c r="F163" t="s">
        <v>612</v>
      </c>
      <c r="Q163" t="s">
        <v>65</v>
      </c>
      <c r="R163" s="177">
        <f>L85</f>
        <v>38</v>
      </c>
      <c r="S163" s="124"/>
    </row>
    <row r="164" spans="6:29" ht="15.75" customHeight="1" x14ac:dyDescent="0.15">
      <c r="F164" t="s">
        <v>613</v>
      </c>
      <c r="Q164" t="s">
        <v>65</v>
      </c>
      <c r="R164" s="124">
        <f>R161</f>
        <v>150</v>
      </c>
      <c r="S164" s="124"/>
      <c r="T164" t="s">
        <v>164</v>
      </c>
      <c r="U164" s="181">
        <f>R163</f>
        <v>38</v>
      </c>
      <c r="V164" s="181"/>
      <c r="W164" t="s">
        <v>13</v>
      </c>
      <c r="X164" s="182">
        <f>R164-U164</f>
        <v>112</v>
      </c>
      <c r="Y164" s="159"/>
      <c r="Z164" t="s">
        <v>80</v>
      </c>
    </row>
    <row r="165" spans="6:29" ht="15.75" customHeight="1" x14ac:dyDescent="0.15">
      <c r="Q165" t="s">
        <v>65</v>
      </c>
      <c r="R165" s="124">
        <f>R162</f>
        <v>95</v>
      </c>
      <c r="S165" s="124"/>
      <c r="T165" t="s">
        <v>164</v>
      </c>
      <c r="U165" s="181">
        <f>U164</f>
        <v>38</v>
      </c>
      <c r="V165" s="181"/>
      <c r="W165" t="s">
        <v>13</v>
      </c>
      <c r="X165" s="182">
        <f>R165-U165</f>
        <v>57</v>
      </c>
      <c r="Y165" s="159"/>
      <c r="Z165" t="s">
        <v>80</v>
      </c>
    </row>
    <row r="167" spans="6:29" ht="15.75" customHeight="1" x14ac:dyDescent="0.15">
      <c r="F167" s="171" t="s">
        <v>619</v>
      </c>
      <c r="G167" s="180"/>
      <c r="H167" s="180"/>
      <c r="I167" s="180"/>
      <c r="J167" s="180"/>
      <c r="K167" s="180"/>
      <c r="L167" s="180"/>
      <c r="M167" s="180"/>
      <c r="N167" s="180"/>
      <c r="O167" s="180"/>
      <c r="P167" s="180"/>
      <c r="Q167" s="180"/>
      <c r="R167" s="180"/>
      <c r="S167" s="180"/>
      <c r="T167" s="180"/>
      <c r="U167" s="180"/>
      <c r="V167" s="180"/>
      <c r="W167" s="180"/>
      <c r="X167" s="180"/>
      <c r="Y167" s="180"/>
      <c r="Z167" s="180"/>
      <c r="AA167" s="180"/>
      <c r="AB167" s="180"/>
      <c r="AC167" s="180"/>
    </row>
    <row r="168" spans="6:29" ht="15.75" customHeight="1" thickBot="1" x14ac:dyDescent="0.2">
      <c r="F168" s="184" t="s">
        <v>614</v>
      </c>
      <c r="G168" s="184"/>
      <c r="H168" s="184"/>
      <c r="I168" s="184"/>
      <c r="J168" s="184"/>
      <c r="K168" s="183" t="s">
        <v>615</v>
      </c>
      <c r="L168" s="184"/>
      <c r="M168" s="184"/>
      <c r="N168" s="184"/>
      <c r="O168" s="184"/>
      <c r="P168" s="184"/>
      <c r="Q168" s="184"/>
      <c r="R168" s="184"/>
      <c r="S168" s="185"/>
      <c r="T168" s="184" t="s">
        <v>617</v>
      </c>
      <c r="U168" s="184"/>
      <c r="V168" s="184"/>
      <c r="W168" s="184"/>
      <c r="X168" s="184"/>
      <c r="Y168" s="184"/>
      <c r="Z168" s="184"/>
      <c r="AA168" s="184"/>
      <c r="AB168" s="184"/>
      <c r="AC168" s="184"/>
    </row>
    <row r="169" spans="6:29" ht="15.75" customHeight="1" thickTop="1" x14ac:dyDescent="0.15">
      <c r="F169" s="191" t="str">
        <f>'躯体（線路）'!F269</f>
        <v>躯体</v>
      </c>
      <c r="G169" s="191"/>
      <c r="H169" s="191"/>
      <c r="I169" s="191"/>
      <c r="J169" s="191"/>
      <c r="K169" s="187" t="s">
        <v>616</v>
      </c>
      <c r="L169" s="188"/>
      <c r="M169" s="188"/>
      <c r="N169" s="188"/>
      <c r="O169" s="188"/>
      <c r="P169" s="188"/>
      <c r="Q169" s="188"/>
      <c r="R169" s="193">
        <f>MIN(X164,X165)</f>
        <v>57</v>
      </c>
      <c r="S169" s="194"/>
      <c r="T169" s="89" t="str">
        <f>IF(R169&lt;U169,"NG","≧")</f>
        <v>≧</v>
      </c>
      <c r="U169" s="186">
        <v>40</v>
      </c>
      <c r="V169" s="186"/>
      <c r="W169" s="90" t="s">
        <v>80</v>
      </c>
      <c r="X169" s="89"/>
      <c r="Y169" s="89"/>
      <c r="Z169" s="89"/>
      <c r="AA169" s="89"/>
      <c r="AB169" s="89"/>
      <c r="AC169" s="89"/>
    </row>
    <row r="170" spans="6:29" ht="15.75" customHeight="1" x14ac:dyDescent="0.15">
      <c r="F170" s="124"/>
      <c r="G170" s="124"/>
      <c r="H170" s="124"/>
      <c r="I170" s="124"/>
      <c r="J170" s="124"/>
      <c r="K170" s="189"/>
      <c r="L170" s="116"/>
      <c r="M170" s="116"/>
      <c r="N170" s="116"/>
      <c r="O170" s="116"/>
      <c r="P170" s="116"/>
      <c r="Q170" s="116"/>
      <c r="R170" s="181"/>
      <c r="S170" s="195"/>
      <c r="T170" s="27" t="str">
        <f>IF(R169&lt;AA170,"NG","≧")</f>
        <v>≧</v>
      </c>
      <c r="U170" s="181">
        <f>U165</f>
        <v>38</v>
      </c>
      <c r="V170" s="124"/>
      <c r="W170" s="31" t="s">
        <v>114</v>
      </c>
      <c r="X170" s="131">
        <v>1.5</v>
      </c>
      <c r="Y170" s="131"/>
      <c r="Z170" t="s">
        <v>13</v>
      </c>
      <c r="AA170" s="192">
        <f>ROUND(U170*X170,1)</f>
        <v>57</v>
      </c>
      <c r="AB170" s="192"/>
      <c r="AC170" t="s">
        <v>80</v>
      </c>
    </row>
    <row r="171" spans="6:29" ht="15.75" customHeight="1" x14ac:dyDescent="0.15">
      <c r="F171" s="180"/>
      <c r="G171" s="180"/>
      <c r="H171" s="180"/>
      <c r="I171" s="180"/>
      <c r="J171" s="180"/>
      <c r="K171" s="190"/>
      <c r="L171" s="171"/>
      <c r="M171" s="171"/>
      <c r="N171" s="171"/>
      <c r="O171" s="171"/>
      <c r="P171" s="171"/>
      <c r="Q171" s="171"/>
      <c r="R171" s="196"/>
      <c r="S171" s="197"/>
      <c r="T171" s="88" t="str">
        <f>IF(R169&lt;AA171,"NG","≧")</f>
        <v>≧</v>
      </c>
      <c r="U171" s="196">
        <f>'躯体（線路）'!U271</f>
        <v>25</v>
      </c>
      <c r="V171" s="180"/>
      <c r="W171" s="84" t="s">
        <v>114</v>
      </c>
      <c r="X171" s="198" t="s">
        <v>618</v>
      </c>
      <c r="Y171" s="199"/>
      <c r="Z171" s="85" t="s">
        <v>13</v>
      </c>
      <c r="AA171" s="200">
        <f>ROUND(U171*4/3,1)</f>
        <v>33.299999999999997</v>
      </c>
      <c r="AB171" s="200"/>
      <c r="AC171" s="85" t="s">
        <v>80</v>
      </c>
    </row>
    <row r="203" spans="2:20" ht="15.75" customHeight="1" x14ac:dyDescent="0.15">
      <c r="B203"/>
      <c r="C203" t="s">
        <v>620</v>
      </c>
      <c r="D203"/>
      <c r="E203"/>
      <c r="F203"/>
      <c r="G203"/>
      <c r="H203"/>
      <c r="I203"/>
      <c r="J203"/>
      <c r="K203"/>
      <c r="L203"/>
      <c r="M203"/>
      <c r="N203"/>
      <c r="O203"/>
      <c r="P203"/>
      <c r="Q203"/>
    </row>
    <row r="205" spans="2:20" ht="15.75" customHeight="1" x14ac:dyDescent="0.15">
      <c r="D205" s="27" t="s">
        <v>444</v>
      </c>
    </row>
    <row r="206" spans="2:20" ht="15.75" customHeight="1" x14ac:dyDescent="0.15">
      <c r="D206" s="27" t="s">
        <v>445</v>
      </c>
    </row>
    <row r="208" spans="2:20" ht="15.75" customHeight="1" x14ac:dyDescent="0.15">
      <c r="F208" s="27" t="s">
        <v>348</v>
      </c>
      <c r="K208" s="315">
        <f>'躯体（線路）'!K310</f>
        <v>22</v>
      </c>
      <c r="L208" s="315"/>
      <c r="M208" s="31" t="s">
        <v>355</v>
      </c>
      <c r="N208" s="140">
        <v>1</v>
      </c>
      <c r="O208" s="140"/>
      <c r="P208" s="56" t="s">
        <v>350</v>
      </c>
      <c r="Q208" s="159" t="s">
        <v>356</v>
      </c>
      <c r="R208" s="159"/>
      <c r="S208" s="314">
        <f>'躯体（線路）'!S310</f>
        <v>150</v>
      </c>
      <c r="T208" s="314"/>
    </row>
    <row r="209" spans="2:40" ht="15.75" customHeight="1" x14ac:dyDescent="0.15">
      <c r="F209" s="27" t="s">
        <v>349</v>
      </c>
      <c r="K209" s="315">
        <f>K208</f>
        <v>22</v>
      </c>
      <c r="L209" s="315"/>
      <c r="M209" s="31" t="s">
        <v>355</v>
      </c>
      <c r="N209" s="140">
        <v>2</v>
      </c>
      <c r="O209" s="140"/>
      <c r="P209" s="56" t="s">
        <v>350</v>
      </c>
      <c r="Q209" s="159" t="s">
        <v>356</v>
      </c>
      <c r="R209" s="159"/>
      <c r="S209" s="314">
        <f>S208</f>
        <v>150</v>
      </c>
      <c r="T209" s="314"/>
    </row>
    <row r="210" spans="2:40" ht="15.75" customHeight="1" x14ac:dyDescent="0.15">
      <c r="AL210" s="124">
        <f>I211*L211+P211*S211</f>
        <v>2322.6000000000004</v>
      </c>
      <c r="AM210" s="124"/>
      <c r="AN210" s="124"/>
    </row>
    <row r="211" spans="2:40" ht="15.75" customHeight="1" x14ac:dyDescent="0.15">
      <c r="F211" s="124" t="s">
        <v>357</v>
      </c>
      <c r="G211" s="116" t="s">
        <v>124</v>
      </c>
      <c r="H211" s="124" t="s">
        <v>123</v>
      </c>
      <c r="I211" s="124">
        <f>N208*2</f>
        <v>2</v>
      </c>
      <c r="J211" s="124"/>
      <c r="K211" s="31" t="s">
        <v>246</v>
      </c>
      <c r="L211" s="119">
        <f>VLOOKUP(K208,AL1:AM11,2,FALSE)</f>
        <v>387.1</v>
      </c>
      <c r="M211" s="119"/>
      <c r="N211" s="119"/>
      <c r="O211" s="124" t="s">
        <v>358</v>
      </c>
      <c r="P211" s="124">
        <f>N209*2</f>
        <v>4</v>
      </c>
      <c r="Q211" s="124"/>
      <c r="R211" s="31" t="s">
        <v>246</v>
      </c>
      <c r="S211" s="119">
        <f>VLOOKUP(K209,AL1:AM11,2,FALSE)</f>
        <v>387.1</v>
      </c>
      <c r="T211" s="119"/>
      <c r="U211" s="119"/>
      <c r="V211" s="124" t="s">
        <v>126</v>
      </c>
      <c r="W211" s="124" t="s">
        <v>246</v>
      </c>
      <c r="X211" s="124">
        <v>100</v>
      </c>
      <c r="Y211" s="124"/>
    </row>
    <row r="212" spans="2:40" ht="15.75" customHeight="1" x14ac:dyDescent="0.15">
      <c r="F212" s="124"/>
      <c r="G212" s="116"/>
      <c r="H212" s="124"/>
      <c r="I212" s="145">
        <f>AK14</f>
        <v>1700</v>
      </c>
      <c r="J212" s="145"/>
      <c r="K212" s="145"/>
      <c r="L212" s="31" t="s">
        <v>246</v>
      </c>
      <c r="M212" s="124">
        <f>S208</f>
        <v>150</v>
      </c>
      <c r="N212" s="124"/>
      <c r="O212" s="124"/>
      <c r="P212" s="145">
        <f>I212</f>
        <v>1700</v>
      </c>
      <c r="Q212" s="145"/>
      <c r="R212" s="145"/>
      <c r="S212" s="31" t="s">
        <v>246</v>
      </c>
      <c r="T212" s="124">
        <f>S209</f>
        <v>150</v>
      </c>
      <c r="U212" s="124"/>
      <c r="V212" s="124"/>
      <c r="W212" s="124"/>
      <c r="X212" s="124"/>
      <c r="Y212" s="124"/>
    </row>
    <row r="213" spans="2:40" ht="15.75" customHeight="1" x14ac:dyDescent="0.15">
      <c r="G213" s="31" t="s">
        <v>124</v>
      </c>
      <c r="H213" s="134">
        <f>((I211*L211)/(I212*M212)+(P211*S211)/(P212*T212))*X211</f>
        <v>0.91082352941176459</v>
      </c>
      <c r="I213" s="134"/>
      <c r="J213" s="134"/>
      <c r="K213" s="27" t="s">
        <v>247</v>
      </c>
      <c r="L213" s="31" t="str">
        <f>IF(H213&gt;M213,"＞","＜")</f>
        <v>＞</v>
      </c>
      <c r="M213" s="125">
        <v>0.15</v>
      </c>
      <c r="N213" s="125"/>
      <c r="O213" s="125"/>
      <c r="P213" s="27" t="s">
        <v>247</v>
      </c>
      <c r="R213" s="124" t="s">
        <v>248</v>
      </c>
      <c r="S213" s="124"/>
      <c r="T213" s="124" t="str">
        <f>IF(H213&lt;M213,"NG","OK")</f>
        <v>OK</v>
      </c>
      <c r="U213" s="124"/>
    </row>
    <row r="215" spans="2:40" ht="15.75" hidden="1" customHeight="1" x14ac:dyDescent="0.15">
      <c r="F215" s="27" t="s">
        <v>465</v>
      </c>
      <c r="G215" s="31"/>
      <c r="H215" s="62"/>
      <c r="I215" s="62"/>
      <c r="J215" s="62"/>
      <c r="L215" s="31"/>
      <c r="M215" s="54"/>
      <c r="N215" s="54"/>
      <c r="O215" s="54"/>
      <c r="R215" s="31"/>
      <c r="S215" s="31"/>
      <c r="T215" s="31"/>
      <c r="U215" s="31"/>
    </row>
    <row r="216" spans="2:40" ht="15.75" hidden="1" customHeight="1" x14ac:dyDescent="0.15">
      <c r="G216" s="31"/>
      <c r="H216" s="62"/>
      <c r="I216" s="62"/>
      <c r="J216" s="62"/>
      <c r="L216" s="31"/>
      <c r="M216" s="54"/>
      <c r="N216" s="54"/>
      <c r="O216" s="54"/>
      <c r="R216" s="31"/>
      <c r="S216" s="31"/>
      <c r="T216" s="31"/>
      <c r="U216" s="31"/>
    </row>
    <row r="217" spans="2:40" ht="15.75" customHeight="1" x14ac:dyDescent="0.15">
      <c r="B217"/>
      <c r="C217" t="s">
        <v>675</v>
      </c>
      <c r="D217"/>
      <c r="E217"/>
      <c r="F217"/>
      <c r="G217"/>
      <c r="H217"/>
      <c r="I217"/>
      <c r="J217"/>
      <c r="K217"/>
      <c r="L217"/>
      <c r="M217"/>
      <c r="N217"/>
      <c r="O217"/>
      <c r="P217"/>
      <c r="Q217"/>
    </row>
    <row r="219" spans="2:40" ht="15.75" customHeight="1" x14ac:dyDescent="0.15">
      <c r="D219" s="27" t="s">
        <v>463</v>
      </c>
    </row>
    <row r="220" spans="2:40" ht="15.75" customHeight="1" x14ac:dyDescent="0.15">
      <c r="D220" s="27" t="s">
        <v>446</v>
      </c>
    </row>
    <row r="221" spans="2:40" ht="15.75" customHeight="1" x14ac:dyDescent="0.15">
      <c r="D221" s="27" t="s">
        <v>447</v>
      </c>
    </row>
    <row r="222" spans="2:40" ht="15.75" customHeight="1" x14ac:dyDescent="0.15">
      <c r="D222" s="27" t="s">
        <v>448</v>
      </c>
    </row>
    <row r="224" spans="2:40" ht="15.75" customHeight="1" x14ac:dyDescent="0.15">
      <c r="E224" s="27" t="s">
        <v>449</v>
      </c>
      <c r="P224" s="31" t="s">
        <v>52</v>
      </c>
      <c r="Q224" s="119">
        <f>V86</f>
        <v>3834</v>
      </c>
      <c r="R224" s="119"/>
      <c r="S224" s="119"/>
      <c r="T224" s="27" t="s">
        <v>450</v>
      </c>
      <c r="U224" s="401">
        <f>'躯体（線路）'!U326</f>
        <v>0.25</v>
      </c>
      <c r="V224" s="124"/>
      <c r="W224" s="31" t="s">
        <v>451</v>
      </c>
      <c r="X224" s="145">
        <f>Q224*U224</f>
        <v>958.5</v>
      </c>
      <c r="Y224" s="145"/>
      <c r="Z224" s="145"/>
      <c r="AA224" s="27" t="s">
        <v>452</v>
      </c>
    </row>
    <row r="225" spans="4:27" ht="15.75" customHeight="1" x14ac:dyDescent="0.15">
      <c r="E225" s="27" t="s">
        <v>453</v>
      </c>
      <c r="P225" s="31" t="s">
        <v>222</v>
      </c>
      <c r="Q225" s="124">
        <f>'躯体（線路）'!Z19</f>
        <v>38</v>
      </c>
      <c r="R225" s="124"/>
      <c r="S225" s="124"/>
      <c r="T225" s="27" t="s">
        <v>235</v>
      </c>
      <c r="U225" s="209">
        <f>'躯体（線路）'!U327</f>
        <v>8</v>
      </c>
      <c r="V225" s="124"/>
      <c r="W225" s="31" t="s">
        <v>222</v>
      </c>
      <c r="X225" s="145">
        <f>Q225*U225</f>
        <v>304</v>
      </c>
      <c r="Y225" s="145"/>
      <c r="Z225" s="145"/>
      <c r="AA225" s="27" t="s">
        <v>454</v>
      </c>
    </row>
    <row r="226" spans="4:27" ht="15.75" customHeight="1" x14ac:dyDescent="0.15">
      <c r="E226" s="27" t="s">
        <v>455</v>
      </c>
      <c r="P226" s="31" t="s">
        <v>456</v>
      </c>
      <c r="Q226" s="124">
        <f>K208</f>
        <v>22</v>
      </c>
      <c r="R226" s="124"/>
      <c r="S226" s="124"/>
      <c r="T226" s="27" t="s">
        <v>457</v>
      </c>
      <c r="U226" s="209">
        <f>'躯体（線路）'!U328</f>
        <v>24</v>
      </c>
      <c r="V226" s="124"/>
      <c r="W226" s="31" t="s">
        <v>458</v>
      </c>
      <c r="X226" s="145">
        <f>Q226*U226</f>
        <v>528</v>
      </c>
      <c r="Y226" s="145"/>
      <c r="Z226" s="145"/>
      <c r="AA226" s="27" t="s">
        <v>459</v>
      </c>
    </row>
    <row r="227" spans="4:27" ht="15.75" customHeight="1" x14ac:dyDescent="0.15">
      <c r="E227" s="27" t="s">
        <v>460</v>
      </c>
    </row>
    <row r="229" spans="4:27" ht="15.75" customHeight="1" x14ac:dyDescent="0.15">
      <c r="E229" s="27" t="s">
        <v>461</v>
      </c>
      <c r="I229" s="31" t="s">
        <v>462</v>
      </c>
      <c r="J229" s="27" t="str">
        <f>"上記最小間隔は"&amp;MIN(X224,X225,X226,300)&amp;"mmに対して計算上の配置間隔は"&amp;MAX(S208,S209)&amp;"mmより満足する。"</f>
        <v>上記最小間隔は300mmに対して計算上の配置間隔は150mmより満足する。</v>
      </c>
    </row>
    <row r="230" spans="4:27" ht="15.75" customHeight="1" x14ac:dyDescent="0.15">
      <c r="I230" s="31"/>
    </row>
    <row r="231" spans="4:27" ht="15.75" customHeight="1" x14ac:dyDescent="0.15">
      <c r="D231" s="27" t="s">
        <v>466</v>
      </c>
      <c r="G231" s="31"/>
      <c r="H231" s="62"/>
      <c r="I231" s="62"/>
      <c r="J231" s="62"/>
      <c r="L231" s="31"/>
      <c r="M231" s="54"/>
      <c r="N231" s="54"/>
      <c r="O231" s="54"/>
      <c r="R231" s="31"/>
      <c r="S231" s="31"/>
      <c r="T231" s="31"/>
      <c r="U231" s="31"/>
    </row>
    <row r="232" spans="4:27" ht="15.75" customHeight="1" x14ac:dyDescent="0.15">
      <c r="D232" s="27" t="s">
        <v>467</v>
      </c>
      <c r="G232" s="31"/>
      <c r="H232" s="62"/>
      <c r="I232" s="62"/>
      <c r="J232" s="62"/>
      <c r="L232" s="31"/>
      <c r="M232" s="54"/>
      <c r="N232" s="54"/>
      <c r="O232" s="54"/>
      <c r="R232" s="31"/>
      <c r="S232" s="31"/>
      <c r="T232" s="31"/>
      <c r="U232" s="31"/>
    </row>
    <row r="233" spans="4:27" ht="15.75" customHeight="1" x14ac:dyDescent="0.15">
      <c r="D233" s="27" t="s">
        <v>468</v>
      </c>
      <c r="G233" s="31"/>
      <c r="H233" s="62"/>
      <c r="I233" s="62"/>
      <c r="J233" s="62"/>
      <c r="L233" s="31"/>
      <c r="M233" s="54"/>
      <c r="N233" s="54"/>
      <c r="O233" s="54"/>
      <c r="R233" s="31"/>
      <c r="S233" s="31"/>
      <c r="T233" s="31"/>
      <c r="U233" s="31"/>
    </row>
    <row r="234" spans="4:27" ht="15.75" customHeight="1" x14ac:dyDescent="0.15">
      <c r="G234" s="31"/>
      <c r="H234" s="62"/>
      <c r="I234" s="62"/>
      <c r="J234" s="62"/>
      <c r="L234" s="31"/>
      <c r="M234" s="54"/>
      <c r="N234" s="54"/>
      <c r="O234" s="54"/>
      <c r="R234" s="31"/>
      <c r="S234" s="31"/>
      <c r="T234" s="31"/>
      <c r="U234" s="31"/>
    </row>
    <row r="235" spans="4:27" ht="15.75" customHeight="1" x14ac:dyDescent="0.15">
      <c r="E235" s="27" t="str">
        <f>"・帯鉄筋の直径は"&amp;FIXED(K208,0)&amp;"mmであり"&amp;FIXED(K208,0)&amp;"×48＝"&amp;FIXED(K208*48,0,3)&amp;"mm"</f>
        <v>・帯鉄筋の直径は22mmであり22×48＝1056mm</v>
      </c>
      <c r="G235" s="31"/>
      <c r="H235" s="62"/>
      <c r="I235" s="62"/>
      <c r="J235" s="62"/>
      <c r="L235" s="31"/>
      <c r="M235" s="54"/>
      <c r="N235" s="54"/>
      <c r="O235" s="54"/>
      <c r="R235" s="31"/>
      <c r="S235" s="31"/>
      <c r="T235" s="31"/>
      <c r="U235" s="31"/>
    </row>
    <row r="236" spans="4:27" ht="15.75" customHeight="1" x14ac:dyDescent="0.15">
      <c r="E236" s="27" t="str">
        <f>"よって、帯鉄筋の横方向の必要配置間隔は"&amp;FIXED(K208*48,0,3)&amp;"mmとなる。"</f>
        <v>よって、帯鉄筋の横方向の必要配置間隔は1056mmとなる。</v>
      </c>
      <c r="G236" s="31"/>
      <c r="H236" s="62"/>
      <c r="I236" s="62"/>
      <c r="J236" s="62"/>
      <c r="L236" s="31"/>
      <c r="M236" s="54"/>
      <c r="N236" s="54"/>
      <c r="O236" s="54"/>
      <c r="R236" s="31"/>
      <c r="S236" s="31"/>
      <c r="T236" s="31"/>
      <c r="U236" s="31"/>
    </row>
    <row r="237" spans="4:27" ht="15.75" customHeight="1" x14ac:dyDescent="0.15">
      <c r="E237" s="27" t="str">
        <f>"中間帯鉄筋を"&amp;FIXED(N209,1)&amp;"組配置することにより満足する。"</f>
        <v>中間帯鉄筋を2.0組配置することにより満足する。</v>
      </c>
      <c r="G237" s="31"/>
      <c r="H237" s="62"/>
      <c r="I237" s="62"/>
      <c r="J237" s="62"/>
      <c r="L237" s="31"/>
      <c r="M237" s="54"/>
      <c r="N237" s="54"/>
      <c r="O237" s="54"/>
      <c r="R237" s="31"/>
      <c r="S237" s="31"/>
      <c r="T237" s="31"/>
      <c r="U237" s="31"/>
    </row>
    <row r="238" spans="4:27" ht="15.75" customHeight="1" x14ac:dyDescent="0.15">
      <c r="G238" s="31"/>
      <c r="H238" s="62"/>
      <c r="I238" s="62"/>
      <c r="J238" s="62"/>
      <c r="L238" s="31"/>
      <c r="M238" s="54"/>
      <c r="N238" s="54"/>
      <c r="O238" s="54"/>
      <c r="R238" s="31"/>
      <c r="S238" s="31"/>
      <c r="T238" s="31"/>
      <c r="U238" s="31"/>
    </row>
    <row r="239" spans="4:27" ht="15.75" customHeight="1" x14ac:dyDescent="0.15">
      <c r="G239" s="31"/>
      <c r="H239" s="62"/>
      <c r="I239" s="62"/>
      <c r="J239" s="62"/>
      <c r="L239" s="31"/>
      <c r="M239" s="54"/>
      <c r="N239" s="54"/>
      <c r="O239" s="54"/>
      <c r="R239" s="31"/>
      <c r="S239" s="31"/>
      <c r="T239" s="31"/>
      <c r="U239" s="31"/>
    </row>
    <row r="240" spans="4:27" ht="15.75" customHeight="1" x14ac:dyDescent="0.15">
      <c r="G240" s="31"/>
      <c r="H240" s="62"/>
      <c r="I240" s="62"/>
      <c r="J240" s="62"/>
      <c r="L240" s="31"/>
      <c r="M240" s="54"/>
      <c r="N240" s="54"/>
      <c r="O240" s="54"/>
      <c r="R240" s="31"/>
      <c r="S240" s="31"/>
      <c r="T240" s="31"/>
      <c r="U240" s="31"/>
    </row>
    <row r="241" spans="3:26" ht="15.75" customHeight="1" x14ac:dyDescent="0.15">
      <c r="G241" s="31"/>
      <c r="H241" s="62"/>
      <c r="I241" s="62"/>
      <c r="J241" s="62"/>
      <c r="L241" s="31"/>
      <c r="M241" s="54"/>
      <c r="N241" s="54"/>
      <c r="O241" s="54"/>
      <c r="R241" s="31"/>
      <c r="S241" s="31"/>
      <c r="T241" s="31"/>
      <c r="U241" s="31"/>
    </row>
    <row r="242" spans="3:26" ht="15.75" customHeight="1" x14ac:dyDescent="0.15">
      <c r="G242" s="31"/>
      <c r="H242" s="62"/>
      <c r="I242" s="62"/>
      <c r="J242" s="62"/>
      <c r="L242" s="31"/>
      <c r="M242" s="54"/>
      <c r="N242" s="54"/>
      <c r="O242" s="54"/>
      <c r="R242" s="31"/>
      <c r="S242" s="31"/>
      <c r="T242" s="31"/>
      <c r="U242" s="31"/>
    </row>
    <row r="243" spans="3:26" ht="15.75" customHeight="1" x14ac:dyDescent="0.15">
      <c r="G243" s="31"/>
      <c r="H243" s="62"/>
      <c r="I243" s="62"/>
      <c r="J243" s="62"/>
      <c r="L243" s="31"/>
      <c r="M243" s="54"/>
      <c r="N243" s="54"/>
      <c r="O243" s="54"/>
      <c r="R243" s="31"/>
      <c r="S243" s="31"/>
      <c r="T243" s="31"/>
      <c r="U243" s="31"/>
    </row>
    <row r="244" spans="3:26" ht="15.75" customHeight="1" x14ac:dyDescent="0.15">
      <c r="G244" s="31"/>
      <c r="H244" s="62"/>
      <c r="I244" s="62"/>
      <c r="J244" s="62"/>
      <c r="L244" s="31"/>
      <c r="M244" s="54"/>
      <c r="N244" s="54"/>
      <c r="O244" s="54"/>
      <c r="R244" s="31"/>
      <c r="S244" s="31"/>
      <c r="T244" s="31"/>
      <c r="U244" s="31"/>
    </row>
    <row r="245" spans="3:26" ht="15.75" customHeight="1" x14ac:dyDescent="0.15">
      <c r="G245" s="31"/>
      <c r="H245" s="62"/>
      <c r="I245" s="62"/>
      <c r="J245" s="62"/>
      <c r="L245" s="31"/>
      <c r="M245" s="54"/>
      <c r="N245" s="54"/>
      <c r="O245" s="54"/>
      <c r="R245" s="31"/>
      <c r="S245" s="31"/>
      <c r="T245" s="31"/>
      <c r="U245" s="31"/>
    </row>
    <row r="246" spans="3:26" ht="15.75" customHeight="1" x14ac:dyDescent="0.15">
      <c r="G246" s="31"/>
      <c r="H246" s="62"/>
      <c r="I246" s="62"/>
      <c r="J246" s="62"/>
      <c r="L246" s="31"/>
      <c r="M246" s="54"/>
      <c r="N246" s="54"/>
      <c r="O246" s="54"/>
      <c r="R246" s="31"/>
      <c r="S246" s="31"/>
      <c r="T246" s="31"/>
      <c r="U246" s="31"/>
    </row>
    <row r="247" spans="3:26" ht="15.75" customHeight="1" x14ac:dyDescent="0.15">
      <c r="G247" s="31"/>
      <c r="H247" s="62"/>
      <c r="I247" s="62"/>
      <c r="J247" s="62"/>
      <c r="L247" s="31"/>
      <c r="M247" s="54"/>
      <c r="N247" s="54"/>
      <c r="O247" s="54"/>
      <c r="R247" s="31"/>
      <c r="S247" s="31"/>
      <c r="T247" s="31"/>
      <c r="U247" s="31"/>
    </row>
    <row r="248" spans="3:26" ht="15.75" customHeight="1" x14ac:dyDescent="0.15">
      <c r="G248" s="31"/>
      <c r="H248" s="62"/>
      <c r="I248" s="62"/>
      <c r="J248" s="62"/>
      <c r="L248" s="31"/>
      <c r="M248" s="54"/>
      <c r="N248" s="54"/>
      <c r="O248" s="54"/>
      <c r="R248" s="31"/>
      <c r="S248" s="31"/>
      <c r="T248" s="31"/>
      <c r="U248" s="31"/>
    </row>
    <row r="249" spans="3:26" ht="15.75" customHeight="1" x14ac:dyDescent="0.15">
      <c r="G249" s="31"/>
      <c r="H249" s="62"/>
      <c r="I249" s="62"/>
      <c r="J249" s="62"/>
      <c r="L249" s="31"/>
      <c r="M249" s="54"/>
      <c r="N249" s="54"/>
      <c r="O249" s="54"/>
      <c r="R249" s="31"/>
      <c r="S249" s="31"/>
      <c r="T249" s="31"/>
      <c r="U249" s="31"/>
    </row>
    <row r="250" spans="3:26" ht="15.75" customHeight="1" x14ac:dyDescent="0.15">
      <c r="G250" s="31"/>
      <c r="H250" s="62"/>
      <c r="I250" s="62"/>
      <c r="J250" s="62"/>
      <c r="L250" s="31"/>
      <c r="M250" s="54"/>
      <c r="N250" s="54"/>
      <c r="O250" s="54"/>
      <c r="R250" s="31"/>
      <c r="S250" s="31"/>
      <c r="T250" s="31"/>
      <c r="U250" s="31"/>
    </row>
    <row r="253" spans="3:26" ht="15.75" customHeight="1" x14ac:dyDescent="0.15">
      <c r="C253" t="s">
        <v>641</v>
      </c>
    </row>
    <row r="255" spans="3:26" ht="15.75" customHeight="1" x14ac:dyDescent="0.15">
      <c r="D255" s="93" t="s">
        <v>624</v>
      </c>
      <c r="E255" s="94"/>
      <c r="F255" s="95"/>
      <c r="G255" s="95"/>
      <c r="H255" s="95"/>
      <c r="I255" s="95"/>
      <c r="J255" s="95"/>
      <c r="K255" s="95"/>
      <c r="L255" s="95"/>
      <c r="M255" s="95"/>
      <c r="N255" s="96"/>
      <c r="O255" s="96"/>
      <c r="P255" s="97"/>
      <c r="Q255" s="98"/>
      <c r="R255" s="98"/>
      <c r="S255" s="97"/>
      <c r="T255" s="99"/>
      <c r="U255" s="99"/>
      <c r="V255" s="97"/>
      <c r="W255" s="97"/>
      <c r="X255" s="100"/>
    </row>
    <row r="256" spans="3:26" ht="15.75" customHeight="1" x14ac:dyDescent="0.15">
      <c r="D256" s="101"/>
      <c r="E256" s="319">
        <v>2.1000000000000001E-2</v>
      </c>
      <c r="F256" s="319"/>
      <c r="G256" s="319"/>
      <c r="H256" s="109" t="s">
        <v>625</v>
      </c>
      <c r="I256" s="110" t="s">
        <v>626</v>
      </c>
      <c r="J256" s="109" t="s">
        <v>625</v>
      </c>
      <c r="K256" s="110" t="s">
        <v>627</v>
      </c>
      <c r="L256" s="109" t="s">
        <v>628</v>
      </c>
      <c r="M256" s="319">
        <v>1.2999999999999999E-2</v>
      </c>
      <c r="N256" s="319"/>
      <c r="O256" s="319"/>
      <c r="P256" s="109" t="s">
        <v>629</v>
      </c>
      <c r="Q256" s="176">
        <v>0.04</v>
      </c>
      <c r="R256" s="176"/>
      <c r="S256" s="97"/>
      <c r="T256" s="97"/>
      <c r="U256" s="102"/>
      <c r="V256" s="94"/>
      <c r="W256" s="97"/>
      <c r="X256" s="103"/>
      <c r="Y256" s="103"/>
      <c r="Z256" s="104"/>
    </row>
    <row r="257" spans="3:30" s="320" customFormat="1" ht="15.75" customHeight="1" x14ac:dyDescent="0.15">
      <c r="D257" s="321"/>
      <c r="E257" s="322"/>
      <c r="F257" s="322"/>
      <c r="G257" s="322"/>
      <c r="H257" s="323"/>
      <c r="I257" s="324"/>
      <c r="J257" s="323"/>
      <c r="K257" s="324"/>
      <c r="L257" s="323"/>
      <c r="M257" s="322"/>
      <c r="N257" s="322"/>
      <c r="O257" s="322"/>
      <c r="P257" s="323"/>
      <c r="Q257" s="325"/>
      <c r="R257" s="325"/>
      <c r="S257" s="326"/>
      <c r="T257" s="326"/>
      <c r="U257" s="327"/>
      <c r="V257" s="328"/>
      <c r="W257" s="326"/>
      <c r="X257" s="329"/>
      <c r="Y257" s="329"/>
      <c r="Z257" s="330"/>
    </row>
    <row r="258" spans="3:30" ht="15.75" customHeight="1" x14ac:dyDescent="0.15">
      <c r="D258" s="93" t="s">
        <v>386</v>
      </c>
      <c r="E258" s="94"/>
      <c r="F258" s="105"/>
      <c r="G258" s="94" t="s">
        <v>627</v>
      </c>
      <c r="H258" s="106" t="s">
        <v>388</v>
      </c>
      <c r="I258" s="93" t="s">
        <v>630</v>
      </c>
      <c r="J258" s="107"/>
      <c r="K258" s="107"/>
      <c r="L258" s="97" t="s">
        <v>631</v>
      </c>
      <c r="M258" s="94" t="s">
        <v>632</v>
      </c>
      <c r="N258" s="97" t="s">
        <v>633</v>
      </c>
      <c r="O258" s="94" t="s">
        <v>634</v>
      </c>
      <c r="P258" s="97" t="s">
        <v>625</v>
      </c>
      <c r="Q258" s="94" t="s">
        <v>635</v>
      </c>
      <c r="R258" s="108" t="s">
        <v>636</v>
      </c>
      <c r="S258" s="104"/>
      <c r="Y258" s="108"/>
    </row>
    <row r="259" spans="3:30" ht="15.75" customHeight="1" x14ac:dyDescent="0.15">
      <c r="D259" s="93"/>
      <c r="E259" s="94"/>
      <c r="F259" s="105"/>
      <c r="G259" s="94" t="s">
        <v>626</v>
      </c>
      <c r="H259" s="106" t="s">
        <v>388</v>
      </c>
      <c r="I259" s="93" t="s">
        <v>637</v>
      </c>
      <c r="J259" s="95"/>
      <c r="K259" s="95"/>
      <c r="L259" s="95"/>
      <c r="M259" s="95"/>
      <c r="N259" s="95"/>
      <c r="O259" s="95"/>
      <c r="P259" s="97"/>
      <c r="Q259" s="97"/>
      <c r="S259" s="310" t="s">
        <v>631</v>
      </c>
      <c r="T259" s="125">
        <f>'躯体（線路）'!T359</f>
        <v>1.1499999999999999</v>
      </c>
      <c r="U259" s="125"/>
      <c r="V259" s="125"/>
      <c r="W259" s="311" t="s">
        <v>67</v>
      </c>
      <c r="X259" s="309">
        <f>'躯体（線路）'!X359</f>
        <v>390</v>
      </c>
      <c r="Y259" s="309"/>
      <c r="Z259" s="309"/>
      <c r="AA259" s="312" t="s">
        <v>81</v>
      </c>
    </row>
    <row r="260" spans="3:30" ht="15.75" customHeight="1" x14ac:dyDescent="0.15">
      <c r="D260" s="93"/>
      <c r="E260" s="94"/>
      <c r="F260" s="105"/>
      <c r="G260" s="94"/>
      <c r="H260" s="106"/>
      <c r="I260" s="94" t="s">
        <v>627</v>
      </c>
      <c r="J260" s="95" t="s">
        <v>638</v>
      </c>
      <c r="K260" s="206">
        <f>AL210</f>
        <v>2322.6000000000004</v>
      </c>
      <c r="L260" s="206"/>
      <c r="M260" s="206"/>
      <c r="N260" s="201" t="s">
        <v>633</v>
      </c>
      <c r="O260" s="201"/>
      <c r="P260" s="313">
        <f>X128</f>
        <v>1700</v>
      </c>
      <c r="Q260" s="202"/>
      <c r="R260" s="202"/>
      <c r="S260" s="97" t="s">
        <v>639</v>
      </c>
      <c r="T260" s="316">
        <f>S209</f>
        <v>150</v>
      </c>
      <c r="U260" s="316"/>
      <c r="V260" s="317" t="s">
        <v>640</v>
      </c>
      <c r="W260" s="97" t="s">
        <v>639</v>
      </c>
      <c r="X260" s="131">
        <v>100</v>
      </c>
      <c r="Y260" s="131"/>
      <c r="Z260" s="108" t="s">
        <v>13</v>
      </c>
      <c r="AA260" s="318">
        <f>ROUND(K260/(P260*T260),6)</f>
        <v>9.1079999999999998E-3</v>
      </c>
      <c r="AB260" s="318"/>
      <c r="AC260" s="318"/>
      <c r="AD260" s="318"/>
    </row>
    <row r="261" spans="3:30" s="320" customFormat="1" ht="15.75" customHeight="1" x14ac:dyDescent="0.15">
      <c r="D261" s="331"/>
      <c r="E261" s="328"/>
      <c r="F261" s="332"/>
      <c r="G261" s="328"/>
      <c r="H261" s="333"/>
      <c r="I261" s="328"/>
      <c r="J261" s="334"/>
      <c r="K261" s="333"/>
      <c r="L261" s="333"/>
      <c r="M261" s="333"/>
      <c r="N261" s="326"/>
      <c r="O261" s="326"/>
      <c r="P261" s="335"/>
      <c r="Q261" s="336"/>
      <c r="R261" s="336"/>
      <c r="S261" s="326"/>
      <c r="T261" s="337"/>
      <c r="U261" s="337"/>
      <c r="V261" s="338"/>
      <c r="W261" s="326"/>
      <c r="X261" s="339"/>
      <c r="Y261" s="339"/>
      <c r="Z261" s="340"/>
      <c r="AA261" s="341"/>
      <c r="AB261" s="341"/>
      <c r="AC261" s="341"/>
      <c r="AD261" s="341"/>
    </row>
    <row r="262" spans="3:30" ht="15.75" customHeight="1" x14ac:dyDescent="0.15">
      <c r="D262" s="104"/>
      <c r="E262" s="203">
        <f>E256</f>
        <v>2.1000000000000001E-2</v>
      </c>
      <c r="F262" s="203"/>
      <c r="G262" s="203"/>
      <c r="H262" s="97" t="s">
        <v>639</v>
      </c>
      <c r="I262" s="205">
        <f>T259</f>
        <v>1.1499999999999999</v>
      </c>
      <c r="J262" s="204"/>
      <c r="K262" s="97" t="s">
        <v>639</v>
      </c>
      <c r="L262" s="203">
        <f>AA260*100</f>
        <v>0.91079999999999994</v>
      </c>
      <c r="M262" s="203"/>
      <c r="N262" s="203"/>
      <c r="O262" s="97" t="s">
        <v>628</v>
      </c>
      <c r="P262" s="134">
        <f>M256</f>
        <v>1.2999999999999999E-2</v>
      </c>
      <c r="Q262" s="134"/>
      <c r="R262" s="134"/>
      <c r="S262" s="104" t="s">
        <v>638</v>
      </c>
      <c r="T262" s="375">
        <f>ROUND(E262*I262*L262+P262,3)</f>
        <v>3.5000000000000003E-2</v>
      </c>
      <c r="U262" s="375"/>
      <c r="V262" s="375"/>
      <c r="W262" s="97" t="str">
        <f>IF(T262&gt;X262,"＞","≦")</f>
        <v>≦</v>
      </c>
      <c r="X262" s="157">
        <v>0.04</v>
      </c>
      <c r="Y262" s="157"/>
      <c r="Z262" s="157"/>
      <c r="AA262" s="97"/>
      <c r="AB262" s="97"/>
    </row>
    <row r="264" spans="3:30" ht="15.75" customHeight="1" x14ac:dyDescent="0.15">
      <c r="C264" s="306" t="s">
        <v>642</v>
      </c>
    </row>
    <row r="266" spans="3:30" ht="15.75" customHeight="1" x14ac:dyDescent="0.15">
      <c r="D266" s="93" t="s">
        <v>643</v>
      </c>
      <c r="E266" s="93"/>
      <c r="F266" s="102"/>
      <c r="G266" s="342"/>
      <c r="H266" s="342"/>
      <c r="I266" s="343"/>
      <c r="J266" s="343"/>
      <c r="K266" s="344"/>
      <c r="L266" s="344"/>
      <c r="M266" s="345"/>
      <c r="N266" s="345"/>
      <c r="O266" s="345"/>
      <c r="P266" s="93"/>
      <c r="Q266" s="104"/>
      <c r="R266" s="104"/>
      <c r="S266" s="104"/>
      <c r="T266" s="104"/>
      <c r="U266" s="104"/>
      <c r="V266" s="104"/>
      <c r="W266" s="104"/>
      <c r="X266" s="104"/>
    </row>
    <row r="267" spans="3:30" ht="15.75" customHeight="1" x14ac:dyDescent="0.15">
      <c r="D267" s="93"/>
      <c r="E267" s="32" t="s">
        <v>644</v>
      </c>
      <c r="F267" s="346" t="s">
        <v>645</v>
      </c>
      <c r="G267" s="116" t="s">
        <v>646</v>
      </c>
      <c r="H267" s="116"/>
      <c r="I267" s="346" t="s">
        <v>647</v>
      </c>
      <c r="J267" s="116" t="s">
        <v>648</v>
      </c>
      <c r="K267" s="116"/>
      <c r="L267" s="346" t="s">
        <v>649</v>
      </c>
      <c r="M267" s="347">
        <v>0.1</v>
      </c>
      <c r="N267" s="347"/>
      <c r="O267" s="345"/>
      <c r="P267" s="93"/>
      <c r="Q267" s="104"/>
      <c r="R267" s="104"/>
      <c r="S267" s="104"/>
      <c r="T267" s="104"/>
      <c r="U267" s="104"/>
      <c r="V267" s="104"/>
      <c r="W267" s="104"/>
      <c r="X267" s="104"/>
    </row>
    <row r="268" spans="3:30" ht="15.75" customHeight="1" x14ac:dyDescent="0.15">
      <c r="D268" s="93"/>
      <c r="E268" s="32"/>
      <c r="F268" s="346"/>
      <c r="G268" s="32"/>
      <c r="H268" s="32"/>
      <c r="I268" s="346"/>
      <c r="J268" s="32"/>
      <c r="K268" s="32"/>
      <c r="L268" s="346"/>
      <c r="M268" s="357"/>
      <c r="N268" s="357"/>
      <c r="O268" s="345"/>
      <c r="P268" s="93"/>
      <c r="Q268" s="104"/>
      <c r="R268" s="104"/>
      <c r="S268" s="104"/>
      <c r="T268" s="104"/>
      <c r="U268" s="104"/>
      <c r="V268" s="104"/>
      <c r="W268" s="104"/>
      <c r="X268" s="104"/>
    </row>
    <row r="269" spans="3:30" ht="15.75" customHeight="1" x14ac:dyDescent="0.15">
      <c r="D269" s="93" t="s">
        <v>386</v>
      </c>
      <c r="E269" s="93"/>
      <c r="F269" s="102"/>
      <c r="G269" s="94" t="s">
        <v>650</v>
      </c>
      <c r="H269" s="348" t="s">
        <v>651</v>
      </c>
      <c r="I269" s="93" t="s">
        <v>652</v>
      </c>
      <c r="J269" s="343"/>
      <c r="K269" s="344"/>
      <c r="L269" s="344"/>
      <c r="M269" s="345"/>
      <c r="N269" s="345"/>
      <c r="O269" s="345"/>
      <c r="P269" s="93"/>
      <c r="Q269" s="104"/>
      <c r="R269" s="104"/>
      <c r="S269" s="104"/>
      <c r="T269" s="104"/>
      <c r="U269" s="104"/>
    </row>
    <row r="270" spans="3:30" ht="15.75" customHeight="1" x14ac:dyDescent="0.15">
      <c r="D270" s="93"/>
      <c r="E270" s="93"/>
      <c r="F270" s="102"/>
      <c r="G270" s="94"/>
      <c r="H270" s="348"/>
      <c r="I270" s="94" t="s">
        <v>627</v>
      </c>
      <c r="J270" s="95" t="s">
        <v>638</v>
      </c>
      <c r="K270" s="206">
        <f>K260</f>
        <v>2322.6000000000004</v>
      </c>
      <c r="L270" s="206"/>
      <c r="M270" s="206"/>
      <c r="N270" s="97" t="s">
        <v>633</v>
      </c>
      <c r="O270" s="313">
        <f>P260</f>
        <v>1700</v>
      </c>
      <c r="P270" s="202"/>
      <c r="Q270" s="202"/>
      <c r="R270" s="97" t="s">
        <v>639</v>
      </c>
      <c r="S270" s="358">
        <f>T260</f>
        <v>150</v>
      </c>
      <c r="T270" s="358"/>
      <c r="U270" s="317" t="s">
        <v>640</v>
      </c>
      <c r="V270" s="97" t="s">
        <v>639</v>
      </c>
      <c r="W270" s="131">
        <v>100</v>
      </c>
      <c r="X270" s="131"/>
      <c r="Y270" s="108" t="s">
        <v>13</v>
      </c>
      <c r="Z270" s="359">
        <f>ROUND(K270/(O270*S270),6)</f>
        <v>9.1079999999999998E-3</v>
      </c>
      <c r="AA270" s="359"/>
      <c r="AB270" s="359"/>
    </row>
    <row r="271" spans="3:30" ht="15.75" customHeight="1" x14ac:dyDescent="0.15">
      <c r="D271" s="93"/>
      <c r="E271" s="93"/>
      <c r="F271" s="102"/>
      <c r="G271" s="94" t="s">
        <v>654</v>
      </c>
      <c r="H271" s="348" t="s">
        <v>651</v>
      </c>
      <c r="I271" s="93" t="s">
        <v>655</v>
      </c>
      <c r="J271" s="343"/>
      <c r="K271" s="344"/>
      <c r="L271" s="344"/>
      <c r="M271" s="345"/>
      <c r="N271" s="345"/>
      <c r="O271" s="345"/>
      <c r="P271" s="93"/>
      <c r="Q271" s="104"/>
      <c r="R271" s="104"/>
      <c r="S271" s="104"/>
      <c r="T271" s="104"/>
      <c r="U271" s="104"/>
      <c r="V271" s="104"/>
      <c r="W271" s="104"/>
      <c r="X271" s="104"/>
    </row>
    <row r="272" spans="3:30" ht="15.75" customHeight="1" x14ac:dyDescent="0.15">
      <c r="D272" s="93"/>
      <c r="E272" s="93"/>
      <c r="F272" s="102"/>
      <c r="G272" s="94" t="s">
        <v>656</v>
      </c>
      <c r="H272" s="348" t="s">
        <v>651</v>
      </c>
      <c r="I272" s="93" t="s">
        <v>657</v>
      </c>
      <c r="J272" s="343"/>
      <c r="K272" s="344"/>
      <c r="L272" s="344"/>
      <c r="M272" s="345"/>
      <c r="N272" s="345"/>
      <c r="O272" s="345"/>
      <c r="P272" s="93"/>
      <c r="Q272" s="104"/>
      <c r="R272" s="104"/>
      <c r="S272" s="104"/>
      <c r="T272" s="104"/>
      <c r="U272" s="104"/>
      <c r="V272" s="104"/>
      <c r="W272" s="104"/>
      <c r="X272" s="104"/>
    </row>
    <row r="273" spans="4:34" ht="15.75" customHeight="1" x14ac:dyDescent="0.15">
      <c r="D273" s="93"/>
      <c r="E273" s="104"/>
      <c r="F273" s="104"/>
      <c r="G273" s="94" t="s">
        <v>658</v>
      </c>
      <c r="H273" s="348" t="s">
        <v>651</v>
      </c>
      <c r="I273" s="93" t="s">
        <v>659</v>
      </c>
      <c r="J273" s="104"/>
      <c r="K273" s="104"/>
      <c r="L273" s="104"/>
      <c r="M273" s="104"/>
      <c r="N273" s="104"/>
      <c r="O273" s="104"/>
      <c r="P273" s="68"/>
      <c r="Q273" s="104"/>
      <c r="R273" s="104"/>
      <c r="S273" s="104"/>
      <c r="T273" s="104"/>
      <c r="U273" s="104"/>
      <c r="V273" s="104"/>
      <c r="AD273" s="104"/>
    </row>
    <row r="274" spans="4:34" ht="15.75" customHeight="1" x14ac:dyDescent="0.15">
      <c r="D274" s="93"/>
      <c r="E274" s="104"/>
      <c r="F274" s="104"/>
      <c r="G274" s="102" t="s">
        <v>660</v>
      </c>
      <c r="H274" s="348" t="s">
        <v>651</v>
      </c>
      <c r="I274" s="95" t="s">
        <v>661</v>
      </c>
      <c r="J274" s="348"/>
      <c r="K274" s="106"/>
      <c r="L274" s="348"/>
      <c r="M274" s="106"/>
      <c r="N274" s="348"/>
      <c r="O274" s="106"/>
      <c r="P274" s="348"/>
    </row>
    <row r="275" spans="4:34" ht="15.75" customHeight="1" x14ac:dyDescent="0.15">
      <c r="D275" s="93"/>
      <c r="E275" s="104"/>
      <c r="F275" s="104"/>
      <c r="G275" s="102" t="s">
        <v>664</v>
      </c>
      <c r="H275" s="348" t="s">
        <v>651</v>
      </c>
      <c r="I275" s="93" t="s">
        <v>665</v>
      </c>
      <c r="J275" s="93"/>
      <c r="K275" s="93"/>
      <c r="L275" s="93"/>
      <c r="M275" s="93"/>
      <c r="N275" s="93"/>
      <c r="O275" s="93"/>
      <c r="P275" s="93"/>
      <c r="Q275" s="93"/>
    </row>
    <row r="276" spans="4:34" ht="15.75" customHeight="1" x14ac:dyDescent="0.15">
      <c r="D276" s="93"/>
      <c r="E276" s="104"/>
      <c r="F276" s="104"/>
      <c r="G276" s="102"/>
      <c r="H276" s="348"/>
      <c r="I276" s="102" t="s">
        <v>664</v>
      </c>
      <c r="J276" s="348" t="s">
        <v>653</v>
      </c>
      <c r="K276" s="104" t="s">
        <v>666</v>
      </c>
      <c r="L276" s="348" t="s">
        <v>647</v>
      </c>
      <c r="M276" s="106" t="s">
        <v>667</v>
      </c>
      <c r="N276" s="349" t="s">
        <v>229</v>
      </c>
      <c r="O276" s="360" t="s">
        <v>672</v>
      </c>
      <c r="P276" s="360"/>
      <c r="Q276" s="360"/>
      <c r="R276" s="360"/>
      <c r="S276" s="106" t="s">
        <v>662</v>
      </c>
      <c r="T276" s="350">
        <v>1275</v>
      </c>
      <c r="U276" s="350"/>
      <c r="V276" s="350"/>
      <c r="W276" s="351" t="s">
        <v>663</v>
      </c>
    </row>
    <row r="277" spans="4:34" ht="15.75" customHeight="1" x14ac:dyDescent="0.15">
      <c r="D277" s="93"/>
      <c r="E277" s="104"/>
      <c r="F277" s="104"/>
      <c r="G277" s="102" t="s">
        <v>666</v>
      </c>
      <c r="H277" s="348" t="s">
        <v>651</v>
      </c>
      <c r="I277" s="93" t="s">
        <v>668</v>
      </c>
      <c r="J277" s="102"/>
      <c r="K277" s="348"/>
      <c r="L277" s="94"/>
      <c r="M277" s="94"/>
      <c r="N277" s="348"/>
      <c r="O277" s="106"/>
      <c r="P277" s="93"/>
      <c r="Q277" s="93"/>
      <c r="W277" s="102" t="s">
        <v>666</v>
      </c>
      <c r="X277" s="348" t="s">
        <v>653</v>
      </c>
      <c r="Y277" s="361">
        <f>'躯体（線路）'!Y377</f>
        <v>24</v>
      </c>
      <c r="Z277" s="362"/>
      <c r="AA277" s="351" t="s">
        <v>663</v>
      </c>
    </row>
    <row r="278" spans="4:34" ht="15.75" customHeight="1" x14ac:dyDescent="0.15">
      <c r="D278" s="93"/>
      <c r="E278" s="104"/>
      <c r="F278" s="104"/>
      <c r="G278" s="106" t="s">
        <v>667</v>
      </c>
      <c r="H278" s="348" t="s">
        <v>651</v>
      </c>
      <c r="I278" s="93" t="s">
        <v>669</v>
      </c>
      <c r="J278" s="93"/>
      <c r="K278" s="93"/>
      <c r="L278" s="93"/>
      <c r="M278" s="93"/>
      <c r="N278" s="93"/>
      <c r="O278" s="93"/>
      <c r="R278" s="352" t="s">
        <v>670</v>
      </c>
      <c r="S278" s="363">
        <f>U72</f>
        <v>1.3</v>
      </c>
      <c r="T278" s="363"/>
      <c r="U278" s="353" t="s">
        <v>671</v>
      </c>
      <c r="V278" s="93"/>
    </row>
    <row r="279" spans="4:34" ht="15.75" customHeight="1" x14ac:dyDescent="0.15">
      <c r="D279" s="93"/>
      <c r="E279" s="104"/>
      <c r="F279" s="104"/>
      <c r="G279" s="106"/>
      <c r="H279" s="348"/>
      <c r="I279" s="93"/>
      <c r="J279" s="93"/>
      <c r="K279" s="93"/>
      <c r="L279" s="93"/>
      <c r="M279" s="93"/>
      <c r="N279" s="93"/>
      <c r="O279" s="93"/>
      <c r="R279" s="352"/>
      <c r="S279" s="364"/>
      <c r="T279" s="364"/>
      <c r="U279" s="353"/>
      <c r="V279" s="93"/>
    </row>
    <row r="280" spans="4:34" ht="15.75" customHeight="1" x14ac:dyDescent="0.15">
      <c r="D280" s="93"/>
      <c r="E280" s="367">
        <f>Z270</f>
        <v>9.1079999999999998E-3</v>
      </c>
      <c r="F280" s="367"/>
      <c r="G280" s="367"/>
      <c r="H280" s="109" t="s">
        <v>639</v>
      </c>
      <c r="I280" s="365">
        <f>X259</f>
        <v>390</v>
      </c>
      <c r="J280" s="365"/>
      <c r="K280" s="354" t="s">
        <v>647</v>
      </c>
      <c r="L280" s="355">
        <f>Y277</f>
        <v>24</v>
      </c>
      <c r="M280" s="355"/>
      <c r="N280" s="355"/>
      <c r="O280" s="366">
        <f>S278</f>
        <v>1.3</v>
      </c>
      <c r="P280" s="366"/>
      <c r="Q280" s="104" t="s">
        <v>640</v>
      </c>
      <c r="R280" s="97" t="s">
        <v>631</v>
      </c>
      <c r="S280" s="375">
        <f>ROUND(E280*I280/(L280/O280),3)</f>
        <v>0.192</v>
      </c>
      <c r="T280" s="375"/>
      <c r="U280" s="375"/>
      <c r="V280" s="97" t="str">
        <f>IF(S280&gt;W280,"＞","≦")</f>
        <v>＞</v>
      </c>
      <c r="W280" s="356">
        <v>0.1</v>
      </c>
      <c r="X280" s="356"/>
      <c r="Y280" s="104"/>
      <c r="Z280" s="104"/>
      <c r="AA280" s="104"/>
      <c r="AB280" s="104"/>
      <c r="AH280" s="93"/>
    </row>
    <row r="281" spans="4:34" s="320" customFormat="1" ht="15.75" customHeight="1" x14ac:dyDescent="0.15">
      <c r="D281" s="331"/>
      <c r="E281" s="368"/>
      <c r="F281" s="368"/>
      <c r="G281" s="368"/>
      <c r="H281" s="323"/>
      <c r="I281" s="369"/>
      <c r="J281" s="369"/>
      <c r="K281" s="370"/>
      <c r="L281" s="371"/>
      <c r="M281" s="371"/>
      <c r="N281" s="371"/>
      <c r="O281" s="372"/>
      <c r="P281" s="372"/>
      <c r="Q281" s="330"/>
      <c r="R281" s="326"/>
      <c r="S281" s="373"/>
      <c r="T281" s="373"/>
      <c r="U281" s="373"/>
      <c r="V281" s="326"/>
      <c r="W281" s="374"/>
      <c r="X281" s="374"/>
      <c r="Y281" s="330"/>
      <c r="Z281" s="330"/>
      <c r="AA281" s="330"/>
      <c r="AB281" s="330"/>
      <c r="AH281" s="331"/>
    </row>
    <row r="301" spans="4:21" ht="15.75" customHeight="1" x14ac:dyDescent="0.15">
      <c r="G301" s="31"/>
      <c r="H301" s="62"/>
      <c r="I301" s="62"/>
      <c r="J301" s="62"/>
      <c r="L301" s="31"/>
      <c r="M301" s="54"/>
      <c r="N301" s="54"/>
      <c r="O301" s="54"/>
      <c r="R301" s="31"/>
      <c r="S301" s="31"/>
      <c r="T301" s="31"/>
      <c r="U301" s="31"/>
    </row>
    <row r="302" spans="4:21" ht="15.75" customHeight="1" x14ac:dyDescent="0.15">
      <c r="G302" s="31"/>
      <c r="H302" s="62"/>
      <c r="I302" s="62"/>
      <c r="J302" s="62"/>
      <c r="L302" s="31"/>
      <c r="M302" s="54"/>
      <c r="N302" s="54"/>
      <c r="O302" s="54"/>
      <c r="R302" s="31"/>
      <c r="S302" s="31"/>
      <c r="T302" s="31"/>
      <c r="U302" s="31"/>
    </row>
    <row r="303" spans="4:21" ht="15.75" customHeight="1" x14ac:dyDescent="0.15">
      <c r="D303" s="27" t="s">
        <v>353</v>
      </c>
    </row>
    <row r="305" spans="6:25" ht="15.75" customHeight="1" x14ac:dyDescent="0.15">
      <c r="F305" s="27" t="s">
        <v>348</v>
      </c>
      <c r="K305" s="158">
        <v>19</v>
      </c>
      <c r="L305" s="158"/>
      <c r="M305" s="31" t="s">
        <v>355</v>
      </c>
      <c r="N305" s="140">
        <v>1</v>
      </c>
      <c r="O305" s="140"/>
      <c r="P305" s="56" t="s">
        <v>350</v>
      </c>
      <c r="Q305" s="159" t="s">
        <v>356</v>
      </c>
      <c r="R305" s="159"/>
      <c r="S305" s="153">
        <v>250</v>
      </c>
      <c r="T305" s="153"/>
    </row>
    <row r="306" spans="6:25" ht="15.75" customHeight="1" x14ac:dyDescent="0.15">
      <c r="F306" s="27" t="s">
        <v>349</v>
      </c>
      <c r="K306" s="158">
        <v>19</v>
      </c>
      <c r="L306" s="158"/>
      <c r="M306" s="31" t="s">
        <v>355</v>
      </c>
      <c r="N306" s="140">
        <v>2</v>
      </c>
      <c r="O306" s="140"/>
      <c r="P306" s="56" t="s">
        <v>350</v>
      </c>
      <c r="Q306" s="159" t="s">
        <v>356</v>
      </c>
      <c r="R306" s="159"/>
      <c r="S306" s="153">
        <v>250</v>
      </c>
      <c r="T306" s="153"/>
    </row>
    <row r="308" spans="6:25" ht="15.75" customHeight="1" x14ac:dyDescent="0.15">
      <c r="F308" s="124" t="s">
        <v>357</v>
      </c>
      <c r="G308" s="116" t="s">
        <v>124</v>
      </c>
      <c r="H308" s="124" t="s">
        <v>123</v>
      </c>
      <c r="I308" s="124">
        <f>N305*2</f>
        <v>2</v>
      </c>
      <c r="J308" s="124"/>
      <c r="K308" s="31" t="s">
        <v>246</v>
      </c>
      <c r="L308" s="119">
        <f>VLOOKUP(K305,AL1:AM11,2,FALSE)</f>
        <v>286.5</v>
      </c>
      <c r="M308" s="119"/>
      <c r="N308" s="119"/>
      <c r="O308" s="124" t="s">
        <v>358</v>
      </c>
      <c r="P308" s="124">
        <f>N306*2</f>
        <v>4</v>
      </c>
      <c r="Q308" s="124"/>
      <c r="R308" s="31" t="s">
        <v>246</v>
      </c>
      <c r="S308" s="119">
        <f>VLOOKUP(K306,AL1:AM11,2,FALSE)</f>
        <v>286.5</v>
      </c>
      <c r="T308" s="119"/>
      <c r="U308" s="119"/>
      <c r="V308" s="124" t="s">
        <v>126</v>
      </c>
      <c r="W308" s="124" t="s">
        <v>246</v>
      </c>
      <c r="X308" s="124">
        <v>100</v>
      </c>
      <c r="Y308" s="124"/>
    </row>
    <row r="309" spans="6:25" ht="15.75" customHeight="1" x14ac:dyDescent="0.15">
      <c r="F309" s="124"/>
      <c r="G309" s="116"/>
      <c r="H309" s="124"/>
      <c r="I309" s="145">
        <f>I212</f>
        <v>1700</v>
      </c>
      <c r="J309" s="145"/>
      <c r="K309" s="145"/>
      <c r="L309" s="31" t="s">
        <v>246</v>
      </c>
      <c r="M309" s="124">
        <f>S305</f>
        <v>250</v>
      </c>
      <c r="N309" s="124"/>
      <c r="O309" s="124"/>
      <c r="P309" s="145">
        <f>I309</f>
        <v>1700</v>
      </c>
      <c r="Q309" s="145"/>
      <c r="R309" s="145"/>
      <c r="S309" s="31" t="s">
        <v>246</v>
      </c>
      <c r="T309" s="124">
        <f>S306</f>
        <v>250</v>
      </c>
      <c r="U309" s="124"/>
      <c r="V309" s="124"/>
      <c r="W309" s="124"/>
      <c r="X309" s="124"/>
      <c r="Y309" s="124"/>
    </row>
    <row r="310" spans="6:25" ht="15.75" customHeight="1" x14ac:dyDescent="0.15">
      <c r="G310" s="31" t="s">
        <v>124</v>
      </c>
      <c r="H310" s="134">
        <f>((I308*L308)/(I309*M309)+(P308*S308)/(P309*T309))*X308</f>
        <v>0.40447058823529414</v>
      </c>
      <c r="I310" s="134"/>
      <c r="J310" s="134"/>
      <c r="K310" s="27" t="s">
        <v>247</v>
      </c>
      <c r="L310" s="31" t="str">
        <f>IF(H310&gt;M310,"＞","＜")</f>
        <v>＞</v>
      </c>
      <c r="M310" s="125">
        <v>0.15</v>
      </c>
      <c r="N310" s="125"/>
      <c r="O310" s="125"/>
      <c r="P310" s="27" t="s">
        <v>247</v>
      </c>
      <c r="R310" s="124" t="s">
        <v>248</v>
      </c>
      <c r="S310" s="124"/>
      <c r="T310" s="124" t="str">
        <f>IF(H310&lt;M310,"NG","OK")</f>
        <v>OK</v>
      </c>
      <c r="U310" s="124"/>
    </row>
  </sheetData>
  <mergeCells count="387">
    <mergeCell ref="AL210:AN210"/>
    <mergeCell ref="W270:X270"/>
    <mergeCell ref="Z270:AB270"/>
    <mergeCell ref="O276:R276"/>
    <mergeCell ref="T276:V276"/>
    <mergeCell ref="Y277:Z277"/>
    <mergeCell ref="S278:T278"/>
    <mergeCell ref="E280:G280"/>
    <mergeCell ref="I280:J280"/>
    <mergeCell ref="L280:N280"/>
    <mergeCell ref="O280:P280"/>
    <mergeCell ref="S280:U280"/>
    <mergeCell ref="W280:X280"/>
    <mergeCell ref="AA260:AD260"/>
    <mergeCell ref="E262:G262"/>
    <mergeCell ref="I262:J262"/>
    <mergeCell ref="L262:N262"/>
    <mergeCell ref="P262:R262"/>
    <mergeCell ref="T262:V262"/>
    <mergeCell ref="X262:Z262"/>
    <mergeCell ref="G267:H267"/>
    <mergeCell ref="J267:K267"/>
    <mergeCell ref="M267:N267"/>
    <mergeCell ref="E256:G256"/>
    <mergeCell ref="M256:O256"/>
    <mergeCell ref="Q256:R256"/>
    <mergeCell ref="T259:V259"/>
    <mergeCell ref="X259:Z259"/>
    <mergeCell ref="K260:M260"/>
    <mergeCell ref="N260:O260"/>
    <mergeCell ref="P260:R260"/>
    <mergeCell ref="T260:U260"/>
    <mergeCell ref="X260:Y260"/>
    <mergeCell ref="F167:AC167"/>
    <mergeCell ref="F168:J168"/>
    <mergeCell ref="K168:S168"/>
    <mergeCell ref="T168:AC168"/>
    <mergeCell ref="F169:J171"/>
    <mergeCell ref="K169:Q171"/>
    <mergeCell ref="R169:S171"/>
    <mergeCell ref="U169:V169"/>
    <mergeCell ref="U170:V170"/>
    <mergeCell ref="X170:Y170"/>
    <mergeCell ref="AA170:AB170"/>
    <mergeCell ref="U171:V171"/>
    <mergeCell ref="X171:Y171"/>
    <mergeCell ref="AA171:AB171"/>
    <mergeCell ref="R161:S161"/>
    <mergeCell ref="R162:S162"/>
    <mergeCell ref="R163:S163"/>
    <mergeCell ref="R164:S164"/>
    <mergeCell ref="U164:V164"/>
    <mergeCell ref="X164:Y164"/>
    <mergeCell ref="R165:S165"/>
    <mergeCell ref="U165:V165"/>
    <mergeCell ref="X165:Y165"/>
    <mergeCell ref="AK132:AM132"/>
    <mergeCell ref="K133:P133"/>
    <mergeCell ref="R133:S133"/>
    <mergeCell ref="U133:V133"/>
    <mergeCell ref="X133:Z133"/>
    <mergeCell ref="AB133:AD133"/>
    <mergeCell ref="AK133:AM133"/>
    <mergeCell ref="K134:L134"/>
    <mergeCell ref="R134:S134"/>
    <mergeCell ref="U134:W134"/>
    <mergeCell ref="Y134:AA134"/>
    <mergeCell ref="X128:Z128"/>
    <mergeCell ref="X129:Z129"/>
    <mergeCell ref="V130:W130"/>
    <mergeCell ref="AA130:AC130"/>
    <mergeCell ref="G132:G133"/>
    <mergeCell ref="H132:I133"/>
    <mergeCell ref="J132:J133"/>
    <mergeCell ref="K132:M132"/>
    <mergeCell ref="Q132:Q133"/>
    <mergeCell ref="V132:X132"/>
    <mergeCell ref="AE122:AF122"/>
    <mergeCell ref="Y123:Z123"/>
    <mergeCell ref="Y124:Z124"/>
    <mergeCell ref="N126:Q126"/>
    <mergeCell ref="T126:V126"/>
    <mergeCell ref="X126:Z126"/>
    <mergeCell ref="AC126:AF126"/>
    <mergeCell ref="S127:V127"/>
    <mergeCell ref="W127:X127"/>
    <mergeCell ref="Z127:AA127"/>
    <mergeCell ref="AC127:AD127"/>
    <mergeCell ref="W211:W212"/>
    <mergeCell ref="X211:Y212"/>
    <mergeCell ref="V15:AA15"/>
    <mergeCell ref="G96:I96"/>
    <mergeCell ref="L96:N96"/>
    <mergeCell ref="Q96:R96"/>
    <mergeCell ref="S96:T96"/>
    <mergeCell ref="E110:F111"/>
    <mergeCell ref="G110:G111"/>
    <mergeCell ref="H110:I110"/>
    <mergeCell ref="J110:J111"/>
    <mergeCell ref="K110:P110"/>
    <mergeCell ref="H111:I111"/>
    <mergeCell ref="K111:P111"/>
    <mergeCell ref="Z114:AB114"/>
    <mergeCell ref="S115:V115"/>
    <mergeCell ref="AA116:AC116"/>
    <mergeCell ref="R119:S119"/>
    <mergeCell ref="U119:W119"/>
    <mergeCell ref="Z119:AA119"/>
    <mergeCell ref="AC119:AE119"/>
    <mergeCell ref="AD120:AE120"/>
    <mergeCell ref="O121:Q121"/>
    <mergeCell ref="J43:K43"/>
    <mergeCell ref="M43:N43"/>
    <mergeCell ref="R43:S43"/>
    <mergeCell ref="U43:V43"/>
    <mergeCell ref="U226:V226"/>
    <mergeCell ref="X226:Z226"/>
    <mergeCell ref="Q224:S224"/>
    <mergeCell ref="U224:V224"/>
    <mergeCell ref="X224:Z224"/>
    <mergeCell ref="Q225:S225"/>
    <mergeCell ref="U225:V225"/>
    <mergeCell ref="X225:Z225"/>
    <mergeCell ref="L63:M63"/>
    <mergeCell ref="O63:Q63"/>
    <mergeCell ref="S63:T63"/>
    <mergeCell ref="V63:X63"/>
    <mergeCell ref="W70:Y70"/>
    <mergeCell ref="Q87:S87"/>
    <mergeCell ref="V87:W87"/>
    <mergeCell ref="X87:Y87"/>
    <mergeCell ref="K209:L209"/>
    <mergeCell ref="N209:O209"/>
    <mergeCell ref="Q209:R209"/>
    <mergeCell ref="S209:T209"/>
    <mergeCell ref="AC37:AF37"/>
    <mergeCell ref="U38:X38"/>
    <mergeCell ref="M39:P39"/>
    <mergeCell ref="T39:W39"/>
    <mergeCell ref="L37:L38"/>
    <mergeCell ref="N37:O37"/>
    <mergeCell ref="Q37:S37"/>
    <mergeCell ref="W37:Z37"/>
    <mergeCell ref="J34:K34"/>
    <mergeCell ref="M34:N34"/>
    <mergeCell ref="I35:J35"/>
    <mergeCell ref="L35:M35"/>
    <mergeCell ref="AC32:AC33"/>
    <mergeCell ref="AD32:AE33"/>
    <mergeCell ref="O35:P35"/>
    <mergeCell ref="R35:S35"/>
    <mergeCell ref="U35:V35"/>
    <mergeCell ref="X35:Y35"/>
    <mergeCell ref="AA31:AB31"/>
    <mergeCell ref="J32:K33"/>
    <mergeCell ref="L32:L33"/>
    <mergeCell ref="I32:I33"/>
    <mergeCell ref="M32:M33"/>
    <mergeCell ref="N32:N33"/>
    <mergeCell ref="O33:P33"/>
    <mergeCell ref="R33:S33"/>
    <mergeCell ref="V33:X33"/>
    <mergeCell ref="Z33:AA33"/>
    <mergeCell ref="R30:S30"/>
    <mergeCell ref="U30:V30"/>
    <mergeCell ref="Y30:Z30"/>
    <mergeCell ref="J31:K31"/>
    <mergeCell ref="M31:N31"/>
    <mergeCell ref="P31:R31"/>
    <mergeCell ref="T31:U31"/>
    <mergeCell ref="W31:X31"/>
    <mergeCell ref="U32:V32"/>
    <mergeCell ref="J29:K29"/>
    <mergeCell ref="M30:P30"/>
    <mergeCell ref="J37:K38"/>
    <mergeCell ref="J19:K20"/>
    <mergeCell ref="M24:N24"/>
    <mergeCell ref="J25:K25"/>
    <mergeCell ref="J26:K26"/>
    <mergeCell ref="J28:K28"/>
    <mergeCell ref="M19:M20"/>
    <mergeCell ref="N19:N20"/>
    <mergeCell ref="E59:E60"/>
    <mergeCell ref="F59:F60"/>
    <mergeCell ref="G59:G60"/>
    <mergeCell ref="H59:H60"/>
    <mergeCell ref="W59:W60"/>
    <mergeCell ref="X59:Y59"/>
    <mergeCell ref="X60:Y60"/>
    <mergeCell ref="O59:O60"/>
    <mergeCell ref="P60:S60"/>
    <mergeCell ref="Q59:R59"/>
    <mergeCell ref="I59:I60"/>
    <mergeCell ref="J60:K60"/>
    <mergeCell ref="M60:N60"/>
    <mergeCell ref="K59:M59"/>
    <mergeCell ref="T59:T60"/>
    <mergeCell ref="I64:J64"/>
    <mergeCell ref="K65:K66"/>
    <mergeCell ref="L65:M65"/>
    <mergeCell ref="O65:P65"/>
    <mergeCell ref="M66:O66"/>
    <mergeCell ref="Q65:Q66"/>
    <mergeCell ref="AD59:AE60"/>
    <mergeCell ref="I62:J62"/>
    <mergeCell ref="L62:M62"/>
    <mergeCell ref="O62:Q62"/>
    <mergeCell ref="Z59:Z60"/>
    <mergeCell ref="AA59:AB59"/>
    <mergeCell ref="AA60:AB60"/>
    <mergeCell ref="AC59:AC60"/>
    <mergeCell ref="U59:V59"/>
    <mergeCell ref="U60:V60"/>
    <mergeCell ref="I67:J67"/>
    <mergeCell ref="V67:W67"/>
    <mergeCell ref="W65:W66"/>
    <mergeCell ref="U65:V65"/>
    <mergeCell ref="S66:U66"/>
    <mergeCell ref="I68:J68"/>
    <mergeCell ref="W68:Y68"/>
    <mergeCell ref="Y67:Z67"/>
    <mergeCell ref="I69:J69"/>
    <mergeCell ref="W69:Y69"/>
    <mergeCell ref="X65:Z66"/>
    <mergeCell ref="R65:S65"/>
    <mergeCell ref="I70:J70"/>
    <mergeCell ref="AJ73:AL73"/>
    <mergeCell ref="I76:J76"/>
    <mergeCell ref="AD76:AE76"/>
    <mergeCell ref="AK74:AN74"/>
    <mergeCell ref="AD75:AG75"/>
    <mergeCell ref="I75:J75"/>
    <mergeCell ref="W75:X75"/>
    <mergeCell ref="Z75:AA75"/>
    <mergeCell ref="W76:Y76"/>
    <mergeCell ref="E78:E79"/>
    <mergeCell ref="F78:F79"/>
    <mergeCell ref="G78:G79"/>
    <mergeCell ref="H78:J79"/>
    <mergeCell ref="I73:J73"/>
    <mergeCell ref="W73:X73"/>
    <mergeCell ref="I74:J74"/>
    <mergeCell ref="W74:X74"/>
    <mergeCell ref="K78:K79"/>
    <mergeCell ref="L79:N79"/>
    <mergeCell ref="F19:I20"/>
    <mergeCell ref="AF78:AG78"/>
    <mergeCell ref="AE78:AE79"/>
    <mergeCell ref="AF79:AG79"/>
    <mergeCell ref="G80:G81"/>
    <mergeCell ref="H81:J81"/>
    <mergeCell ref="L81:N81"/>
    <mergeCell ref="W80:W81"/>
    <mergeCell ref="U80:V81"/>
    <mergeCell ref="T80:T81"/>
    <mergeCell ref="AB67:AD67"/>
    <mergeCell ref="N78:P78"/>
    <mergeCell ref="S78:S79"/>
    <mergeCell ref="T79:V79"/>
    <mergeCell ref="X79:Z79"/>
    <mergeCell ref="AB79:AC79"/>
    <mergeCell ref="V78:Y78"/>
    <mergeCell ref="AD78:AD79"/>
    <mergeCell ref="AA80:AA81"/>
    <mergeCell ref="I71:J71"/>
    <mergeCell ref="L72:M72"/>
    <mergeCell ref="O72:P72"/>
    <mergeCell ref="R72:S72"/>
    <mergeCell ref="U72:V72"/>
    <mergeCell ref="G86:J86"/>
    <mergeCell ref="L86:O86"/>
    <mergeCell ref="R86:T86"/>
    <mergeCell ref="V86:X86"/>
    <mergeCell ref="O83:Q83"/>
    <mergeCell ref="S83:U83"/>
    <mergeCell ref="S80:S81"/>
    <mergeCell ref="P79:R79"/>
    <mergeCell ref="F11:G12"/>
    <mergeCell ref="H11:H12"/>
    <mergeCell ref="I11:O11"/>
    <mergeCell ref="J14:K14"/>
    <mergeCell ref="J15:K15"/>
    <mergeCell ref="J16:K16"/>
    <mergeCell ref="J23:K23"/>
    <mergeCell ref="V25:W25"/>
    <mergeCell ref="G83:H83"/>
    <mergeCell ref="L83:M83"/>
    <mergeCell ref="I80:M80"/>
    <mergeCell ref="L85:M85"/>
    <mergeCell ref="O85:P85"/>
    <mergeCell ref="S85:V85"/>
    <mergeCell ref="O80:O81"/>
    <mergeCell ref="J17:K17"/>
    <mergeCell ref="AK14:AM14"/>
    <mergeCell ref="V17:X17"/>
    <mergeCell ref="AK15:AM15"/>
    <mergeCell ref="V14:Y14"/>
    <mergeCell ref="V16:X16"/>
    <mergeCell ref="AA17:AD17"/>
    <mergeCell ref="J21:K21"/>
    <mergeCell ref="J22:K22"/>
    <mergeCell ref="V21:X21"/>
    <mergeCell ref="L19:L20"/>
    <mergeCell ref="W20:X20"/>
    <mergeCell ref="O20:P20"/>
    <mergeCell ref="R20:S20"/>
    <mergeCell ref="AE26:AF26"/>
    <mergeCell ref="J27:K27"/>
    <mergeCell ref="M27:O27"/>
    <mergeCell ref="Q27:R27"/>
    <mergeCell ref="U27:V27"/>
    <mergeCell ref="Y27:AA27"/>
    <mergeCell ref="V28:W28"/>
    <mergeCell ref="Y26:Z26"/>
    <mergeCell ref="AB26:AC26"/>
    <mergeCell ref="AF44:AG44"/>
    <mergeCell ref="K208:L208"/>
    <mergeCell ref="N208:O208"/>
    <mergeCell ref="Q208:R208"/>
    <mergeCell ref="S208:T208"/>
    <mergeCell ref="AD44:AE44"/>
    <mergeCell ref="W44:Z44"/>
    <mergeCell ref="P81:R81"/>
    <mergeCell ref="AA86:AB86"/>
    <mergeCell ref="L87:N87"/>
    <mergeCell ref="P80:R80"/>
    <mergeCell ref="X80:Z81"/>
    <mergeCell ref="X72:Y72"/>
    <mergeCell ref="AB65:AD66"/>
    <mergeCell ref="AA65:AA66"/>
    <mergeCell ref="Z63:AA63"/>
    <mergeCell ref="J44:K44"/>
    <mergeCell ref="M44:P44"/>
    <mergeCell ref="T44:U44"/>
    <mergeCell ref="AE114:AH114"/>
    <mergeCell ref="AG116:AI116"/>
    <mergeCell ref="AG120:AI120"/>
    <mergeCell ref="Y122:Z122"/>
    <mergeCell ref="AB122:AC122"/>
    <mergeCell ref="F211:F212"/>
    <mergeCell ref="G211:G212"/>
    <mergeCell ref="H211:H212"/>
    <mergeCell ref="I211:J211"/>
    <mergeCell ref="T212:U212"/>
    <mergeCell ref="L211:N211"/>
    <mergeCell ref="I212:K212"/>
    <mergeCell ref="M212:N212"/>
    <mergeCell ref="O211:O212"/>
    <mergeCell ref="P211:Q211"/>
    <mergeCell ref="S211:U211"/>
    <mergeCell ref="P212:R212"/>
    <mergeCell ref="V308:V309"/>
    <mergeCell ref="H213:J213"/>
    <mergeCell ref="M213:O213"/>
    <mergeCell ref="R213:S213"/>
    <mergeCell ref="T213:U213"/>
    <mergeCell ref="K306:L306"/>
    <mergeCell ref="N306:O306"/>
    <mergeCell ref="Q306:R306"/>
    <mergeCell ref="S306:T306"/>
    <mergeCell ref="Q226:S226"/>
    <mergeCell ref="L308:N308"/>
    <mergeCell ref="O308:O309"/>
    <mergeCell ref="P308:Q308"/>
    <mergeCell ref="S308:U308"/>
    <mergeCell ref="V211:V212"/>
    <mergeCell ref="K270:M270"/>
    <mergeCell ref="O270:Q270"/>
    <mergeCell ref="S270:T270"/>
    <mergeCell ref="H310:J310"/>
    <mergeCell ref="M310:O310"/>
    <mergeCell ref="R310:S310"/>
    <mergeCell ref="T310:U310"/>
    <mergeCell ref="W308:W309"/>
    <mergeCell ref="K305:L305"/>
    <mergeCell ref="N305:O305"/>
    <mergeCell ref="Q305:R305"/>
    <mergeCell ref="S305:T305"/>
    <mergeCell ref="X308:Y309"/>
    <mergeCell ref="I309:K309"/>
    <mergeCell ref="M309:N309"/>
    <mergeCell ref="P309:R309"/>
    <mergeCell ref="T309:U309"/>
    <mergeCell ref="F308:F309"/>
    <mergeCell ref="G308:G309"/>
    <mergeCell ref="H308:H309"/>
    <mergeCell ref="I308:J308"/>
  </mergeCells>
  <phoneticPr fontId="3"/>
  <printOptions horizontalCentered="1"/>
  <pageMargins left="0.98425196850393704" right="0.59055118110236227" top="0.78740157480314965" bottom="0.59055118110236227" header="0.51181102362204722" footer="0.51181102362204722"/>
  <pageSetup paperSize="9" orientation="portrait" blackAndWhite="1" r:id="rId1"/>
  <headerFooter alignWithMargins="0"/>
  <rowBreaks count="5" manualBreakCount="5">
    <brk id="50" max="34" man="1"/>
    <brk id="100" max="34" man="1"/>
    <brk id="150" max="34" man="1"/>
    <brk id="200" max="34" man="1"/>
    <brk id="250" max="34" man="1"/>
  </rowBreaks>
  <colBreaks count="1" manualBreakCount="1">
    <brk id="35" max="49" man="1"/>
  </colBreak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19BDA-ED5C-40F5-B379-296DFDE277FE}">
  <sheetPr codeName="Sheet1">
    <tabColor indexed="10"/>
  </sheetPr>
  <dimension ref="A1:AL48"/>
  <sheetViews>
    <sheetView view="pageBreakPreview" zoomScale="130" zoomScaleNormal="100" zoomScaleSheetLayoutView="130" workbookViewId="0">
      <selection activeCell="AO16" sqref="AO16"/>
    </sheetView>
  </sheetViews>
  <sheetFormatPr defaultColWidth="2.7109375" defaultRowHeight="15.75" customHeight="1" x14ac:dyDescent="0.15"/>
  <cols>
    <col min="1" max="16384" width="2.7109375" style="3"/>
  </cols>
  <sheetData>
    <row r="1" spans="1:38" ht="15.75" customHeight="1" x14ac:dyDescent="0.15">
      <c r="A1" s="2"/>
      <c r="B1" s="2"/>
      <c r="C1" s="2"/>
      <c r="S1" s="4"/>
      <c r="T1" s="4"/>
      <c r="U1" s="4"/>
    </row>
    <row r="2" spans="1:38" ht="15.75" customHeight="1" x14ac:dyDescent="0.15">
      <c r="D2" s="5" t="s">
        <v>56</v>
      </c>
    </row>
    <row r="3" spans="1:38" ht="15.75" customHeight="1" x14ac:dyDescent="0.15">
      <c r="AB3" s="5"/>
      <c r="AC3" s="5"/>
      <c r="AD3" s="5"/>
    </row>
    <row r="4" spans="1:38" ht="15.75" customHeight="1" x14ac:dyDescent="0.15">
      <c r="E4" s="5"/>
      <c r="G4" s="3" t="s">
        <v>0</v>
      </c>
      <c r="Q4" s="3" t="s">
        <v>11</v>
      </c>
      <c r="W4" s="211" t="s">
        <v>12</v>
      </c>
      <c r="X4" s="212"/>
      <c r="Y4" s="3" t="s">
        <v>13</v>
      </c>
      <c r="Z4" s="376">
        <f>'躯体（線路）'!AE73</f>
        <v>31.200000000000003</v>
      </c>
      <c r="AA4" s="376"/>
      <c r="AB4" s="1" t="s">
        <v>30</v>
      </c>
      <c r="AC4" s="5"/>
      <c r="AD4" s="5"/>
    </row>
    <row r="5" spans="1:38" ht="15.75" customHeight="1" x14ac:dyDescent="0.15">
      <c r="E5" s="5"/>
      <c r="Q5" s="3" t="s">
        <v>1</v>
      </c>
      <c r="W5" s="212" t="s">
        <v>14</v>
      </c>
      <c r="X5" s="212"/>
      <c r="Y5" s="3" t="s">
        <v>15</v>
      </c>
      <c r="Z5" s="377">
        <f>'躯体（線路）'!AB17</f>
        <v>390</v>
      </c>
      <c r="AA5" s="376"/>
      <c r="AB5" s="1" t="s">
        <v>34</v>
      </c>
      <c r="AC5" s="7"/>
      <c r="AD5" s="7"/>
    </row>
    <row r="6" spans="1:38" ht="15.75" customHeight="1" x14ac:dyDescent="0.15">
      <c r="E6" s="5"/>
      <c r="Q6" s="5" t="s">
        <v>7</v>
      </c>
      <c r="R6" s="5"/>
      <c r="S6" s="5"/>
      <c r="T6" s="5"/>
      <c r="W6" s="212" t="s">
        <v>16</v>
      </c>
      <c r="X6" s="212"/>
      <c r="Y6" s="3" t="s">
        <v>17</v>
      </c>
      <c r="Z6" s="377">
        <f>Z5</f>
        <v>390</v>
      </c>
      <c r="AA6" s="376"/>
      <c r="AB6" s="1" t="s">
        <v>31</v>
      </c>
      <c r="AC6" s="7"/>
      <c r="AD6" s="7"/>
    </row>
    <row r="7" spans="1:38" ht="15.75" customHeight="1" x14ac:dyDescent="0.15">
      <c r="E7" s="5"/>
      <c r="G7" s="5" t="s">
        <v>2</v>
      </c>
      <c r="H7" s="5"/>
      <c r="I7" s="7"/>
      <c r="J7" s="7"/>
      <c r="K7" s="7"/>
      <c r="L7" s="7"/>
      <c r="M7" s="7"/>
      <c r="N7" s="7"/>
      <c r="O7" s="7"/>
      <c r="P7" s="7"/>
      <c r="Q7" s="3" t="s">
        <v>11</v>
      </c>
      <c r="R7" s="7"/>
      <c r="S7" s="7"/>
      <c r="T7" s="7"/>
      <c r="U7" s="7"/>
      <c r="V7" s="7"/>
      <c r="W7" s="211" t="s">
        <v>18</v>
      </c>
      <c r="X7" s="212"/>
      <c r="Y7" s="3" t="s">
        <v>13</v>
      </c>
      <c r="Z7" s="394">
        <v>1</v>
      </c>
      <c r="AA7" s="394"/>
    </row>
    <row r="8" spans="1:38" ht="15.75" customHeight="1" x14ac:dyDescent="0.15">
      <c r="E8" s="5"/>
      <c r="Q8" s="3" t="s">
        <v>1</v>
      </c>
      <c r="R8" s="7"/>
      <c r="S8" s="7"/>
      <c r="T8" s="7"/>
      <c r="U8" s="7"/>
      <c r="V8" s="6"/>
      <c r="W8" s="211" t="s">
        <v>19</v>
      </c>
      <c r="X8" s="212"/>
      <c r="Y8" s="3" t="s">
        <v>15</v>
      </c>
      <c r="Z8" s="394">
        <v>1</v>
      </c>
      <c r="AA8" s="394"/>
      <c r="AB8" s="6"/>
      <c r="AC8" s="6"/>
      <c r="AD8" s="6"/>
      <c r="AE8" s="6"/>
    </row>
    <row r="9" spans="1:38" ht="15.75" customHeight="1" x14ac:dyDescent="0.15">
      <c r="F9" s="5"/>
      <c r="G9" s="5" t="s">
        <v>3</v>
      </c>
      <c r="H9" s="5"/>
      <c r="I9" s="7"/>
      <c r="J9" s="7"/>
      <c r="K9" s="7"/>
      <c r="L9" s="7"/>
      <c r="M9" s="7"/>
      <c r="N9" s="7"/>
      <c r="O9" s="7"/>
      <c r="P9" s="7"/>
      <c r="Q9" s="5"/>
      <c r="R9" s="7"/>
      <c r="S9" s="7"/>
      <c r="T9" s="7"/>
      <c r="U9" s="7"/>
      <c r="V9" s="7"/>
      <c r="W9" s="211" t="s">
        <v>20</v>
      </c>
      <c r="X9" s="212"/>
      <c r="Y9" s="3" t="s">
        <v>21</v>
      </c>
      <c r="Z9" s="394">
        <v>1.1000000000000001</v>
      </c>
      <c r="AA9" s="394"/>
      <c r="AB9" s="7"/>
      <c r="AC9" s="7"/>
      <c r="AD9" s="7"/>
      <c r="AE9" s="7"/>
    </row>
    <row r="10" spans="1:38" ht="15.75" customHeight="1" x14ac:dyDescent="0.15">
      <c r="F10" s="5"/>
      <c r="G10" s="3" t="s">
        <v>8</v>
      </c>
      <c r="I10" s="7"/>
      <c r="J10" s="7"/>
      <c r="K10" s="7"/>
      <c r="L10" s="7"/>
      <c r="M10" s="7"/>
      <c r="N10" s="7"/>
      <c r="O10" s="7"/>
      <c r="P10" s="7"/>
      <c r="Q10" s="7"/>
      <c r="R10" s="7"/>
      <c r="S10" s="7"/>
      <c r="T10" s="7"/>
      <c r="U10" s="7"/>
      <c r="V10" s="7"/>
      <c r="W10" s="211" t="s">
        <v>22</v>
      </c>
      <c r="X10" s="212"/>
      <c r="Y10" s="3" t="s">
        <v>23</v>
      </c>
      <c r="Z10" s="394">
        <v>1</v>
      </c>
      <c r="AA10" s="394"/>
      <c r="AB10" s="7"/>
      <c r="AC10" s="7"/>
      <c r="AD10" s="7"/>
      <c r="AE10" s="7"/>
      <c r="AJ10" s="8"/>
    </row>
    <row r="11" spans="1:38" ht="15.75" customHeight="1" x14ac:dyDescent="0.15">
      <c r="F11" s="5"/>
      <c r="AB11" s="7"/>
      <c r="AC11" s="7"/>
      <c r="AD11" s="7"/>
      <c r="AE11" s="7"/>
      <c r="AF11" s="7"/>
      <c r="AL11" s="8"/>
    </row>
    <row r="12" spans="1:38" ht="15.75" customHeight="1" x14ac:dyDescent="0.15">
      <c r="D12" s="211" t="s">
        <v>4</v>
      </c>
      <c r="E12" s="212"/>
      <c r="F12" s="212"/>
      <c r="G12" s="212"/>
      <c r="H12" s="212"/>
      <c r="I12" s="212"/>
      <c r="J12" s="217" t="s">
        <v>268</v>
      </c>
      <c r="K12" s="217"/>
      <c r="L12" s="219"/>
      <c r="M12" s="219"/>
      <c r="N12" s="219"/>
      <c r="O12" s="219"/>
      <c r="P12" s="217" t="s">
        <v>268</v>
      </c>
      <c r="Q12" s="217"/>
      <c r="R12" s="219"/>
      <c r="S12" s="219"/>
      <c r="T12" s="219"/>
      <c r="U12" s="219"/>
      <c r="V12" s="217"/>
      <c r="W12" s="217"/>
      <c r="X12" s="219"/>
      <c r="Y12" s="219"/>
      <c r="Z12" s="219"/>
      <c r="AA12" s="219"/>
      <c r="AB12" s="217"/>
      <c r="AC12" s="217"/>
      <c r="AD12" s="219"/>
      <c r="AE12" s="219"/>
      <c r="AF12" s="219"/>
      <c r="AG12" s="219"/>
    </row>
    <row r="13" spans="1:38" ht="15.75" customHeight="1" x14ac:dyDescent="0.15">
      <c r="D13" s="211" t="s">
        <v>5</v>
      </c>
      <c r="E13" s="212"/>
      <c r="F13" s="212"/>
      <c r="G13" s="212"/>
      <c r="H13" s="212"/>
      <c r="I13" s="212"/>
      <c r="J13" s="210" t="s">
        <v>470</v>
      </c>
      <c r="K13" s="220"/>
      <c r="L13" s="220"/>
      <c r="M13" s="220"/>
      <c r="N13" s="220"/>
      <c r="O13" s="220"/>
      <c r="P13" s="210" t="s">
        <v>471</v>
      </c>
      <c r="Q13" s="220"/>
      <c r="R13" s="220"/>
      <c r="S13" s="220"/>
      <c r="T13" s="220"/>
      <c r="U13" s="220"/>
      <c r="V13" s="220"/>
      <c r="W13" s="220"/>
      <c r="X13" s="220"/>
      <c r="Y13" s="220"/>
      <c r="Z13" s="220"/>
      <c r="AA13" s="220"/>
      <c r="AB13" s="220"/>
      <c r="AC13" s="220"/>
      <c r="AD13" s="220"/>
      <c r="AE13" s="220"/>
      <c r="AF13" s="220"/>
      <c r="AG13" s="220"/>
    </row>
    <row r="14" spans="1:38" ht="15.75" customHeight="1" x14ac:dyDescent="0.15">
      <c r="D14" s="10"/>
      <c r="E14" s="3" t="s">
        <v>35</v>
      </c>
      <c r="G14" s="214" t="s">
        <v>29</v>
      </c>
      <c r="H14" s="214"/>
      <c r="I14" s="214"/>
      <c r="J14" s="378">
        <f>'躯体（線路）'!S20</f>
        <v>3940</v>
      </c>
      <c r="K14" s="378"/>
      <c r="L14" s="378"/>
      <c r="M14" s="378"/>
      <c r="N14" s="378"/>
      <c r="O14" s="378"/>
      <c r="P14" s="378">
        <f>J16</f>
        <v>1700</v>
      </c>
      <c r="Q14" s="378"/>
      <c r="R14" s="378"/>
      <c r="S14" s="378"/>
      <c r="T14" s="378"/>
      <c r="U14" s="378"/>
      <c r="V14" s="217"/>
      <c r="W14" s="217"/>
      <c r="X14" s="217"/>
      <c r="Y14" s="217"/>
      <c r="Z14" s="217"/>
      <c r="AA14" s="217"/>
      <c r="AB14" s="217"/>
      <c r="AC14" s="217"/>
      <c r="AD14" s="217"/>
      <c r="AE14" s="217"/>
      <c r="AF14" s="217"/>
      <c r="AG14" s="217"/>
    </row>
    <row r="15" spans="1:38" ht="15.75" customHeight="1" x14ac:dyDescent="0.15">
      <c r="D15" s="10"/>
      <c r="E15" s="213" t="s">
        <v>36</v>
      </c>
      <c r="F15" s="214"/>
      <c r="G15" s="214" t="s">
        <v>24</v>
      </c>
      <c r="H15" s="214"/>
      <c r="I15" s="214"/>
      <c r="J15" s="378"/>
      <c r="K15" s="378"/>
      <c r="L15" s="378"/>
      <c r="M15" s="378"/>
      <c r="N15" s="378"/>
      <c r="O15" s="378"/>
      <c r="P15" s="378"/>
      <c r="Q15" s="378"/>
      <c r="R15" s="378"/>
      <c r="S15" s="378"/>
      <c r="T15" s="378"/>
      <c r="U15" s="378"/>
      <c r="V15" s="217"/>
      <c r="W15" s="217"/>
      <c r="X15" s="217"/>
      <c r="Y15" s="217"/>
      <c r="Z15" s="217"/>
      <c r="AA15" s="217"/>
      <c r="AB15" s="217"/>
      <c r="AC15" s="217"/>
      <c r="AD15" s="217"/>
      <c r="AE15" s="217"/>
      <c r="AF15" s="217"/>
      <c r="AG15" s="217"/>
    </row>
    <row r="16" spans="1:38" ht="15.75" customHeight="1" x14ac:dyDescent="0.15">
      <c r="E16" s="3" t="s">
        <v>37</v>
      </c>
      <c r="G16" s="214" t="s">
        <v>24</v>
      </c>
      <c r="H16" s="214"/>
      <c r="I16" s="214"/>
      <c r="J16" s="378">
        <f>'躯体（線路）'!S21</f>
        <v>1700</v>
      </c>
      <c r="K16" s="378"/>
      <c r="L16" s="378"/>
      <c r="M16" s="378"/>
      <c r="N16" s="378"/>
      <c r="O16" s="378"/>
      <c r="P16" s="378">
        <f>J14</f>
        <v>3940</v>
      </c>
      <c r="Q16" s="378"/>
      <c r="R16" s="378"/>
      <c r="S16" s="378"/>
      <c r="T16" s="378"/>
      <c r="U16" s="378"/>
      <c r="V16" s="217"/>
      <c r="W16" s="217"/>
      <c r="X16" s="217"/>
      <c r="Y16" s="217"/>
      <c r="Z16" s="217"/>
      <c r="AA16" s="217"/>
      <c r="AB16" s="217"/>
      <c r="AC16" s="217"/>
      <c r="AD16" s="217"/>
      <c r="AE16" s="217"/>
      <c r="AF16" s="217"/>
      <c r="AG16" s="217"/>
    </row>
    <row r="17" spans="4:33" ht="15.75" customHeight="1" x14ac:dyDescent="0.15">
      <c r="E17" s="213" t="s">
        <v>38</v>
      </c>
      <c r="F17" s="213"/>
      <c r="G17" s="214" t="s">
        <v>24</v>
      </c>
      <c r="H17" s="214"/>
      <c r="I17" s="214"/>
      <c r="J17" s="378"/>
      <c r="K17" s="378"/>
      <c r="L17" s="378"/>
      <c r="M17" s="378"/>
      <c r="N17" s="378"/>
      <c r="O17" s="378"/>
      <c r="P17" s="378"/>
      <c r="Q17" s="378"/>
      <c r="R17" s="378"/>
      <c r="S17" s="378"/>
      <c r="T17" s="378"/>
      <c r="U17" s="378"/>
      <c r="V17" s="217"/>
      <c r="W17" s="217"/>
      <c r="X17" s="217"/>
      <c r="Y17" s="217"/>
      <c r="Z17" s="217"/>
      <c r="AA17" s="217"/>
      <c r="AB17" s="217"/>
      <c r="AC17" s="217"/>
      <c r="AD17" s="217"/>
      <c r="AE17" s="217"/>
      <c r="AF17" s="217"/>
      <c r="AG17" s="217"/>
    </row>
    <row r="18" spans="4:33" ht="15.75" customHeight="1" x14ac:dyDescent="0.15">
      <c r="D18" s="6"/>
      <c r="E18" s="3" t="s">
        <v>39</v>
      </c>
      <c r="F18" s="7"/>
      <c r="G18" s="214" t="s">
        <v>24</v>
      </c>
      <c r="H18" s="214"/>
      <c r="I18" s="214"/>
      <c r="J18" s="218">
        <f>IF(J14&lt;&gt;0,IF(N23=0,J16-M19,J16-J19),"")</f>
        <v>1558.4</v>
      </c>
      <c r="K18" s="218"/>
      <c r="L18" s="218"/>
      <c r="M18" s="218"/>
      <c r="N18" s="218"/>
      <c r="O18" s="218"/>
      <c r="P18" s="218">
        <f>IF(P14&lt;&gt;0,IF(T23=0,P16-S19,P16-P19),"")</f>
        <v>3834</v>
      </c>
      <c r="Q18" s="218"/>
      <c r="R18" s="218"/>
      <c r="S18" s="218"/>
      <c r="T18" s="218"/>
      <c r="U18" s="218"/>
      <c r="V18" s="218" t="str">
        <f>IF(V14&lt;&gt;0,IF(Z23=0,V16-Y19,V16-V19),"")</f>
        <v/>
      </c>
      <c r="W18" s="218"/>
      <c r="X18" s="218"/>
      <c r="Y18" s="218"/>
      <c r="Z18" s="218"/>
      <c r="AA18" s="218"/>
      <c r="AB18" s="218" t="str">
        <f>IF(AB14&lt;&gt;0,IF(AF23=0,AB16-AE19,AB16-AB19),"")</f>
        <v/>
      </c>
      <c r="AC18" s="218"/>
      <c r="AD18" s="218"/>
      <c r="AE18" s="218"/>
      <c r="AF18" s="218"/>
      <c r="AG18" s="218"/>
    </row>
    <row r="19" spans="4:33" ht="15.75" customHeight="1" x14ac:dyDescent="0.15">
      <c r="D19" s="6"/>
      <c r="E19" s="213" t="s">
        <v>40</v>
      </c>
      <c r="F19" s="213"/>
      <c r="G19" s="214" t="s">
        <v>24</v>
      </c>
      <c r="H19" s="214"/>
      <c r="I19" s="214"/>
      <c r="J19" s="215" t="str">
        <f>IF(N23=0,"",ROUND((N23*M19+N24*(M19+M20)+N25*(M19+M20*2))/(N23+N24+N25),1))</f>
        <v/>
      </c>
      <c r="K19" s="215"/>
      <c r="L19" s="215"/>
      <c r="M19" s="216">
        <v>141.6</v>
      </c>
      <c r="N19" s="216"/>
      <c r="O19" s="216"/>
      <c r="P19" s="215" t="str">
        <f>IF(T23=0,"",ROUND((T23*S19+T24*(S19+S20)+T25*(S19+S20*2))/(T23+T24+T25),1))</f>
        <v/>
      </c>
      <c r="Q19" s="215"/>
      <c r="R19" s="215"/>
      <c r="S19" s="216">
        <v>106</v>
      </c>
      <c r="T19" s="216"/>
      <c r="U19" s="216"/>
      <c r="V19" s="215" t="str">
        <f>IF(Z23=0,"",ROUND((Z23*Y19+Z24*(Y19+Y20)+Z25*(Y19+Y20*2))/(Z23+Z24+Z25),1))</f>
        <v/>
      </c>
      <c r="W19" s="215"/>
      <c r="X19" s="215"/>
      <c r="Y19" s="216"/>
      <c r="Z19" s="216"/>
      <c r="AA19" s="216"/>
      <c r="AB19" s="215" t="str">
        <f>IF(AF23=0,"",ROUND((AF23*AE19+AF24*(AE19+AE20)+AF25*(AE19+AE20*2))/(AF23+AF24+AF25),1))</f>
        <v/>
      </c>
      <c r="AC19" s="215"/>
      <c r="AD19" s="215"/>
      <c r="AE19" s="216"/>
      <c r="AF19" s="216"/>
      <c r="AG19" s="216"/>
    </row>
    <row r="20" spans="4:33" ht="15.75" customHeight="1" x14ac:dyDescent="0.15">
      <c r="D20" s="6"/>
      <c r="G20" s="5"/>
      <c r="H20" s="5"/>
      <c r="I20" s="5"/>
      <c r="J20" s="30"/>
      <c r="K20" s="30"/>
      <c r="L20" s="30"/>
      <c r="M20" s="230"/>
      <c r="N20" s="230"/>
      <c r="O20" s="230"/>
      <c r="P20" s="30"/>
      <c r="Q20" s="30"/>
      <c r="R20" s="30"/>
      <c r="S20" s="230"/>
      <c r="T20" s="230"/>
      <c r="U20" s="230"/>
      <c r="V20" s="30"/>
      <c r="W20" s="30"/>
      <c r="X20" s="30"/>
      <c r="Y20" s="230"/>
      <c r="Z20" s="230"/>
      <c r="AA20" s="230"/>
      <c r="AB20" s="30"/>
      <c r="AC20" s="30"/>
      <c r="AD20" s="30"/>
      <c r="AE20" s="230"/>
      <c r="AF20" s="230"/>
      <c r="AG20" s="230"/>
    </row>
    <row r="21" spans="4:33" ht="15.75" customHeight="1" x14ac:dyDescent="0.15">
      <c r="E21" s="213" t="s">
        <v>41</v>
      </c>
      <c r="F21" s="213"/>
      <c r="G21" s="214" t="s">
        <v>24</v>
      </c>
      <c r="H21" s="214"/>
      <c r="I21" s="214"/>
      <c r="J21" s="215" t="str">
        <f>IF(N28=0,"",ROUND((N28*M21+N29*(M21+M22)+N30*(M21+M22*2))/(N28+N29+N30),1))</f>
        <v/>
      </c>
      <c r="K21" s="215"/>
      <c r="L21" s="215"/>
      <c r="M21" s="216">
        <v>141.6</v>
      </c>
      <c r="N21" s="221"/>
      <c r="O21" s="221"/>
      <c r="P21" s="215" t="str">
        <f>IF(T28=0,"",ROUND((T28*S21+T29*(S21+S22)+T30*(S21+S22*2))/(T28+T29+T30),1))</f>
        <v/>
      </c>
      <c r="Q21" s="215"/>
      <c r="R21" s="215"/>
      <c r="S21" s="216">
        <v>106</v>
      </c>
      <c r="T21" s="221"/>
      <c r="U21" s="221"/>
      <c r="V21" s="215" t="str">
        <f>IF(Z28=0,"",ROUND((Z28*Y21+Z29*(Y21+Y22)+Z30*(Y21+Y22*2))/(Z28+Z29+Z30),1))</f>
        <v/>
      </c>
      <c r="W21" s="215"/>
      <c r="X21" s="215"/>
      <c r="Y21" s="216"/>
      <c r="Z21" s="221"/>
      <c r="AA21" s="221"/>
      <c r="AB21" s="215" t="str">
        <f>IF(AF28=0,"",ROUND((AF28*AE21+AF29*(AE21+AE22)+AF30*(AE21+AE22*2))/(AF28+AF29+AF30),1))</f>
        <v/>
      </c>
      <c r="AC21" s="215"/>
      <c r="AD21" s="215"/>
      <c r="AE21" s="216"/>
      <c r="AF21" s="221"/>
      <c r="AG21" s="221"/>
    </row>
    <row r="22" spans="4:33" ht="15.75" customHeight="1" x14ac:dyDescent="0.15">
      <c r="G22" s="5"/>
      <c r="H22" s="5"/>
      <c r="I22" s="5"/>
      <c r="J22" s="30"/>
      <c r="K22" s="30"/>
      <c r="L22" s="30"/>
      <c r="M22" s="230"/>
      <c r="N22" s="230"/>
      <c r="O22" s="230"/>
      <c r="P22" s="30"/>
      <c r="Q22" s="30"/>
      <c r="R22" s="30"/>
      <c r="S22" s="230"/>
      <c r="T22" s="230"/>
      <c r="U22" s="230"/>
      <c r="V22" s="30"/>
      <c r="W22" s="30"/>
      <c r="X22" s="30"/>
      <c r="Y22" s="230"/>
      <c r="Z22" s="230"/>
      <c r="AA22" s="230"/>
      <c r="AB22" s="30"/>
      <c r="AC22" s="30"/>
      <c r="AD22" s="30"/>
      <c r="AE22" s="230"/>
      <c r="AF22" s="230"/>
      <c r="AG22" s="230"/>
    </row>
    <row r="23" spans="4:33" ht="15.75" customHeight="1" x14ac:dyDescent="0.15">
      <c r="J23" s="379"/>
      <c r="K23" s="379"/>
      <c r="L23" s="379"/>
      <c r="M23" s="379"/>
      <c r="N23" s="380"/>
      <c r="O23" s="380"/>
      <c r="P23" s="379"/>
      <c r="Q23" s="379"/>
      <c r="R23" s="379"/>
      <c r="S23" s="379"/>
      <c r="T23" s="380"/>
      <c r="U23" s="380"/>
      <c r="V23" s="11"/>
      <c r="W23" s="11"/>
      <c r="X23" s="11"/>
      <c r="Y23" s="11"/>
      <c r="Z23" s="210"/>
      <c r="AA23" s="210"/>
      <c r="AB23" s="11"/>
      <c r="AC23" s="11"/>
      <c r="AD23" s="11"/>
      <c r="AE23" s="11"/>
      <c r="AF23" s="210"/>
      <c r="AG23" s="210"/>
    </row>
    <row r="24" spans="4:33" ht="15.75" customHeight="1" x14ac:dyDescent="0.15">
      <c r="D24" s="212" t="s">
        <v>42</v>
      </c>
      <c r="E24" s="211"/>
      <c r="F24" s="211"/>
      <c r="G24" s="211"/>
      <c r="H24" s="211"/>
      <c r="I24" s="211"/>
      <c r="J24" s="381">
        <f>'躯体（線路）'!Z18</f>
        <v>38</v>
      </c>
      <c r="K24" s="381"/>
      <c r="L24" s="381"/>
      <c r="M24" s="382" t="str">
        <f>IF(J24&lt;&gt;"","－","")</f>
        <v>－</v>
      </c>
      <c r="N24" s="383">
        <f>'躯体（線路）'!AC18/2</f>
        <v>16</v>
      </c>
      <c r="O24" s="380"/>
      <c r="P24" s="381">
        <f>'躯体（線路）'!Z19</f>
        <v>38</v>
      </c>
      <c r="Q24" s="381"/>
      <c r="R24" s="381"/>
      <c r="S24" s="382" t="str">
        <f>IF(P24&lt;&gt;"","－","")</f>
        <v>－</v>
      </c>
      <c r="T24" s="380">
        <f>'躯体（線路）'!AC19/2+2</f>
        <v>13</v>
      </c>
      <c r="U24" s="380"/>
      <c r="V24" s="226"/>
      <c r="W24" s="226"/>
      <c r="X24" s="226"/>
      <c r="Y24" s="9" t="str">
        <f>IF(V24&lt;&gt;"","－","")</f>
        <v/>
      </c>
      <c r="Z24" s="210"/>
      <c r="AA24" s="210"/>
      <c r="AB24" s="226"/>
      <c r="AC24" s="226"/>
      <c r="AD24" s="226"/>
      <c r="AE24" s="9" t="str">
        <f>IF(AB24&lt;&gt;"","－","")</f>
        <v/>
      </c>
      <c r="AF24" s="210"/>
      <c r="AG24" s="210"/>
    </row>
    <row r="25" spans="4:33" ht="15.75" customHeight="1" x14ac:dyDescent="0.15">
      <c r="D25" s="211"/>
      <c r="E25" s="211"/>
      <c r="F25" s="211"/>
      <c r="G25" s="211"/>
      <c r="H25" s="211"/>
      <c r="I25" s="211"/>
      <c r="J25" s="384"/>
      <c r="K25" s="384"/>
      <c r="L25" s="382"/>
      <c r="M25" s="379"/>
      <c r="N25" s="380"/>
      <c r="O25" s="380"/>
      <c r="P25" s="384"/>
      <c r="Q25" s="384"/>
      <c r="R25" s="382"/>
      <c r="S25" s="379"/>
      <c r="T25" s="380"/>
      <c r="U25" s="380"/>
      <c r="V25" s="12"/>
      <c r="W25" s="12"/>
      <c r="X25" s="9"/>
      <c r="Y25" s="11"/>
      <c r="Z25" s="210"/>
      <c r="AA25" s="210"/>
      <c r="AB25" s="12"/>
      <c r="AC25" s="12"/>
      <c r="AD25" s="9"/>
      <c r="AE25" s="11"/>
      <c r="AF25" s="210"/>
      <c r="AG25" s="210"/>
    </row>
    <row r="26" spans="4:33" ht="15.75" customHeight="1" x14ac:dyDescent="0.15">
      <c r="J26" s="227">
        <f>IF(J14=0,"",ROUND(LOOKUP(J24,AS!$A$1:$A$12,AS!$B$1:$B$12)*(N23+N24+N25),1))</f>
        <v>18240</v>
      </c>
      <c r="K26" s="227"/>
      <c r="L26" s="227"/>
      <c r="M26" s="227"/>
      <c r="N26" s="222" t="str">
        <f>IF(J26&lt;&gt;"","mm2","")</f>
        <v>mm2</v>
      </c>
      <c r="O26" s="223"/>
      <c r="P26" s="227">
        <f>IF(P14=0,"",ROUND(LOOKUP(P24,AS!$A$1:$A$12,AS!$B$1:$B$12)*(T23+T24+T25),1))</f>
        <v>14820</v>
      </c>
      <c r="Q26" s="227"/>
      <c r="R26" s="227"/>
      <c r="S26" s="227"/>
      <c r="T26" s="222" t="str">
        <f>IF(P26&lt;&gt;"","mm2","")</f>
        <v>mm2</v>
      </c>
      <c r="U26" s="223"/>
      <c r="V26" s="227" t="str">
        <f>IF(V14=0,"",ROUND(LOOKUP(V24,AS!$A$1:$A$12,AS!$B$1:$B$12)*(Z23+Z24+Z25),1))</f>
        <v/>
      </c>
      <c r="W26" s="227"/>
      <c r="X26" s="227"/>
      <c r="Y26" s="227"/>
      <c r="Z26" s="222" t="str">
        <f>IF(V26&lt;&gt;"","mm2","")</f>
        <v/>
      </c>
      <c r="AA26" s="223"/>
      <c r="AB26" s="227" t="str">
        <f>IF(AB14=0,"",ROUND(LOOKUP(AB24,AS!$A$1:$A$12,AS!$B$1:$B$12)*(AF23+AF24+AF25),1))</f>
        <v/>
      </c>
      <c r="AC26" s="227"/>
      <c r="AD26" s="227"/>
      <c r="AE26" s="227"/>
      <c r="AF26" s="222" t="str">
        <f>IF(AB26&lt;&gt;"","mm2","")</f>
        <v/>
      </c>
      <c r="AG26" s="223"/>
    </row>
    <row r="27" spans="4:33" ht="15.75" customHeight="1" x14ac:dyDescent="0.15">
      <c r="E27" s="212" t="s">
        <v>43</v>
      </c>
      <c r="F27" s="212"/>
      <c r="G27" s="212"/>
      <c r="H27" s="7"/>
      <c r="J27" s="228">
        <f>IF(J26="","",ROUND(J26/J14/J18,5))</f>
        <v>2.97E-3</v>
      </c>
      <c r="K27" s="228"/>
      <c r="L27" s="228"/>
      <c r="M27" s="228"/>
      <c r="N27" s="228"/>
      <c r="O27" s="228"/>
      <c r="P27" s="228">
        <f>IF(P26="","",ROUND(P26/P14/P18,5))</f>
        <v>2.2699999999999999E-3</v>
      </c>
      <c r="Q27" s="228"/>
      <c r="R27" s="228"/>
      <c r="S27" s="228"/>
      <c r="T27" s="228"/>
      <c r="U27" s="228"/>
      <c r="V27" s="228" t="str">
        <f>IF(V26="","",ROUND(V26/V14/V18,5))</f>
        <v/>
      </c>
      <c r="W27" s="228"/>
      <c r="X27" s="228"/>
      <c r="Y27" s="228"/>
      <c r="Z27" s="228"/>
      <c r="AA27" s="228"/>
      <c r="AB27" s="228" t="str">
        <f>IF(AB26="","",ROUND(AB26/AB14/AB18,5))</f>
        <v/>
      </c>
      <c r="AC27" s="228"/>
      <c r="AD27" s="228"/>
      <c r="AE27" s="228"/>
      <c r="AF27" s="228"/>
      <c r="AG27" s="228"/>
    </row>
    <row r="28" spans="4:33" ht="15.75" customHeight="1" x14ac:dyDescent="0.15">
      <c r="J28" s="379"/>
      <c r="K28" s="379"/>
      <c r="L28" s="379"/>
      <c r="M28" s="379"/>
      <c r="N28" s="380"/>
      <c r="O28" s="380"/>
      <c r="P28" s="379"/>
      <c r="Q28" s="379"/>
      <c r="R28" s="379"/>
      <c r="S28" s="379"/>
      <c r="T28" s="380"/>
      <c r="U28" s="380"/>
      <c r="V28" s="11"/>
      <c r="W28" s="11"/>
      <c r="X28" s="11"/>
      <c r="Y28" s="11"/>
      <c r="Z28" s="210"/>
      <c r="AA28" s="210"/>
      <c r="AB28" s="11"/>
      <c r="AC28" s="11"/>
      <c r="AD28" s="11"/>
      <c r="AE28" s="11"/>
      <c r="AF28" s="210"/>
      <c r="AG28" s="210"/>
    </row>
    <row r="29" spans="4:33" ht="15.75" customHeight="1" x14ac:dyDescent="0.15">
      <c r="D29" s="212" t="s">
        <v>44</v>
      </c>
      <c r="E29" s="211"/>
      <c r="F29" s="211"/>
      <c r="G29" s="211"/>
      <c r="H29" s="211"/>
      <c r="I29" s="211"/>
      <c r="J29" s="381">
        <f>J24</f>
        <v>38</v>
      </c>
      <c r="K29" s="381"/>
      <c r="L29" s="381"/>
      <c r="M29" s="382" t="str">
        <f>IF(J29&lt;&gt;"","－","")</f>
        <v>－</v>
      </c>
      <c r="N29" s="383">
        <f>N24</f>
        <v>16</v>
      </c>
      <c r="O29" s="380"/>
      <c r="P29" s="381">
        <f>P24</f>
        <v>38</v>
      </c>
      <c r="Q29" s="381"/>
      <c r="R29" s="381"/>
      <c r="S29" s="382" t="str">
        <f>IF(P29&lt;&gt;"","－","")</f>
        <v>－</v>
      </c>
      <c r="T29" s="380">
        <f>T24</f>
        <v>13</v>
      </c>
      <c r="U29" s="380"/>
      <c r="V29" s="226"/>
      <c r="W29" s="226"/>
      <c r="X29" s="226"/>
      <c r="Y29" s="9" t="str">
        <f>IF(V29&lt;&gt;"","－","")</f>
        <v/>
      </c>
      <c r="Z29" s="210"/>
      <c r="AA29" s="210"/>
      <c r="AB29" s="226"/>
      <c r="AC29" s="226"/>
      <c r="AD29" s="226"/>
      <c r="AE29" s="9" t="str">
        <f>IF(AB29&lt;&gt;"","－","")</f>
        <v/>
      </c>
      <c r="AF29" s="210"/>
      <c r="AG29" s="210"/>
    </row>
    <row r="30" spans="4:33" ht="15.75" customHeight="1" x14ac:dyDescent="0.15">
      <c r="D30" s="211"/>
      <c r="E30" s="211"/>
      <c r="F30" s="211"/>
      <c r="G30" s="211"/>
      <c r="H30" s="211"/>
      <c r="I30" s="211"/>
      <c r="J30" s="384"/>
      <c r="K30" s="384"/>
      <c r="L30" s="382"/>
      <c r="M30" s="379"/>
      <c r="N30" s="380"/>
      <c r="O30" s="380"/>
      <c r="P30" s="384"/>
      <c r="Q30" s="384"/>
      <c r="R30" s="382"/>
      <c r="S30" s="379"/>
      <c r="T30" s="380"/>
      <c r="U30" s="380"/>
      <c r="V30" s="12"/>
      <c r="W30" s="12"/>
      <c r="X30" s="9"/>
      <c r="Y30" s="11"/>
      <c r="Z30" s="210"/>
      <c r="AA30" s="210"/>
      <c r="AB30" s="12"/>
      <c r="AC30" s="12"/>
      <c r="AD30" s="9"/>
      <c r="AE30" s="11"/>
      <c r="AF30" s="210"/>
      <c r="AG30" s="210"/>
    </row>
    <row r="31" spans="4:33" ht="15.75" customHeight="1" x14ac:dyDescent="0.15">
      <c r="J31" s="227">
        <f>IF(J29=0,"",ROUND(LOOKUP(J29,AS!$A$1:$A$12,AS!$B$1:$B$12)*(N28+N29+N30),1))</f>
        <v>18240</v>
      </c>
      <c r="K31" s="227"/>
      <c r="L31" s="227"/>
      <c r="M31" s="227"/>
      <c r="N31" s="222" t="str">
        <f>IF(J31&lt;&gt;"","mm2","")</f>
        <v>mm2</v>
      </c>
      <c r="O31" s="223"/>
      <c r="P31" s="227">
        <f>IF(P29=0,"",ROUND(LOOKUP(P29,AS!$A$1:$A$12,AS!$B$1:$B$12)*(T28+T29+T30),1))</f>
        <v>14820</v>
      </c>
      <c r="Q31" s="227"/>
      <c r="R31" s="227"/>
      <c r="S31" s="227"/>
      <c r="T31" s="222" t="str">
        <f>IF(P31&lt;&gt;"","mm2","")</f>
        <v>mm2</v>
      </c>
      <c r="U31" s="223"/>
      <c r="V31" s="227" t="str">
        <f>IF(V29=0,"",ROUND(LOOKUP(V29,AS!$A$1:$A$12,AS!$B$1:$B$12)*(Z28+Z29+Z30),1))</f>
        <v/>
      </c>
      <c r="W31" s="227"/>
      <c r="X31" s="227"/>
      <c r="Y31" s="227"/>
      <c r="Z31" s="222" t="str">
        <f>IF(V31&lt;&gt;"","mm2","")</f>
        <v/>
      </c>
      <c r="AA31" s="223"/>
      <c r="AB31" s="227" t="str">
        <f>IF(AB29=0,"",ROUND(LOOKUP(AB29,AS!$A$1:$A$12,AS!$B$1:$B$12)*(AF28+AF29+AF30),1))</f>
        <v/>
      </c>
      <c r="AC31" s="227"/>
      <c r="AD31" s="227"/>
      <c r="AE31" s="227"/>
      <c r="AF31" s="222" t="str">
        <f>IF(AB31&lt;&gt;"","mm2","")</f>
        <v/>
      </c>
      <c r="AG31" s="223"/>
    </row>
    <row r="32" spans="4:33" ht="15.75" customHeight="1" x14ac:dyDescent="0.15">
      <c r="E32" s="212" t="s">
        <v>45</v>
      </c>
      <c r="F32" s="212"/>
      <c r="G32" s="212"/>
      <c r="H32" s="7"/>
      <c r="J32" s="385">
        <f>'躯体（線路）'!Z19</f>
        <v>38</v>
      </c>
      <c r="K32" s="385"/>
      <c r="L32" s="385"/>
      <c r="M32" s="227">
        <f>IF(J32=0,"",ROUND(LOOKUP(J32,AS!$A$1:$A$12,AS!$B$1:$B$12)*$Z6/$Z5,1))</f>
        <v>1140</v>
      </c>
      <c r="N32" s="227"/>
      <c r="O32" s="14" t="str">
        <f>IF(J32&lt;&gt;0,"mm2","")</f>
        <v>mm2</v>
      </c>
      <c r="P32" s="385">
        <f>'躯体（線路）'!Z18</f>
        <v>38</v>
      </c>
      <c r="Q32" s="385"/>
      <c r="R32" s="385"/>
      <c r="S32" s="387">
        <f>IF(P32=0,"",ROUND(LOOKUP(P32,AS!$A$1:$A$12,AS!$B$1:$B$12)*$Z6/$Z5,1))</f>
        <v>1140</v>
      </c>
      <c r="T32" s="387"/>
      <c r="U32" s="388" t="str">
        <f>IF(P32&lt;&gt;0,"mm2","")</f>
        <v>mm2</v>
      </c>
      <c r="V32" s="229"/>
      <c r="W32" s="229"/>
      <c r="X32" s="229"/>
      <c r="Y32" s="227" t="str">
        <f>IF(V32=0,"",ROUND(LOOKUP(V32,AS!$A$1:$A$12,AS!$B$1:$B$12)*$Z6/$Z5,1))</f>
        <v/>
      </c>
      <c r="Z32" s="227"/>
      <c r="AA32" s="14" t="str">
        <f>IF(V32&lt;&gt;0,"mm2","")</f>
        <v/>
      </c>
      <c r="AB32" s="229"/>
      <c r="AC32" s="229"/>
      <c r="AD32" s="229"/>
      <c r="AE32" s="227" t="str">
        <f>IF(AB32=0,"",ROUND(LOOKUP(AB32,AS!$A$1:$A$12,AS!$B$1:$B$12)*$Z6/$Z5,1))</f>
        <v/>
      </c>
      <c r="AF32" s="227"/>
      <c r="AG32" s="14" t="str">
        <f>IF(AB32&lt;&gt;0,"mm2","")</f>
        <v/>
      </c>
    </row>
    <row r="33" spans="1:33" ht="15.75" customHeight="1" x14ac:dyDescent="0.15">
      <c r="E33" s="213" t="s">
        <v>46</v>
      </c>
      <c r="F33" s="213"/>
      <c r="G33" s="214" t="s">
        <v>9</v>
      </c>
      <c r="H33" s="214"/>
      <c r="I33" s="213"/>
      <c r="J33" s="13"/>
      <c r="K33" s="13"/>
      <c r="L33" s="386">
        <f>'躯体（線路）'!AC19/2</f>
        <v>11</v>
      </c>
      <c r="M33" s="386"/>
      <c r="N33" s="223" t="str">
        <f>IF(L33&lt;&gt;0,"(本)","")</f>
        <v>(本)</v>
      </c>
      <c r="O33" s="222"/>
      <c r="P33" s="389"/>
      <c r="Q33" s="389"/>
      <c r="R33" s="386">
        <f>'躯体（線路）'!AC18/2-2</f>
        <v>14</v>
      </c>
      <c r="S33" s="386"/>
      <c r="T33" s="390" t="str">
        <f>IF(R33&lt;&gt;0,"(本)","")</f>
        <v>(本)</v>
      </c>
      <c r="U33" s="391"/>
      <c r="V33" s="13"/>
      <c r="W33" s="13"/>
      <c r="X33" s="232"/>
      <c r="Y33" s="232"/>
      <c r="Z33" s="223" t="str">
        <f>IF(X33&lt;&gt;0,"(本)","")</f>
        <v/>
      </c>
      <c r="AA33" s="222"/>
      <c r="AB33" s="13"/>
      <c r="AC33" s="13"/>
      <c r="AD33" s="232"/>
      <c r="AE33" s="232"/>
      <c r="AF33" s="223" t="str">
        <f>IF(AD33&lt;&gt;0,"(本)","")</f>
        <v/>
      </c>
      <c r="AG33" s="222"/>
    </row>
    <row r="34" spans="1:33" ht="15.75" customHeight="1" x14ac:dyDescent="0.15">
      <c r="A34" s="15"/>
      <c r="B34" s="15"/>
      <c r="C34" s="15"/>
      <c r="E34" s="213" t="s">
        <v>47</v>
      </c>
      <c r="F34" s="213"/>
      <c r="G34" s="213" t="s">
        <v>25</v>
      </c>
      <c r="H34" s="213"/>
      <c r="I34" s="213"/>
      <c r="J34" s="392"/>
      <c r="K34" s="392"/>
      <c r="L34" s="392"/>
      <c r="M34" s="392"/>
      <c r="N34" s="392"/>
      <c r="O34" s="392"/>
      <c r="P34" s="392"/>
      <c r="Q34" s="392"/>
      <c r="R34" s="392"/>
      <c r="S34" s="392"/>
      <c r="T34" s="392"/>
      <c r="U34" s="392"/>
      <c r="V34" s="235"/>
      <c r="W34" s="235"/>
      <c r="X34" s="235"/>
      <c r="Y34" s="235"/>
      <c r="Z34" s="235"/>
      <c r="AA34" s="235"/>
      <c r="AB34" s="235"/>
      <c r="AC34" s="235"/>
      <c r="AD34" s="235"/>
      <c r="AE34" s="235"/>
      <c r="AF34" s="235"/>
      <c r="AG34" s="235"/>
    </row>
    <row r="35" spans="1:33" ht="15.75" customHeight="1" x14ac:dyDescent="0.15">
      <c r="E35" s="213" t="s">
        <v>48</v>
      </c>
      <c r="F35" s="213"/>
      <c r="G35" s="214" t="s">
        <v>26</v>
      </c>
      <c r="H35" s="214"/>
      <c r="I35" s="213"/>
      <c r="J35" s="392">
        <f>'躯体（線路）'!V64</f>
        <v>7592.8</v>
      </c>
      <c r="K35" s="392"/>
      <c r="L35" s="392"/>
      <c r="M35" s="392"/>
      <c r="N35" s="392"/>
      <c r="O35" s="392"/>
      <c r="P35" s="392">
        <f>'躯体（直角）'!V17</f>
        <v>7618.8</v>
      </c>
      <c r="Q35" s="392"/>
      <c r="R35" s="392"/>
      <c r="S35" s="392"/>
      <c r="T35" s="392"/>
      <c r="U35" s="392"/>
      <c r="V35" s="235"/>
      <c r="W35" s="235"/>
      <c r="X35" s="235"/>
      <c r="Y35" s="235"/>
      <c r="Z35" s="235"/>
      <c r="AA35" s="235"/>
      <c r="AB35" s="235"/>
      <c r="AC35" s="235"/>
      <c r="AD35" s="235"/>
      <c r="AE35" s="235"/>
      <c r="AF35" s="235"/>
      <c r="AG35" s="235"/>
    </row>
    <row r="36" spans="1:33" ht="15.75" customHeight="1" x14ac:dyDescent="0.15">
      <c r="E36" s="213" t="s">
        <v>262</v>
      </c>
      <c r="F36" s="213"/>
      <c r="G36" s="213" t="s">
        <v>25</v>
      </c>
      <c r="H36" s="213"/>
      <c r="I36" s="213"/>
      <c r="J36" s="393">
        <v>15931.7</v>
      </c>
      <c r="K36" s="393"/>
      <c r="L36" s="393"/>
      <c r="M36" s="393"/>
      <c r="N36" s="393"/>
      <c r="O36" s="393"/>
      <c r="P36" s="393">
        <v>32833.199999999997</v>
      </c>
      <c r="Q36" s="393"/>
      <c r="R36" s="393"/>
      <c r="S36" s="393"/>
      <c r="T36" s="393"/>
      <c r="U36" s="393"/>
      <c r="V36" s="231" t="str">
        <f>IF(V14&lt;&gt;0,ROUND(Mrdx(V14,V15,V16,V17,IF(V19="",Y19,V19),IF(V21="",Y21,V21),V35,V26,IF(V31="",0,V31),IF(Y32="",0,Y32),IF(X33="",0,X33),$Z4,$Z5,$Z7,$Z8,$Z9,3,V41),1),"")</f>
        <v/>
      </c>
      <c r="W36" s="231"/>
      <c r="X36" s="231"/>
      <c r="Y36" s="231"/>
      <c r="Z36" s="231"/>
      <c r="AA36" s="231"/>
      <c r="AB36" s="231" t="str">
        <f>IF(AB14&lt;&gt;0,ROUND(Mrdx(AB14,AB15,AB16,AB17,IF(AB19="",AE19,AB19),IF(AB21="",AE21,AB21),AB35,AB26,IF(AB31="",0,AB31),IF(AE32="",0,AE32),IF(AD33="",0,AD33),$Z4,$Z5,$Z7,$Z8,$Z9,3,AB41),1),"")</f>
        <v/>
      </c>
      <c r="AC36" s="231"/>
      <c r="AD36" s="231"/>
      <c r="AE36" s="231"/>
      <c r="AF36" s="231"/>
      <c r="AG36" s="231"/>
    </row>
    <row r="37" spans="1:33" ht="15.75" customHeight="1" x14ac:dyDescent="0.15">
      <c r="E37" s="213" t="s">
        <v>267</v>
      </c>
      <c r="F37" s="213"/>
      <c r="G37" s="214" t="s">
        <v>26</v>
      </c>
      <c r="H37" s="214"/>
      <c r="I37" s="213"/>
      <c r="J37" s="231">
        <f>IF(J35=0,"",J35)</f>
        <v>7592.8</v>
      </c>
      <c r="K37" s="231"/>
      <c r="L37" s="228"/>
      <c r="M37" s="228"/>
      <c r="N37" s="228"/>
      <c r="O37" s="228"/>
      <c r="P37" s="231">
        <f>IF(P35=0,"",P35)</f>
        <v>7618.8</v>
      </c>
      <c r="Q37" s="231"/>
      <c r="R37" s="228"/>
      <c r="S37" s="228"/>
      <c r="T37" s="228"/>
      <c r="U37" s="228"/>
      <c r="V37" s="231" t="str">
        <f>IF(V35=0,"",V35)</f>
        <v/>
      </c>
      <c r="W37" s="231"/>
      <c r="X37" s="228"/>
      <c r="Y37" s="228"/>
      <c r="Z37" s="228"/>
      <c r="AA37" s="228"/>
      <c r="AB37" s="231" t="str">
        <f>IF(AB35=0,"",AB35)</f>
        <v/>
      </c>
      <c r="AC37" s="231"/>
      <c r="AD37" s="228"/>
      <c r="AE37" s="228"/>
      <c r="AF37" s="228"/>
      <c r="AG37" s="228"/>
    </row>
    <row r="38" spans="1:33" ht="15.75" customHeight="1" x14ac:dyDescent="0.15">
      <c r="D38" s="211" t="s">
        <v>263</v>
      </c>
      <c r="E38" s="211"/>
      <c r="F38" s="211"/>
      <c r="G38" s="211"/>
      <c r="H38" s="211"/>
      <c r="I38" s="211"/>
      <c r="J38" s="233" t="str">
        <f>IF(J34&lt;&gt;"",ROUND($Z10*J34/J36,3),"")</f>
        <v/>
      </c>
      <c r="K38" s="233"/>
      <c r="L38" s="233"/>
      <c r="M38" s="16" t="str">
        <f>IF(J38&lt;&gt;"",IF(J38&lt;N38,"＜","＞"),"")</f>
        <v/>
      </c>
      <c r="N38" s="234" t="str">
        <f>IF(J38="","",IF(J38&lt;&gt;0,1,""))</f>
        <v/>
      </c>
      <c r="O38" s="234"/>
      <c r="P38" s="233" t="str">
        <f>IF(P34&lt;&gt;"",ROUND($Z10*P34/P36,3),"")</f>
        <v/>
      </c>
      <c r="Q38" s="233"/>
      <c r="R38" s="233"/>
      <c r="S38" s="16" t="str">
        <f>IF(P38&lt;&gt;"",IF(P38&lt;T38,"＜","＞"),"")</f>
        <v/>
      </c>
      <c r="T38" s="234" t="str">
        <f>IF(P38="","",IF(P38&lt;&gt;0,1,""))</f>
        <v/>
      </c>
      <c r="U38" s="234"/>
      <c r="V38" s="233" t="str">
        <f>IF(V34&lt;&gt;"",ROUND($Z10*V34/V36,3),"")</f>
        <v/>
      </c>
      <c r="W38" s="233"/>
      <c r="X38" s="233"/>
      <c r="Y38" s="16" t="str">
        <f>IF(V38&lt;&gt;"",IF(V38&lt;Z38,"＜","＞"),"")</f>
        <v/>
      </c>
      <c r="Z38" s="234" t="str">
        <f>IF(V38="","",IF(V38&lt;&gt;0,1,""))</f>
        <v/>
      </c>
      <c r="AA38" s="234"/>
      <c r="AB38" s="233" t="str">
        <f>IF(AB34&lt;&gt;"",ROUND($Z10*AB34/AB36,3),"")</f>
        <v/>
      </c>
      <c r="AC38" s="233"/>
      <c r="AD38" s="233"/>
      <c r="AE38" s="16" t="str">
        <f>IF(AB38&lt;&gt;"",IF(AB38&lt;AF38,"＜","＞"),"")</f>
        <v/>
      </c>
      <c r="AF38" s="234" t="str">
        <f>IF(AB38="","",IF(AB38&lt;&gt;0,1,""))</f>
        <v/>
      </c>
      <c r="AG38" s="234"/>
    </row>
    <row r="39" spans="1:33" ht="15.75" customHeight="1" x14ac:dyDescent="0.15">
      <c r="E39" s="211" t="s">
        <v>264</v>
      </c>
      <c r="F39" s="212"/>
      <c r="G39" s="212"/>
      <c r="H39" s="7"/>
      <c r="I39" s="17"/>
      <c r="J39" s="224">
        <f>IF(J14&lt;&gt;0,$Z$5/200000,"")</f>
        <v>1.9499999999999999E-3</v>
      </c>
      <c r="K39" s="224"/>
      <c r="L39" s="224"/>
      <c r="M39" s="224"/>
      <c r="N39" s="224"/>
      <c r="O39" s="224"/>
      <c r="P39" s="224">
        <f>IF(P14&lt;&gt;0,$Z$5/200000,"")</f>
        <v>1.9499999999999999E-3</v>
      </c>
      <c r="Q39" s="224"/>
      <c r="R39" s="224"/>
      <c r="S39" s="224"/>
      <c r="T39" s="224"/>
      <c r="U39" s="224"/>
      <c r="V39" s="224" t="str">
        <f>IF(V14&lt;&gt;0,$Z$5/200000,"")</f>
        <v/>
      </c>
      <c r="W39" s="224"/>
      <c r="X39" s="224"/>
      <c r="Y39" s="224"/>
      <c r="Z39" s="224"/>
      <c r="AA39" s="224"/>
      <c r="AB39" s="224" t="str">
        <f>IF(AB14&lt;&gt;0,$Z$5/200000,"")</f>
        <v/>
      </c>
      <c r="AC39" s="224"/>
      <c r="AD39" s="224"/>
      <c r="AE39" s="224"/>
      <c r="AF39" s="224"/>
      <c r="AG39" s="224"/>
    </row>
    <row r="40" spans="1:33" ht="15.75" customHeight="1" x14ac:dyDescent="0.15">
      <c r="E40" s="211" t="s">
        <v>265</v>
      </c>
      <c r="F40" s="212"/>
      <c r="G40" s="212"/>
      <c r="H40" s="7"/>
      <c r="J40" s="224">
        <f>IF(J14&lt;&gt;"",J41/(J18-J41)*J39,"")</f>
        <v>7.9435327493457492E-4</v>
      </c>
      <c r="K40" s="224"/>
      <c r="L40" s="224"/>
      <c r="M40" s="224"/>
      <c r="N40" s="224"/>
      <c r="O40" s="224"/>
      <c r="P40" s="224">
        <f>IF(P14&lt;&gt;"",P41/(P18-P41)*P39,"")</f>
        <v>7.4259543206355895E-4</v>
      </c>
      <c r="Q40" s="224"/>
      <c r="R40" s="224"/>
      <c r="S40" s="224"/>
      <c r="T40" s="224"/>
      <c r="U40" s="224"/>
      <c r="V40" s="224" t="str">
        <f>IF(V14&lt;&gt;"",V41/(V18-V41)*V39,"")</f>
        <v/>
      </c>
      <c r="W40" s="224"/>
      <c r="X40" s="224"/>
      <c r="Y40" s="224"/>
      <c r="Z40" s="224"/>
      <c r="AA40" s="224"/>
      <c r="AB40" s="224" t="str">
        <f>IF(AB14&lt;&gt;"",AB41/(AB18-AB41)*AB39,"")</f>
        <v/>
      </c>
      <c r="AC40" s="224"/>
      <c r="AD40" s="224"/>
      <c r="AE40" s="224"/>
      <c r="AF40" s="224"/>
      <c r="AG40" s="224"/>
    </row>
    <row r="41" spans="1:33" ht="15.75" customHeight="1" x14ac:dyDescent="0.15">
      <c r="D41" s="10"/>
      <c r="E41" s="225" t="s">
        <v>49</v>
      </c>
      <c r="F41" s="225"/>
      <c r="G41" s="214" t="s">
        <v>27</v>
      </c>
      <c r="H41" s="214"/>
      <c r="I41" s="214"/>
      <c r="J41" s="218">
        <f>IF(J14&lt;&gt;0,Mrdx(J14,J15,J16,J17,IF(J19="",M19,J19),IF(J21="",M21,J21),J35,J26,J31,IF(M32="",0,M32),IF(L33="",0,L33),$Z4,$Z5,$Z7,$Z8,$Z9,2,0),"")</f>
        <v>451.07900464729835</v>
      </c>
      <c r="K41" s="218"/>
      <c r="L41" s="218"/>
      <c r="M41" s="218"/>
      <c r="N41" s="218"/>
      <c r="O41" s="218"/>
      <c r="P41" s="218">
        <f>IF(P14&lt;&gt;0,Mrdx(P14,P15,P16,P17,IF(P19="",S19,P19),IF(P21="",S21,P21),P35,P26,P31,IF(S32="",0,S32),IF(R33="",0,R33),$Z4,$Z5,$Z7,$Z8,$Z9,2,0),"")</f>
        <v>1057.3853214739015</v>
      </c>
      <c r="Q41" s="218"/>
      <c r="R41" s="218"/>
      <c r="S41" s="218"/>
      <c r="T41" s="218"/>
      <c r="U41" s="218"/>
      <c r="V41" s="218" t="str">
        <f>IF(V14&lt;&gt;0,Mrdx(V14,V15,V16,V17,IF(V19="",Y19,V19),IF(V21="",Y21,V21),V35,V26,V31,IF(Y32="",0,Y32),IF(X33="",0,X33),$Z4,$Z5,$Z7,$Z8,$Z9,2,0),"")</f>
        <v/>
      </c>
      <c r="W41" s="218"/>
      <c r="X41" s="218"/>
      <c r="Y41" s="218"/>
      <c r="Z41" s="218"/>
      <c r="AA41" s="218"/>
      <c r="AB41" s="218" t="str">
        <f>IF(AB14&lt;&gt;0,Mrdx(AB14,AB15,AB16,AB17,IF(AB19="",AE19,AB19),IF(AB21="",AE21,AB21),AB35,AB26,AB31,IF(AE32="",0,AE32),IF(AD33="",0,AD33),$Z4,$Z5,$Z7,$Z8,$Z9,2,0),"")</f>
        <v/>
      </c>
      <c r="AC41" s="218"/>
      <c r="AD41" s="218"/>
      <c r="AE41" s="218"/>
      <c r="AF41" s="218"/>
      <c r="AG41" s="218"/>
    </row>
    <row r="42" spans="1:33" ht="15.75" customHeight="1" x14ac:dyDescent="0.15">
      <c r="E42" s="212" t="s">
        <v>28</v>
      </c>
      <c r="F42" s="212"/>
      <c r="G42" s="212"/>
      <c r="H42" s="7"/>
      <c r="J42" s="11"/>
      <c r="K42" s="11"/>
      <c r="L42" s="11"/>
      <c r="M42" s="11"/>
      <c r="N42" s="11"/>
      <c r="O42" s="11"/>
      <c r="P42" s="11"/>
      <c r="Q42" s="11"/>
      <c r="R42" s="11"/>
      <c r="S42" s="11"/>
      <c r="T42" s="11"/>
      <c r="U42" s="11"/>
      <c r="V42" s="11"/>
      <c r="W42" s="11"/>
      <c r="X42" s="11"/>
      <c r="Y42" s="11"/>
      <c r="Z42" s="11"/>
      <c r="AA42" s="11"/>
      <c r="AB42" s="11"/>
      <c r="AC42" s="11"/>
      <c r="AD42" s="11"/>
      <c r="AE42" s="11"/>
      <c r="AF42" s="11"/>
      <c r="AG42" s="11"/>
    </row>
    <row r="43" spans="1:33" ht="15.75" customHeight="1" x14ac:dyDescent="0.15">
      <c r="D43" s="211" t="s">
        <v>6</v>
      </c>
      <c r="E43" s="211"/>
      <c r="F43" s="211"/>
      <c r="G43" s="211"/>
      <c r="H43" s="211"/>
      <c r="I43" s="211"/>
      <c r="J43" s="11"/>
      <c r="K43" s="11"/>
      <c r="L43" s="11"/>
      <c r="M43" s="11"/>
      <c r="N43" s="11"/>
      <c r="O43" s="11"/>
      <c r="P43" s="11"/>
      <c r="Q43" s="11"/>
      <c r="R43" s="11"/>
      <c r="S43" s="11"/>
      <c r="T43" s="11"/>
      <c r="U43" s="11"/>
      <c r="V43" s="11"/>
      <c r="W43" s="11"/>
      <c r="X43" s="11"/>
      <c r="Y43" s="11"/>
      <c r="Z43" s="11"/>
      <c r="AA43" s="11"/>
      <c r="AB43" s="11"/>
      <c r="AC43" s="11"/>
      <c r="AD43" s="11"/>
      <c r="AE43" s="11"/>
      <c r="AF43" s="11"/>
      <c r="AG43" s="11"/>
    </row>
    <row r="44" spans="1:33" ht="15.75" customHeight="1" x14ac:dyDescent="0.15">
      <c r="D44" s="211"/>
      <c r="E44" s="211"/>
      <c r="F44" s="211"/>
      <c r="G44" s="211"/>
      <c r="H44" s="211"/>
      <c r="I44" s="211"/>
      <c r="J44" s="11"/>
      <c r="K44" s="11"/>
      <c r="L44" s="11"/>
      <c r="M44" s="11"/>
      <c r="N44" s="11"/>
      <c r="O44" s="11"/>
      <c r="P44" s="11"/>
      <c r="Q44" s="11"/>
      <c r="R44" s="11"/>
      <c r="S44" s="11"/>
      <c r="T44" s="11"/>
      <c r="U44" s="11"/>
      <c r="V44" s="11"/>
      <c r="W44" s="11"/>
      <c r="X44" s="11"/>
      <c r="Y44" s="11"/>
      <c r="Z44" s="11"/>
      <c r="AA44" s="11"/>
      <c r="AB44" s="11"/>
      <c r="AC44" s="11"/>
      <c r="AD44" s="11"/>
      <c r="AE44" s="11"/>
      <c r="AF44" s="11"/>
      <c r="AG44" s="11"/>
    </row>
    <row r="46" spans="1:33" ht="15.75" customHeight="1" x14ac:dyDescent="0.15">
      <c r="D46" s="5" t="s">
        <v>10</v>
      </c>
      <c r="F46" s="5"/>
      <c r="G46" s="5"/>
      <c r="H46" s="5"/>
      <c r="J46" s="5"/>
      <c r="K46" s="5"/>
      <c r="L46" s="5"/>
      <c r="M46" s="5"/>
      <c r="N46" s="5"/>
    </row>
    <row r="47" spans="1:33" ht="15.75" customHeight="1" x14ac:dyDescent="0.15">
      <c r="D47" s="5" t="s">
        <v>266</v>
      </c>
      <c r="F47" s="18"/>
      <c r="G47" s="18"/>
      <c r="H47" s="18"/>
      <c r="J47" s="18"/>
      <c r="K47" s="18"/>
      <c r="L47" s="18"/>
      <c r="M47" s="18"/>
      <c r="N47" s="18"/>
      <c r="O47" s="18"/>
      <c r="P47" s="18"/>
      <c r="Q47" s="18"/>
      <c r="R47" s="18"/>
      <c r="S47" s="18"/>
      <c r="T47" s="18"/>
      <c r="U47" s="18"/>
      <c r="V47" s="18"/>
      <c r="W47" s="18"/>
      <c r="X47" s="18"/>
      <c r="Y47" s="18"/>
      <c r="Z47" s="18"/>
      <c r="AA47" s="18"/>
      <c r="AB47" s="18"/>
      <c r="AC47" s="18"/>
    </row>
    <row r="48" spans="1:33" ht="15.75" customHeight="1" x14ac:dyDescent="0.15">
      <c r="D48" s="18" t="str">
        <f>IF(Z6/Z5&lt;1,"側鉄筋１本当りの断面積は、主鉄筋との降伏強度比による換算断面積とする","")</f>
        <v/>
      </c>
    </row>
  </sheetData>
  <mergeCells count="204">
    <mergeCell ref="P40:U40"/>
    <mergeCell ref="V40:AA40"/>
    <mergeCell ref="AB40:AG40"/>
    <mergeCell ref="P41:U41"/>
    <mergeCell ref="V41:AA41"/>
    <mergeCell ref="AB41:AG41"/>
    <mergeCell ref="AB38:AD38"/>
    <mergeCell ref="AF38:AG38"/>
    <mergeCell ref="P39:U39"/>
    <mergeCell ref="V39:AA39"/>
    <mergeCell ref="AB39:AG39"/>
    <mergeCell ref="P38:R38"/>
    <mergeCell ref="T38:U38"/>
    <mergeCell ref="V38:X38"/>
    <mergeCell ref="Z38:AA38"/>
    <mergeCell ref="P36:U36"/>
    <mergeCell ref="V36:AA36"/>
    <mergeCell ref="AB36:AG36"/>
    <mergeCell ref="P37:U37"/>
    <mergeCell ref="V37:AA37"/>
    <mergeCell ref="AB37:AG37"/>
    <mergeCell ref="P34:U34"/>
    <mergeCell ref="V34:AA34"/>
    <mergeCell ref="AB34:AG34"/>
    <mergeCell ref="P35:U35"/>
    <mergeCell ref="V35:AA35"/>
    <mergeCell ref="AB35:AG35"/>
    <mergeCell ref="AB32:AD32"/>
    <mergeCell ref="AE32:AF32"/>
    <mergeCell ref="AB31:AE31"/>
    <mergeCell ref="AF31:AG31"/>
    <mergeCell ref="AD33:AE33"/>
    <mergeCell ref="AF33:AG33"/>
    <mergeCell ref="P32:R32"/>
    <mergeCell ref="S32:T32"/>
    <mergeCell ref="R33:S33"/>
    <mergeCell ref="T33:U33"/>
    <mergeCell ref="X33:Y33"/>
    <mergeCell ref="Z33:AA33"/>
    <mergeCell ref="V32:X32"/>
    <mergeCell ref="Y32:Z32"/>
    <mergeCell ref="V26:Y26"/>
    <mergeCell ref="Z26:AA26"/>
    <mergeCell ref="P31:S31"/>
    <mergeCell ref="T31:U31"/>
    <mergeCell ref="V31:Y31"/>
    <mergeCell ref="Z31:AA31"/>
    <mergeCell ref="V29:X29"/>
    <mergeCell ref="AB29:AD29"/>
    <mergeCell ref="P29:R29"/>
    <mergeCell ref="AB18:AG18"/>
    <mergeCell ref="P19:R19"/>
    <mergeCell ref="S19:U19"/>
    <mergeCell ref="V19:X19"/>
    <mergeCell ref="Y19:AA19"/>
    <mergeCell ref="AB19:AD19"/>
    <mergeCell ref="AE19:AG19"/>
    <mergeCell ref="P18:U18"/>
    <mergeCell ref="V24:X24"/>
    <mergeCell ref="AB24:AD24"/>
    <mergeCell ref="Y20:AA20"/>
    <mergeCell ref="AE20:AG20"/>
    <mergeCell ref="Y22:AA22"/>
    <mergeCell ref="AE22:AG22"/>
    <mergeCell ref="V21:X21"/>
    <mergeCell ref="Y21:AA21"/>
    <mergeCell ref="AB21:AD21"/>
    <mergeCell ref="AE21:AG21"/>
    <mergeCell ref="AB12:AG12"/>
    <mergeCell ref="P13:U13"/>
    <mergeCell ref="V13:AA13"/>
    <mergeCell ref="AB13:AG13"/>
    <mergeCell ref="P12:U12"/>
    <mergeCell ref="P21:R21"/>
    <mergeCell ref="S21:U21"/>
    <mergeCell ref="P24:R24"/>
    <mergeCell ref="S20:U20"/>
    <mergeCell ref="S22:U22"/>
    <mergeCell ref="Z23:AA23"/>
    <mergeCell ref="Z24:AA24"/>
    <mergeCell ref="V16:AA16"/>
    <mergeCell ref="AB16:AG16"/>
    <mergeCell ref="P17:U17"/>
    <mergeCell ref="V17:AA17"/>
    <mergeCell ref="AB17:AG17"/>
    <mergeCell ref="P16:U16"/>
    <mergeCell ref="V14:AA14"/>
    <mergeCell ref="AB14:AG14"/>
    <mergeCell ref="P15:U15"/>
    <mergeCell ref="V15:AA15"/>
    <mergeCell ref="AB15:AG15"/>
    <mergeCell ref="P14:U14"/>
    <mergeCell ref="J37:O37"/>
    <mergeCell ref="N31:O31"/>
    <mergeCell ref="M32:N32"/>
    <mergeCell ref="L33:M33"/>
    <mergeCell ref="J31:M31"/>
    <mergeCell ref="J38:L38"/>
    <mergeCell ref="N38:O38"/>
    <mergeCell ref="E34:F34"/>
    <mergeCell ref="G34:I34"/>
    <mergeCell ref="J36:O36"/>
    <mergeCell ref="J35:O35"/>
    <mergeCell ref="G36:I36"/>
    <mergeCell ref="J34:O34"/>
    <mergeCell ref="E33:F33"/>
    <mergeCell ref="G33:I33"/>
    <mergeCell ref="E37:F37"/>
    <mergeCell ref="G37:I37"/>
    <mergeCell ref="E36:F36"/>
    <mergeCell ref="D38:I38"/>
    <mergeCell ref="E32:G32"/>
    <mergeCell ref="E42:G42"/>
    <mergeCell ref="D43:I44"/>
    <mergeCell ref="J40:O40"/>
    <mergeCell ref="G41:I41"/>
    <mergeCell ref="E40:G40"/>
    <mergeCell ref="J41:O41"/>
    <mergeCell ref="E41:F41"/>
    <mergeCell ref="J39:O39"/>
    <mergeCell ref="D13:I13"/>
    <mergeCell ref="D29:I30"/>
    <mergeCell ref="J29:L29"/>
    <mergeCell ref="J26:M26"/>
    <mergeCell ref="J27:O27"/>
    <mergeCell ref="N25:O25"/>
    <mergeCell ref="J32:L32"/>
    <mergeCell ref="N33:O33"/>
    <mergeCell ref="J24:L24"/>
    <mergeCell ref="M20:O20"/>
    <mergeCell ref="M22:O22"/>
    <mergeCell ref="N23:O23"/>
    <mergeCell ref="N24:O24"/>
    <mergeCell ref="E39:G39"/>
    <mergeCell ref="E35:F35"/>
    <mergeCell ref="G35:I35"/>
    <mergeCell ref="G21:I21"/>
    <mergeCell ref="E27:G27"/>
    <mergeCell ref="G17:I17"/>
    <mergeCell ref="Z5:AA5"/>
    <mergeCell ref="W5:X5"/>
    <mergeCell ref="Z7:AA7"/>
    <mergeCell ref="Z8:AA8"/>
    <mergeCell ref="W6:X6"/>
    <mergeCell ref="Z6:AA6"/>
    <mergeCell ref="W9:X9"/>
    <mergeCell ref="Z10:AA10"/>
    <mergeCell ref="Z9:AA9"/>
    <mergeCell ref="W7:X7"/>
    <mergeCell ref="W8:X8"/>
    <mergeCell ref="D24:I25"/>
    <mergeCell ref="E21:F21"/>
    <mergeCell ref="M21:O21"/>
    <mergeCell ref="J21:L21"/>
    <mergeCell ref="N26:O26"/>
    <mergeCell ref="V12:AA12"/>
    <mergeCell ref="V18:AA18"/>
    <mergeCell ref="P27:U27"/>
    <mergeCell ref="V27:AA27"/>
    <mergeCell ref="P26:S26"/>
    <mergeCell ref="W4:X4"/>
    <mergeCell ref="Z4:AA4"/>
    <mergeCell ref="W10:X10"/>
    <mergeCell ref="E19:F19"/>
    <mergeCell ref="G19:I19"/>
    <mergeCell ref="J19:L19"/>
    <mergeCell ref="M19:O19"/>
    <mergeCell ref="J17:O17"/>
    <mergeCell ref="J16:O16"/>
    <mergeCell ref="J18:O18"/>
    <mergeCell ref="J12:O12"/>
    <mergeCell ref="J13:O13"/>
    <mergeCell ref="J15:O15"/>
    <mergeCell ref="J14:O14"/>
    <mergeCell ref="E15:F15"/>
    <mergeCell ref="E17:F17"/>
    <mergeCell ref="D12:I12"/>
    <mergeCell ref="G15:I15"/>
    <mergeCell ref="G14:I14"/>
    <mergeCell ref="G16:I16"/>
    <mergeCell ref="G18:I18"/>
    <mergeCell ref="N28:O28"/>
    <mergeCell ref="N29:O29"/>
    <mergeCell ref="N30:O30"/>
    <mergeCell ref="T23:U23"/>
    <mergeCell ref="T24:U24"/>
    <mergeCell ref="T25:U25"/>
    <mergeCell ref="T28:U28"/>
    <mergeCell ref="T29:U29"/>
    <mergeCell ref="T30:U30"/>
    <mergeCell ref="T26:U26"/>
    <mergeCell ref="Z25:AA25"/>
    <mergeCell ref="AF23:AG23"/>
    <mergeCell ref="AF24:AG24"/>
    <mergeCell ref="AF25:AG25"/>
    <mergeCell ref="Z28:AA28"/>
    <mergeCell ref="Z29:AA29"/>
    <mergeCell ref="Z30:AA30"/>
    <mergeCell ref="AF28:AG28"/>
    <mergeCell ref="AF29:AG29"/>
    <mergeCell ref="AF30:AG30"/>
    <mergeCell ref="AB26:AE26"/>
    <mergeCell ref="AF26:AG26"/>
    <mergeCell ref="AB27:AG27"/>
  </mergeCells>
  <phoneticPr fontId="3"/>
  <pageMargins left="0.98425196850393704" right="0.59055118110236227" top="0.78740157480314965" bottom="0.59055118110236227" header="0.51181102362204722" footer="0.51181102362204722"/>
  <pageSetup paperSize="9" orientation="portrait" blackAndWhite="1" horizontalDpi="4294967292"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107AC-A716-4867-A266-275B7BD7E2C5}">
  <sheetPr codeName="Sheet15"/>
  <dimension ref="A1:BC395"/>
  <sheetViews>
    <sheetView view="pageBreakPreview" zoomScaleNormal="100" zoomScaleSheetLayoutView="100" workbookViewId="0">
      <selection activeCell="C6" sqref="C6"/>
    </sheetView>
  </sheetViews>
  <sheetFormatPr defaultColWidth="2.7109375" defaultRowHeight="15.75" customHeight="1" x14ac:dyDescent="0.15"/>
  <cols>
    <col min="1" max="35" width="2.7109375" style="27"/>
    <col min="36" max="37" width="5.7109375" style="27" bestFit="1" customWidth="1"/>
    <col min="38" max="38" width="3.7109375" style="27" bestFit="1" customWidth="1"/>
    <col min="39" max="16384" width="2.7109375" style="27"/>
  </cols>
  <sheetData>
    <row r="1" spans="1:55" ht="15.75" customHeight="1" x14ac:dyDescent="0.15">
      <c r="AX1" s="27">
        <v>13</v>
      </c>
      <c r="AY1" s="27">
        <v>126.7</v>
      </c>
      <c r="BA1" s="27">
        <v>1</v>
      </c>
      <c r="BB1" s="27">
        <v>18</v>
      </c>
      <c r="BC1" s="27">
        <v>22</v>
      </c>
    </row>
    <row r="2" spans="1:55" ht="15.75" customHeight="1" x14ac:dyDescent="0.15">
      <c r="A2" s="26" t="str">
        <f>'躯体（線路）'!AL5&amp;".3 フーチングの構造細目"</f>
        <v>2.3 フーチングの構造細目</v>
      </c>
      <c r="AX2" s="27">
        <v>16</v>
      </c>
      <c r="AY2" s="27">
        <v>198.6</v>
      </c>
      <c r="BA2" s="27">
        <v>2</v>
      </c>
      <c r="BB2" s="27">
        <v>24</v>
      </c>
      <c r="BC2" s="27">
        <v>25</v>
      </c>
    </row>
    <row r="3" spans="1:55" ht="15.75" customHeight="1" thickBot="1" x14ac:dyDescent="0.2">
      <c r="AL3" s="402"/>
      <c r="AX3" s="27">
        <v>19</v>
      </c>
      <c r="AY3" s="27">
        <v>286.5</v>
      </c>
      <c r="BA3" s="27">
        <v>3</v>
      </c>
      <c r="BB3" s="27">
        <v>30</v>
      </c>
      <c r="BC3" s="27">
        <v>28</v>
      </c>
    </row>
    <row r="4" spans="1:55" ht="15.75" customHeight="1" thickBot="1" x14ac:dyDescent="0.2">
      <c r="B4" t="s">
        <v>673</v>
      </c>
      <c r="AL4" s="160" t="s">
        <v>305</v>
      </c>
      <c r="AM4" s="161"/>
      <c r="AN4" s="161"/>
      <c r="AO4" s="162"/>
      <c r="AX4" s="27">
        <v>22</v>
      </c>
      <c r="AY4" s="27">
        <v>387.1</v>
      </c>
      <c r="BA4" s="27">
        <v>4</v>
      </c>
      <c r="BB4" s="27">
        <v>40</v>
      </c>
      <c r="BC4" s="27">
        <v>31</v>
      </c>
    </row>
    <row r="5" spans="1:55" ht="15.75" customHeight="1" x14ac:dyDescent="0.15">
      <c r="AX5" s="27">
        <v>25</v>
      </c>
      <c r="AY5" s="27">
        <v>506.7</v>
      </c>
      <c r="BA5" s="27">
        <v>5</v>
      </c>
      <c r="BB5" s="27">
        <v>50</v>
      </c>
      <c r="BC5" s="27">
        <v>33</v>
      </c>
    </row>
    <row r="6" spans="1:55" ht="15.75" customHeight="1" x14ac:dyDescent="0.15">
      <c r="C6" t="s">
        <v>554</v>
      </c>
      <c r="AX6" s="27">
        <v>29</v>
      </c>
      <c r="AY6" s="27">
        <v>642.4</v>
      </c>
      <c r="BA6" s="27">
        <v>6</v>
      </c>
      <c r="BB6" s="27">
        <v>60</v>
      </c>
      <c r="BC6" s="27">
        <v>35</v>
      </c>
    </row>
    <row r="7" spans="1:55" ht="15.75" customHeight="1" x14ac:dyDescent="0.15">
      <c r="AX7" s="27">
        <v>32</v>
      </c>
      <c r="AY7" s="27">
        <v>794.2</v>
      </c>
      <c r="BA7" s="27">
        <v>7</v>
      </c>
      <c r="BB7" s="27">
        <v>70</v>
      </c>
      <c r="BC7" s="27">
        <v>37</v>
      </c>
    </row>
    <row r="8" spans="1:55" ht="15.75" customHeight="1" x14ac:dyDescent="0.15">
      <c r="D8" s="27" t="s">
        <v>359</v>
      </c>
      <c r="AX8" s="27">
        <v>35</v>
      </c>
      <c r="AY8" s="27">
        <v>956.6</v>
      </c>
      <c r="BA8" s="27">
        <v>8</v>
      </c>
      <c r="BB8" s="27">
        <v>80</v>
      </c>
      <c r="BC8" s="27">
        <v>38</v>
      </c>
    </row>
    <row r="9" spans="1:55" ht="15.75" customHeight="1" x14ac:dyDescent="0.15">
      <c r="AX9" s="27">
        <v>38</v>
      </c>
      <c r="AY9" s="27">
        <v>1140</v>
      </c>
    </row>
    <row r="10" spans="1:55" ht="15.75" customHeight="1" x14ac:dyDescent="0.15">
      <c r="E10" s="27" t="s">
        <v>306</v>
      </c>
      <c r="AX10" s="27">
        <v>41</v>
      </c>
      <c r="AY10" s="27">
        <v>1340</v>
      </c>
    </row>
    <row r="11" spans="1:55" ht="15.75" customHeight="1" x14ac:dyDescent="0.15">
      <c r="E11" s="27" t="s">
        <v>307</v>
      </c>
      <c r="AX11" s="27">
        <v>51</v>
      </c>
      <c r="AY11" s="27">
        <v>2027</v>
      </c>
    </row>
    <row r="13" spans="1:55" ht="15.75" customHeight="1" x14ac:dyDescent="0.15">
      <c r="F13" s="32" t="s">
        <v>320</v>
      </c>
      <c r="G13" s="31" t="s">
        <v>13</v>
      </c>
      <c r="H13" s="163" t="s">
        <v>555</v>
      </c>
      <c r="I13" s="163"/>
      <c r="J13" s="163"/>
      <c r="K13" s="163"/>
    </row>
    <row r="15" spans="1:55" ht="15.75" customHeight="1" x14ac:dyDescent="0.15">
      <c r="G15"/>
      <c r="I15" s="33" t="s">
        <v>63</v>
      </c>
      <c r="J15" s="116" t="s">
        <v>330</v>
      </c>
      <c r="K15" s="116"/>
      <c r="L15" s="32" t="s">
        <v>65</v>
      </c>
      <c r="M15" s="27" t="s">
        <v>309</v>
      </c>
      <c r="S15" s="31" t="s">
        <v>67</v>
      </c>
      <c r="T15" s="31" t="s">
        <v>13</v>
      </c>
      <c r="U15" s="141">
        <f>S16+S17</f>
        <v>9582.1</v>
      </c>
      <c r="V15" s="141"/>
      <c r="W15" s="141"/>
      <c r="X15" s="141"/>
      <c r="Y15" s="34" t="s">
        <v>68</v>
      </c>
      <c r="Z15" s="31"/>
      <c r="AA15" s="307" t="s">
        <v>67</v>
      </c>
      <c r="AB15" s="308">
        <v>390</v>
      </c>
      <c r="AC15" s="308"/>
      <c r="AD15" s="308"/>
      <c r="AE15" s="306" t="s">
        <v>81</v>
      </c>
      <c r="AX15" s="111">
        <v>295</v>
      </c>
      <c r="AY15" s="112">
        <v>0.85</v>
      </c>
    </row>
    <row r="16" spans="1:55" ht="15.75" customHeight="1" x14ac:dyDescent="0.15">
      <c r="M16" s="306" t="s">
        <v>676</v>
      </c>
      <c r="R16" s="31" t="s">
        <v>65</v>
      </c>
      <c r="S16" s="141">
        <f>ROUND(AC16*AK16,1)</f>
        <v>5297.3</v>
      </c>
      <c r="T16" s="141"/>
      <c r="U16" s="141"/>
      <c r="V16" s="141"/>
      <c r="W16" s="50" t="s">
        <v>242</v>
      </c>
      <c r="X16" s="31"/>
      <c r="Y16" s="31" t="s">
        <v>67</v>
      </c>
      <c r="Z16" s="152">
        <v>32</v>
      </c>
      <c r="AA16" s="152"/>
      <c r="AB16" s="31" t="s">
        <v>164</v>
      </c>
      <c r="AC16" s="408">
        <v>6.67</v>
      </c>
      <c r="AD16" s="408"/>
      <c r="AE16" s="31" t="s">
        <v>224</v>
      </c>
      <c r="AF16" s="31" t="s">
        <v>81</v>
      </c>
      <c r="AJ16" s="31"/>
      <c r="AK16" s="119">
        <f>VLOOKUP(Z16,AX1:AY11,2)</f>
        <v>794.2</v>
      </c>
      <c r="AL16" s="119"/>
      <c r="AM16" s="119"/>
      <c r="AN16" s="124"/>
      <c r="AO16" s="124"/>
      <c r="AP16" s="124"/>
      <c r="AX16" s="111">
        <v>345</v>
      </c>
      <c r="AY16" s="112">
        <v>1</v>
      </c>
    </row>
    <row r="17" spans="5:51" ht="15.75" customHeight="1" x14ac:dyDescent="0.15">
      <c r="M17" s="306" t="s">
        <v>677</v>
      </c>
      <c r="R17" s="31" t="s">
        <v>65</v>
      </c>
      <c r="S17" s="141">
        <f>ROUND(AC17*AK17,1)</f>
        <v>4284.8</v>
      </c>
      <c r="T17" s="141"/>
      <c r="U17" s="141"/>
      <c r="V17" s="141"/>
      <c r="W17" s="50" t="s">
        <v>242</v>
      </c>
      <c r="X17" s="31"/>
      <c r="Y17" s="31" t="s">
        <v>67</v>
      </c>
      <c r="Z17" s="152">
        <v>29</v>
      </c>
      <c r="AA17" s="152"/>
      <c r="AB17" s="31" t="s">
        <v>164</v>
      </c>
      <c r="AC17" s="408">
        <v>6.67</v>
      </c>
      <c r="AD17" s="408"/>
      <c r="AE17" s="31" t="s">
        <v>224</v>
      </c>
      <c r="AF17" s="31" t="s">
        <v>81</v>
      </c>
      <c r="AJ17" s="31"/>
      <c r="AK17" s="119">
        <f>VLOOKUP(Z17,AX1:AY11,2)</f>
        <v>642.4</v>
      </c>
      <c r="AL17" s="119"/>
      <c r="AM17" s="119"/>
      <c r="AN17" s="124"/>
      <c r="AO17" s="124"/>
      <c r="AP17" s="124"/>
      <c r="AX17" s="111">
        <v>390</v>
      </c>
      <c r="AY17" s="112">
        <v>1.1499999999999999</v>
      </c>
    </row>
    <row r="18" spans="5:51" ht="15.75" customHeight="1" x14ac:dyDescent="0.15">
      <c r="J18" s="116" t="s">
        <v>35</v>
      </c>
      <c r="K18" s="116"/>
      <c r="L18" s="32" t="s">
        <v>65</v>
      </c>
      <c r="M18" s="27" t="s">
        <v>196</v>
      </c>
      <c r="Q18" s="31" t="s">
        <v>67</v>
      </c>
      <c r="R18" s="31" t="s">
        <v>13</v>
      </c>
      <c r="S18" s="149">
        <v>1000</v>
      </c>
      <c r="T18" s="149"/>
      <c r="U18" s="149"/>
      <c r="V18" s="27" t="s">
        <v>80</v>
      </c>
      <c r="W18" s="31" t="s">
        <v>81</v>
      </c>
      <c r="X18" s="31"/>
      <c r="Y18" s="31"/>
      <c r="Z18" s="69"/>
      <c r="AA18" s="69"/>
      <c r="AB18" s="31"/>
      <c r="AC18" s="68"/>
      <c r="AD18" s="31"/>
      <c r="AE18" s="31"/>
      <c r="AF18" s="31"/>
      <c r="AJ18" s="31"/>
      <c r="AK18" s="53"/>
      <c r="AL18" s="53"/>
      <c r="AM18" s="53"/>
      <c r="AX18" s="111">
        <v>490</v>
      </c>
      <c r="AY18" s="112">
        <v>1.4</v>
      </c>
    </row>
    <row r="19" spans="5:51" ht="15.75" customHeight="1" x14ac:dyDescent="0.15">
      <c r="J19" s="116" t="s">
        <v>37</v>
      </c>
      <c r="K19" s="116"/>
      <c r="L19" s="32" t="s">
        <v>65</v>
      </c>
      <c r="M19" s="27" t="s">
        <v>95</v>
      </c>
      <c r="Q19" s="31" t="s">
        <v>67</v>
      </c>
      <c r="R19" s="31" t="s">
        <v>13</v>
      </c>
      <c r="S19" s="149">
        <v>1800</v>
      </c>
      <c r="T19" s="149"/>
      <c r="U19" s="149"/>
      <c r="V19" s="27" t="s">
        <v>80</v>
      </c>
      <c r="W19" s="31" t="s">
        <v>81</v>
      </c>
      <c r="X19" s="31"/>
      <c r="Y19" s="31"/>
      <c r="Z19" s="69"/>
      <c r="AA19" s="69"/>
      <c r="AB19" s="31"/>
      <c r="AC19" s="68"/>
      <c r="AD19" s="31"/>
      <c r="AE19" s="31"/>
      <c r="AF19" s="31"/>
      <c r="AJ19" s="31"/>
      <c r="AK19" s="53"/>
      <c r="AL19" s="53"/>
      <c r="AM19" s="53"/>
    </row>
    <row r="20" spans="5:51" ht="15.75" customHeight="1" x14ac:dyDescent="0.15">
      <c r="J20" s="116" t="s">
        <v>64</v>
      </c>
      <c r="K20" s="116"/>
      <c r="L20" s="32" t="s">
        <v>65</v>
      </c>
      <c r="M20" s="27" t="s">
        <v>66</v>
      </c>
      <c r="Q20" s="31" t="s">
        <v>67</v>
      </c>
      <c r="R20" s="31" t="s">
        <v>13</v>
      </c>
      <c r="S20" s="150">
        <f>ROUND(S18*S19,0)</f>
        <v>1800000</v>
      </c>
      <c r="T20" s="150"/>
      <c r="U20" s="150"/>
      <c r="V20" s="150"/>
      <c r="W20" s="34" t="s">
        <v>68</v>
      </c>
      <c r="X20" s="31"/>
      <c r="AX20" s="125">
        <f>VLOOKUP(AB15,AX15:AY18,2)</f>
        <v>1.1499999999999999</v>
      </c>
      <c r="AY20" s="125"/>
    </row>
    <row r="22" spans="5:51" ht="15.75" customHeight="1" x14ac:dyDescent="0.15">
      <c r="E22" s="31"/>
      <c r="F22" s="32" t="s">
        <v>320</v>
      </c>
      <c r="G22" s="31" t="s">
        <v>13</v>
      </c>
      <c r="H22" s="119">
        <f>U15</f>
        <v>9582.1</v>
      </c>
      <c r="I22" s="119"/>
      <c r="J22" s="119"/>
      <c r="K22" s="119"/>
      <c r="L22" s="55" t="s">
        <v>92</v>
      </c>
      <c r="M22" s="145">
        <f>S20</f>
        <v>1800000</v>
      </c>
      <c r="N22" s="145"/>
      <c r="O22" s="145"/>
      <c r="P22" s="145"/>
      <c r="Q22" s="31" t="s">
        <v>114</v>
      </c>
      <c r="R22" s="124">
        <v>100</v>
      </c>
      <c r="S22" s="124"/>
    </row>
    <row r="23" spans="5:51" ht="15.75" customHeight="1" x14ac:dyDescent="0.15">
      <c r="G23" s="31" t="s">
        <v>13</v>
      </c>
      <c r="H23" s="134">
        <f>H22/M22*R22</f>
        <v>0.53233888888888892</v>
      </c>
      <c r="I23" s="134"/>
      <c r="J23" s="134"/>
      <c r="K23" s="27" t="s">
        <v>239</v>
      </c>
      <c r="L23" s="31" t="str">
        <f>IF(H23&gt;M23,"＞","＜")</f>
        <v>＞</v>
      </c>
      <c r="M23" s="125">
        <v>0.15</v>
      </c>
      <c r="N23" s="125"/>
      <c r="O23" s="125"/>
      <c r="P23" s="27" t="s">
        <v>239</v>
      </c>
      <c r="R23" s="124" t="s">
        <v>248</v>
      </c>
      <c r="S23" s="124"/>
      <c r="T23" s="124" t="str">
        <f>IF(H23&lt;M23,"NG","OK")</f>
        <v>OK</v>
      </c>
      <c r="U23" s="124"/>
    </row>
    <row r="25" spans="5:51" ht="15.75" customHeight="1" x14ac:dyDescent="0.15">
      <c r="F25" s="27" t="s">
        <v>319</v>
      </c>
    </row>
    <row r="53" spans="4:31" ht="15.75" customHeight="1" x14ac:dyDescent="0.15">
      <c r="D53" t="s">
        <v>559</v>
      </c>
    </row>
    <row r="55" spans="4:31" ht="15.75" customHeight="1" x14ac:dyDescent="0.15">
      <c r="E55" s="27" t="s">
        <v>57</v>
      </c>
    </row>
    <row r="56" spans="4:31" ht="15.75" customHeight="1" x14ac:dyDescent="0.15">
      <c r="E56" s="27" t="s">
        <v>58</v>
      </c>
    </row>
    <row r="58" spans="4:31" ht="15.75" customHeight="1" x14ac:dyDescent="0.15">
      <c r="F58" s="124" t="s">
        <v>59</v>
      </c>
      <c r="G58" s="124"/>
      <c r="H58" s="116" t="s">
        <v>13</v>
      </c>
      <c r="I58" s="124" t="s">
        <v>61</v>
      </c>
      <c r="J58" s="124"/>
      <c r="K58" s="124"/>
      <c r="L58" s="124"/>
      <c r="M58" s="124"/>
      <c r="N58" s="124"/>
      <c r="O58" s="124"/>
    </row>
    <row r="59" spans="4:31" ht="15.75" customHeight="1" x14ac:dyDescent="0.15">
      <c r="F59" s="124"/>
      <c r="G59" s="124"/>
      <c r="H59" s="116"/>
      <c r="L59" s="31" t="s">
        <v>62</v>
      </c>
    </row>
    <row r="61" spans="4:31" ht="15.75" customHeight="1" x14ac:dyDescent="0.15">
      <c r="G61"/>
      <c r="I61" s="33" t="s">
        <v>63</v>
      </c>
      <c r="J61" s="116" t="s">
        <v>64</v>
      </c>
      <c r="K61" s="116"/>
      <c r="L61" s="32" t="s">
        <v>65</v>
      </c>
      <c r="M61" s="27" t="s">
        <v>66</v>
      </c>
      <c r="T61" s="31" t="s">
        <v>67</v>
      </c>
      <c r="U61" s="31" t="s">
        <v>13</v>
      </c>
      <c r="V61" s="150">
        <f>S20</f>
        <v>1800000</v>
      </c>
      <c r="W61" s="150"/>
      <c r="X61" s="150"/>
      <c r="Y61" s="150"/>
      <c r="Z61" s="34" t="s">
        <v>68</v>
      </c>
      <c r="AA61" s="31"/>
    </row>
    <row r="62" spans="4:31" ht="15.75" customHeight="1" x14ac:dyDescent="0.15">
      <c r="J62" s="116" t="s">
        <v>70</v>
      </c>
      <c r="K62" s="116"/>
      <c r="L62" s="32" t="s">
        <v>65</v>
      </c>
      <c r="M62" s="27" t="s">
        <v>71</v>
      </c>
      <c r="T62" s="31" t="s">
        <v>67</v>
      </c>
      <c r="U62" s="31" t="s">
        <v>13</v>
      </c>
      <c r="V62" s="164">
        <f>ROUND(S18*S19^3/12,0)</f>
        <v>486000000000</v>
      </c>
      <c r="W62" s="164"/>
      <c r="X62" s="164"/>
      <c r="Y62" s="164"/>
      <c r="Z62" s="164"/>
      <c r="AA62" s="34" t="s">
        <v>73</v>
      </c>
      <c r="AB62" s="31"/>
    </row>
    <row r="63" spans="4:31" ht="15.75" customHeight="1" x14ac:dyDescent="0.15">
      <c r="J63" s="116" t="s">
        <v>62</v>
      </c>
      <c r="K63" s="116"/>
      <c r="L63" s="32" t="s">
        <v>65</v>
      </c>
      <c r="M63" s="27" t="s">
        <v>77</v>
      </c>
      <c r="T63" s="31" t="s">
        <v>67</v>
      </c>
      <c r="U63" s="31" t="s">
        <v>13</v>
      </c>
      <c r="V63" s="141">
        <f>S19/2</f>
        <v>900</v>
      </c>
      <c r="W63" s="141"/>
      <c r="X63" s="141"/>
      <c r="Y63" s="27" t="s">
        <v>80</v>
      </c>
      <c r="Z63" s="31" t="s">
        <v>81</v>
      </c>
    </row>
    <row r="64" spans="4:31" ht="15.75" customHeight="1" x14ac:dyDescent="0.15">
      <c r="J64" s="116" t="s">
        <v>33</v>
      </c>
      <c r="K64" s="116"/>
      <c r="L64" s="32" t="s">
        <v>65</v>
      </c>
      <c r="M64" t="s">
        <v>83</v>
      </c>
      <c r="T64" s="31" t="s">
        <v>67</v>
      </c>
      <c r="U64" s="31" t="s">
        <v>13</v>
      </c>
      <c r="V64" s="149">
        <v>7592.8</v>
      </c>
      <c r="W64" s="149"/>
      <c r="X64" s="149"/>
      <c r="Y64" s="27" t="s">
        <v>86</v>
      </c>
      <c r="Z64" s="31" t="s">
        <v>65</v>
      </c>
      <c r="AA64" s="124" t="s">
        <v>473</v>
      </c>
      <c r="AB64" s="124"/>
      <c r="AC64" s="124"/>
      <c r="AD64" s="124"/>
      <c r="AE64" s="31" t="s">
        <v>81</v>
      </c>
    </row>
    <row r="65" spans="6:42" ht="15.75" customHeight="1" x14ac:dyDescent="0.15">
      <c r="J65" s="27" t="s">
        <v>88</v>
      </c>
      <c r="U65" t="s">
        <v>556</v>
      </c>
    </row>
    <row r="66" spans="6:42" ht="15.75" customHeight="1" x14ac:dyDescent="0.15">
      <c r="F66" s="156" t="s">
        <v>63</v>
      </c>
      <c r="G66" s="156"/>
      <c r="H66" s="156"/>
      <c r="I66" s="156"/>
      <c r="J66" s="116" t="s">
        <v>89</v>
      </c>
      <c r="K66" s="116"/>
      <c r="L66" s="116" t="s">
        <v>13</v>
      </c>
      <c r="M66" s="124">
        <v>1</v>
      </c>
      <c r="N66" s="124" t="s">
        <v>90</v>
      </c>
      <c r="O66"/>
      <c r="T66" s="32">
        <v>1</v>
      </c>
      <c r="U66" s="32"/>
    </row>
    <row r="67" spans="6:42" ht="15.75" customHeight="1" x14ac:dyDescent="0.15">
      <c r="F67" s="156"/>
      <c r="G67" s="156"/>
      <c r="H67" s="156"/>
      <c r="I67" s="156"/>
      <c r="J67" s="116"/>
      <c r="K67" s="116"/>
      <c r="L67" s="116"/>
      <c r="M67" s="124"/>
      <c r="N67" s="124"/>
      <c r="O67" s="114">
        <v>0.85</v>
      </c>
      <c r="P67" s="114"/>
      <c r="Q67" s="35" t="s">
        <v>90</v>
      </c>
      <c r="R67" s="155">
        <v>4.5</v>
      </c>
      <c r="S67" s="155"/>
      <c r="T67" s="31" t="s">
        <v>67</v>
      </c>
      <c r="U67" s="31" t="s">
        <v>37</v>
      </c>
      <c r="V67" s="36" t="s">
        <v>92</v>
      </c>
      <c r="W67" s="124" t="s">
        <v>93</v>
      </c>
      <c r="X67" s="124"/>
      <c r="Y67" s="31" t="s">
        <v>81</v>
      </c>
    </row>
    <row r="68" spans="6:42" ht="15.75" customHeight="1" x14ac:dyDescent="0.15">
      <c r="J68" s="116" t="s">
        <v>37</v>
      </c>
      <c r="K68" s="116"/>
      <c r="L68" s="32" t="s">
        <v>65</v>
      </c>
      <c r="M68" s="27" t="s">
        <v>95</v>
      </c>
      <c r="T68" s="31" t="s">
        <v>67</v>
      </c>
      <c r="U68" s="31" t="s">
        <v>13</v>
      </c>
      <c r="V68" s="141">
        <f>S19</f>
        <v>1800</v>
      </c>
      <c r="W68" s="141"/>
      <c r="X68" s="141"/>
      <c r="Y68" s="27" t="s">
        <v>80</v>
      </c>
      <c r="Z68" s="31" t="s">
        <v>81</v>
      </c>
    </row>
    <row r="69" spans="6:42" ht="15.75" customHeight="1" x14ac:dyDescent="0.15">
      <c r="J69" s="124" t="s">
        <v>93</v>
      </c>
      <c r="K69" s="124"/>
      <c r="L69" s="32" t="s">
        <v>65</v>
      </c>
      <c r="M69" s="27" t="s">
        <v>99</v>
      </c>
      <c r="T69" s="31" t="s">
        <v>67</v>
      </c>
      <c r="U69" s="31" t="s">
        <v>13</v>
      </c>
      <c r="V69" s="34" t="s">
        <v>100</v>
      </c>
      <c r="AB69" s="31" t="s">
        <v>81</v>
      </c>
    </row>
    <row r="70" spans="6:42" ht="15.75" customHeight="1" x14ac:dyDescent="0.15">
      <c r="I70" s="33" t="s">
        <v>63</v>
      </c>
      <c r="J70" s="124" t="s">
        <v>102</v>
      </c>
      <c r="K70" s="124"/>
      <c r="L70" s="32" t="s">
        <v>65</v>
      </c>
      <c r="M70" s="27" t="s">
        <v>103</v>
      </c>
      <c r="AJ70" s="31">
        <f>MATCH(AE73,BB1:BB8,1)</f>
        <v>3</v>
      </c>
      <c r="AK70" s="27">
        <f>VLOOKUP(AJ70,BA1:BC8,2,FALSE)</f>
        <v>30</v>
      </c>
      <c r="AL70" s="31">
        <f>VLOOKUP(AJ70,BA1:BC8,3,FALSE)</f>
        <v>28</v>
      </c>
      <c r="AM70" s="31"/>
      <c r="AN70" s="31"/>
      <c r="AO70" s="31"/>
      <c r="AP70" s="31"/>
    </row>
    <row r="71" spans="6:42" ht="15.75" customHeight="1" x14ac:dyDescent="0.15">
      <c r="M71" s="124" t="s">
        <v>102</v>
      </c>
      <c r="N71" s="124"/>
      <c r="O71" s="31" t="s">
        <v>13</v>
      </c>
      <c r="P71" s="34" t="s">
        <v>104</v>
      </c>
      <c r="X71" t="s">
        <v>557</v>
      </c>
      <c r="AJ71" s="31">
        <f>AJ70+1</f>
        <v>4</v>
      </c>
      <c r="AK71" s="27">
        <f>VLOOKUP(AJ71,BA1:BC8,2,FALSE)</f>
        <v>40</v>
      </c>
      <c r="AL71" s="27">
        <f>VLOOKUP(AJ71,BA1:BC8,3,FALSE)</f>
        <v>31</v>
      </c>
    </row>
    <row r="72" spans="6:42" ht="15.75" customHeight="1" x14ac:dyDescent="0.15">
      <c r="J72" s="124" t="s">
        <v>105</v>
      </c>
      <c r="K72" s="124"/>
      <c r="L72" s="32" t="s">
        <v>65</v>
      </c>
      <c r="M72" s="27" t="s">
        <v>106</v>
      </c>
      <c r="T72" s="31" t="s">
        <v>67</v>
      </c>
      <c r="U72" s="31" t="s">
        <v>13</v>
      </c>
      <c r="V72" s="153">
        <v>25</v>
      </c>
      <c r="W72" s="153"/>
      <c r="X72" s="27" t="s">
        <v>80</v>
      </c>
      <c r="Y72" s="31" t="s">
        <v>81</v>
      </c>
    </row>
    <row r="73" spans="6:42" ht="15.75" customHeight="1" x14ac:dyDescent="0.15">
      <c r="J73" s="116" t="s">
        <v>110</v>
      </c>
      <c r="K73" s="116"/>
      <c r="L73" s="32" t="s">
        <v>65</v>
      </c>
      <c r="M73" s="27" t="s">
        <v>112</v>
      </c>
      <c r="W73" s="31" t="s">
        <v>67</v>
      </c>
      <c r="X73" s="31" t="s">
        <v>13</v>
      </c>
      <c r="Y73" s="140">
        <v>24</v>
      </c>
      <c r="Z73" s="140"/>
      <c r="AA73" s="31" t="s">
        <v>114</v>
      </c>
      <c r="AB73" s="140">
        <v>1.3</v>
      </c>
      <c r="AC73" s="140"/>
      <c r="AD73" s="31" t="s">
        <v>13</v>
      </c>
      <c r="AE73" s="119">
        <f>Y73*AB73</f>
        <v>31.200000000000003</v>
      </c>
      <c r="AF73" s="119"/>
      <c r="AG73" s="34" t="s">
        <v>30</v>
      </c>
      <c r="AI73" s="31" t="s">
        <v>81</v>
      </c>
    </row>
    <row r="74" spans="6:42" ht="15.75" customHeight="1" x14ac:dyDescent="0.15">
      <c r="I74" s="31" t="s">
        <v>116</v>
      </c>
      <c r="J74" s="124" t="s">
        <v>102</v>
      </c>
      <c r="K74" s="124"/>
      <c r="L74" s="31" t="s">
        <v>13</v>
      </c>
      <c r="M74" s="154">
        <v>0.01</v>
      </c>
      <c r="N74" s="154"/>
      <c r="O74" s="154"/>
      <c r="P74" s="31" t="s">
        <v>114</v>
      </c>
      <c r="Q74" s="124">
        <f>V72</f>
        <v>25</v>
      </c>
      <c r="R74" s="124"/>
      <c r="S74" s="37" t="s">
        <v>119</v>
      </c>
      <c r="T74" s="31" t="s">
        <v>114</v>
      </c>
      <c r="U74" s="119">
        <f>AE73</f>
        <v>31.200000000000003</v>
      </c>
      <c r="V74" s="119"/>
      <c r="W74" s="37" t="s">
        <v>119</v>
      </c>
      <c r="X74" s="31" t="s">
        <v>13</v>
      </c>
      <c r="Y74" s="128">
        <f>M74*Q74^(1/3)*U74^(1/3)</f>
        <v>9.2051640825158862E-2</v>
      </c>
      <c r="Z74" s="128"/>
      <c r="AA74" s="128"/>
    </row>
    <row r="75" spans="6:42" ht="15.75" customHeight="1" x14ac:dyDescent="0.15">
      <c r="J75" s="124" t="s">
        <v>120</v>
      </c>
      <c r="K75" s="124"/>
      <c r="L75" s="32" t="s">
        <v>65</v>
      </c>
      <c r="M75" s="27" t="s">
        <v>122</v>
      </c>
      <c r="T75" s="31" t="s">
        <v>67</v>
      </c>
      <c r="U75" s="31" t="s">
        <v>13</v>
      </c>
      <c r="V75" s="129">
        <f>(((AL71-AL70)/(AK71-AK70))*(AE73-AK70))+AL70</f>
        <v>28.36</v>
      </c>
      <c r="W75" s="129"/>
      <c r="X75" s="38" t="s">
        <v>125</v>
      </c>
      <c r="AA75" s="31" t="s">
        <v>81</v>
      </c>
    </row>
    <row r="76" spans="6:42" ht="15.75" customHeight="1" x14ac:dyDescent="0.15">
      <c r="J76" s="31"/>
      <c r="K76" s="31"/>
      <c r="L76" s="32"/>
      <c r="T76" s="31"/>
      <c r="U76" s="31"/>
      <c r="V76" s="51"/>
      <c r="W76" s="51"/>
      <c r="X76" s="38"/>
      <c r="AA76" s="31"/>
    </row>
    <row r="77" spans="6:42" ht="15.75" customHeight="1" x14ac:dyDescent="0.15">
      <c r="F77" s="33"/>
      <c r="G77" s="33"/>
      <c r="H77" s="33"/>
      <c r="I77" s="33"/>
      <c r="J77" s="116" t="s">
        <v>127</v>
      </c>
      <c r="K77" s="116"/>
      <c r="L77" s="32" t="s">
        <v>65</v>
      </c>
      <c r="M77" s="27" t="s">
        <v>129</v>
      </c>
      <c r="T77" t="s">
        <v>558</v>
      </c>
    </row>
    <row r="78" spans="6:42" ht="15.75" customHeight="1" x14ac:dyDescent="0.15">
      <c r="F78" s="33"/>
      <c r="G78" s="33"/>
      <c r="H78" s="33"/>
      <c r="I78" s="33"/>
      <c r="J78" s="32"/>
      <c r="K78" s="31" t="s">
        <v>67</v>
      </c>
      <c r="L78" s="31" t="s">
        <v>13</v>
      </c>
      <c r="M78" s="130" t="s">
        <v>131</v>
      </c>
      <c r="N78" s="130"/>
      <c r="O78" s="130"/>
      <c r="P78" s="130"/>
      <c r="Q78" s="31" t="s">
        <v>13</v>
      </c>
      <c r="R78" s="126">
        <v>0.23</v>
      </c>
      <c r="S78" s="126"/>
      <c r="T78" s="31" t="s">
        <v>114</v>
      </c>
      <c r="U78" s="119">
        <f>AE73</f>
        <v>31.200000000000003</v>
      </c>
      <c r="V78" s="119"/>
      <c r="W78" s="37" t="s">
        <v>133</v>
      </c>
      <c r="X78" s="31" t="s">
        <v>13</v>
      </c>
      <c r="Y78" s="125">
        <f>ROUND(R78*U78^(2/3),2)</f>
        <v>2.2799999999999998</v>
      </c>
      <c r="Z78" s="125"/>
      <c r="AA78" s="34" t="s">
        <v>30</v>
      </c>
      <c r="AC78" s="31" t="s">
        <v>81</v>
      </c>
    </row>
    <row r="79" spans="6:42" ht="15.75" customHeight="1" x14ac:dyDescent="0.15">
      <c r="H79"/>
      <c r="I79" s="31" t="s">
        <v>116</v>
      </c>
      <c r="J79" s="124" t="s">
        <v>93</v>
      </c>
      <c r="K79" s="124"/>
      <c r="L79" s="31" t="s">
        <v>13</v>
      </c>
      <c r="M79" s="127">
        <v>1000</v>
      </c>
      <c r="N79" s="127"/>
      <c r="O79" s="31" t="s">
        <v>114</v>
      </c>
      <c r="P79" s="128">
        <f>Y74</f>
        <v>9.2051640825158862E-2</v>
      </c>
      <c r="Q79" s="128"/>
      <c r="R79" s="128"/>
      <c r="S79" s="31" t="s">
        <v>114</v>
      </c>
      <c r="T79" s="129">
        <f>V75</f>
        <v>28.36</v>
      </c>
      <c r="U79" s="129"/>
      <c r="V79" s="36" t="s">
        <v>92</v>
      </c>
      <c r="W79" s="125">
        <f>Y78</f>
        <v>2.2799999999999998</v>
      </c>
      <c r="X79" s="125"/>
      <c r="Y79" s="37" t="s">
        <v>138</v>
      </c>
      <c r="Z79" s="31" t="s">
        <v>13</v>
      </c>
      <c r="AA79" s="124">
        <f>ROUND(M79*P79*T79*1/(W79^2),0)</f>
        <v>502</v>
      </c>
      <c r="AB79" s="124"/>
      <c r="AC79" s="27" t="s">
        <v>139</v>
      </c>
    </row>
    <row r="80" spans="6:42" ht="15.75" customHeight="1" x14ac:dyDescent="0.15">
      <c r="I80" s="124" t="s">
        <v>116</v>
      </c>
      <c r="J80" s="116" t="s">
        <v>89</v>
      </c>
      <c r="K80" s="116"/>
      <c r="L80" s="116" t="s">
        <v>13</v>
      </c>
      <c r="M80" s="131">
        <v>1</v>
      </c>
      <c r="N80" s="124" t="s">
        <v>90</v>
      </c>
      <c r="U80" s="124">
        <v>1</v>
      </c>
      <c r="V80" s="124"/>
      <c r="AC80" s="116" t="s">
        <v>13</v>
      </c>
      <c r="AD80" s="125">
        <f>M80+(U80/(O81+R81*(V81/Z81)))</f>
        <v>1.0588738902506245</v>
      </c>
      <c r="AE80" s="125"/>
    </row>
    <row r="81" spans="6:33" ht="15.75" customHeight="1" x14ac:dyDescent="0.15">
      <c r="I81" s="124"/>
      <c r="J81" s="116"/>
      <c r="K81" s="116"/>
      <c r="L81" s="116"/>
      <c r="M81" s="131"/>
      <c r="N81" s="124"/>
      <c r="O81" s="132">
        <v>0.85</v>
      </c>
      <c r="P81" s="132"/>
      <c r="Q81" s="35" t="s">
        <v>90</v>
      </c>
      <c r="R81" s="123">
        <v>4.5</v>
      </c>
      <c r="S81" s="123"/>
      <c r="T81" s="31" t="s">
        <v>114</v>
      </c>
      <c r="U81" s="31" t="s">
        <v>67</v>
      </c>
      <c r="V81" s="119">
        <f>V68</f>
        <v>1800</v>
      </c>
      <c r="W81" s="119"/>
      <c r="X81" s="119"/>
      <c r="Y81" s="36" t="s">
        <v>92</v>
      </c>
      <c r="Z81" s="124">
        <f>AA79</f>
        <v>502</v>
      </c>
      <c r="AA81" s="124"/>
      <c r="AB81" s="31" t="s">
        <v>81</v>
      </c>
      <c r="AC81" s="116"/>
      <c r="AD81" s="125"/>
      <c r="AE81" s="125"/>
    </row>
    <row r="82" spans="6:33" ht="15.75" customHeight="1" x14ac:dyDescent="0.15">
      <c r="I82" s="31" t="s">
        <v>116</v>
      </c>
      <c r="J82" s="116" t="s">
        <v>142</v>
      </c>
      <c r="K82" s="116"/>
      <c r="L82" s="31" t="s">
        <v>13</v>
      </c>
      <c r="M82" s="122">
        <v>1</v>
      </c>
      <c r="N82" s="122"/>
    </row>
    <row r="83" spans="6:33" ht="15.75" customHeight="1" x14ac:dyDescent="0.15">
      <c r="H83" s="31" t="s">
        <v>116</v>
      </c>
      <c r="I83" s="116" t="s">
        <v>143</v>
      </c>
      <c r="J83" s="116"/>
      <c r="K83" s="31" t="s">
        <v>13</v>
      </c>
      <c r="L83" s="116" t="s">
        <v>144</v>
      </c>
      <c r="M83" s="116"/>
      <c r="N83" s="31" t="s">
        <v>13</v>
      </c>
      <c r="O83" s="125">
        <f>AD80</f>
        <v>1.0588738902506245</v>
      </c>
      <c r="P83" s="125"/>
      <c r="Q83" s="31" t="s">
        <v>114</v>
      </c>
      <c r="R83" s="125">
        <f>M82</f>
        <v>1</v>
      </c>
      <c r="S83" s="125"/>
      <c r="T83" s="31" t="s">
        <v>114</v>
      </c>
      <c r="U83" s="125">
        <f>Y78</f>
        <v>2.2799999999999998</v>
      </c>
      <c r="V83" s="125"/>
      <c r="W83" s="31" t="s">
        <v>13</v>
      </c>
      <c r="X83" s="125">
        <f>O83*R83*U83</f>
        <v>2.4142324697714237</v>
      </c>
      <c r="Y83" s="125"/>
      <c r="Z83" s="34" t="s">
        <v>30</v>
      </c>
    </row>
    <row r="85" spans="6:33" ht="15.75" customHeight="1" x14ac:dyDescent="0.15">
      <c r="I85" s="39" t="s">
        <v>145</v>
      </c>
      <c r="J85" s="124" t="s">
        <v>59</v>
      </c>
      <c r="K85" s="124"/>
      <c r="L85" s="116" t="s">
        <v>13</v>
      </c>
      <c r="M85" s="84" t="s">
        <v>67</v>
      </c>
      <c r="N85" s="133">
        <f>X83</f>
        <v>2.4142324697714237</v>
      </c>
      <c r="O85" s="133"/>
      <c r="P85" s="84" t="s">
        <v>90</v>
      </c>
      <c r="Q85" s="117">
        <f>V64</f>
        <v>7592.8</v>
      </c>
      <c r="R85" s="117"/>
      <c r="S85" s="117"/>
      <c r="T85" s="88" t="s">
        <v>114</v>
      </c>
      <c r="U85" s="92" t="s">
        <v>147</v>
      </c>
      <c r="V85" s="88"/>
      <c r="W85" s="118">
        <f>V61</f>
        <v>1800000</v>
      </c>
      <c r="X85" s="118"/>
      <c r="Y85" s="118"/>
      <c r="Z85" s="118"/>
      <c r="AA85" s="84" t="s">
        <v>81</v>
      </c>
      <c r="AB85" s="84" t="s">
        <v>114</v>
      </c>
      <c r="AC85" s="165">
        <f>V62</f>
        <v>486000000000</v>
      </c>
      <c r="AD85" s="165"/>
      <c r="AE85" s="165"/>
      <c r="AF85" s="165"/>
      <c r="AG85" s="165"/>
    </row>
    <row r="86" spans="6:33" ht="15.75" customHeight="1" x14ac:dyDescent="0.15">
      <c r="J86" s="124"/>
      <c r="K86" s="124"/>
      <c r="L86" s="116"/>
      <c r="U86" s="119">
        <f>V63</f>
        <v>900</v>
      </c>
      <c r="V86" s="119"/>
      <c r="W86" s="119"/>
      <c r="X86" s="119"/>
    </row>
    <row r="87" spans="6:33" ht="15.75" customHeight="1" x14ac:dyDescent="0.15">
      <c r="L87" s="31" t="s">
        <v>13</v>
      </c>
      <c r="M87" s="120">
        <f>((N85+Q85*10^3/W85)*AC85)/U86</f>
        <v>3581525533.6765685</v>
      </c>
      <c r="N87" s="120"/>
      <c r="O87" s="120"/>
      <c r="P87" s="120"/>
      <c r="Q87" s="41" t="s">
        <v>148</v>
      </c>
      <c r="S87" s="31" t="s">
        <v>13</v>
      </c>
      <c r="T87" s="119">
        <f>ROUND(M87/10^6,1)</f>
        <v>3581.5</v>
      </c>
      <c r="U87" s="119"/>
      <c r="V87" s="119"/>
      <c r="W87" s="119"/>
      <c r="X87" s="41" t="s">
        <v>149</v>
      </c>
    </row>
    <row r="89" spans="6:33" ht="15.75" customHeight="1" x14ac:dyDescent="0.15">
      <c r="F89" s="27" t="s">
        <v>150</v>
      </c>
    </row>
    <row r="91" spans="6:33" ht="15.75" customHeight="1" x14ac:dyDescent="0.15">
      <c r="J91" s="116" t="s">
        <v>110</v>
      </c>
      <c r="K91" s="116"/>
      <c r="L91" s="31" t="s">
        <v>13</v>
      </c>
      <c r="M91" s="119">
        <f>AE73</f>
        <v>31.200000000000003</v>
      </c>
      <c r="N91" s="119"/>
      <c r="O91" s="34" t="s">
        <v>30</v>
      </c>
      <c r="Q91" s="27" t="s">
        <v>152</v>
      </c>
      <c r="R91" s="121" t="s">
        <v>153</v>
      </c>
      <c r="S91" s="116"/>
      <c r="T91" s="31" t="s">
        <v>13</v>
      </c>
      <c r="U91" s="122">
        <v>1.1000000000000001</v>
      </c>
      <c r="V91" s="122"/>
    </row>
    <row r="92" spans="6:33" ht="15.75" customHeight="1" x14ac:dyDescent="0.15">
      <c r="J92" s="116" t="s">
        <v>154</v>
      </c>
      <c r="K92" s="116"/>
      <c r="L92" s="31" t="s">
        <v>13</v>
      </c>
      <c r="M92" s="119">
        <f>'Myd（基礎最小）'!J36</f>
        <v>4560.2</v>
      </c>
      <c r="N92" s="119"/>
      <c r="O92" s="119"/>
      <c r="P92" s="119"/>
      <c r="Q92" s="41" t="s">
        <v>149</v>
      </c>
      <c r="S92" s="31" t="str">
        <f>IF(M92&gt;W92,"＞","＜")</f>
        <v>＞</v>
      </c>
      <c r="T92" s="116" t="s">
        <v>59</v>
      </c>
      <c r="U92" s="116"/>
      <c r="V92" s="31" t="s">
        <v>13</v>
      </c>
      <c r="W92" s="119">
        <f>T87</f>
        <v>3581.5</v>
      </c>
      <c r="X92" s="119"/>
      <c r="Y92" s="119"/>
      <c r="Z92" s="119"/>
      <c r="AA92" s="41" t="s">
        <v>149</v>
      </c>
      <c r="AD92" s="124" t="s">
        <v>248</v>
      </c>
      <c r="AE92" s="124"/>
      <c r="AF92" s="124" t="str">
        <f>IF(M92&lt;W92,"NG","OK")</f>
        <v>OK</v>
      </c>
      <c r="AG92" s="124"/>
    </row>
    <row r="94" spans="6:33" ht="15.75" customHeight="1" x14ac:dyDescent="0.15">
      <c r="F94" s="27" t="s">
        <v>155</v>
      </c>
    </row>
    <row r="103" spans="4:29" ht="15.75" customHeight="1" x14ac:dyDescent="0.15">
      <c r="D103" s="27" t="s">
        <v>321</v>
      </c>
      <c r="T103" t="s">
        <v>560</v>
      </c>
    </row>
    <row r="105" spans="4:29" ht="15.75" customHeight="1" x14ac:dyDescent="0.15">
      <c r="E105" s="27" t="s">
        <v>322</v>
      </c>
    </row>
    <row r="106" spans="4:29" ht="15.75" customHeight="1" x14ac:dyDescent="0.15">
      <c r="E106" s="27" t="s">
        <v>323</v>
      </c>
    </row>
    <row r="108" spans="4:29" ht="15.75" customHeight="1" x14ac:dyDescent="0.15">
      <c r="F108" s="124" t="s">
        <v>342</v>
      </c>
      <c r="G108" s="116" t="s">
        <v>13</v>
      </c>
      <c r="H108" s="121" t="s">
        <v>331</v>
      </c>
      <c r="I108" s="124"/>
      <c r="J108" s="124"/>
      <c r="K108" s="124"/>
      <c r="L108" s="124"/>
      <c r="M108" s="124"/>
      <c r="N108" s="124"/>
      <c r="O108" s="124"/>
    </row>
    <row r="109" spans="4:29" ht="15.75" customHeight="1" x14ac:dyDescent="0.15">
      <c r="F109" s="124"/>
      <c r="G109" s="116"/>
      <c r="H109" s="124" t="s">
        <v>324</v>
      </c>
      <c r="I109" s="124"/>
      <c r="J109" s="124"/>
      <c r="K109" s="124"/>
      <c r="L109" s="124"/>
      <c r="M109" s="124"/>
      <c r="N109" s="124"/>
      <c r="O109" s="124"/>
    </row>
    <row r="111" spans="4:29" ht="15.75" customHeight="1" x14ac:dyDescent="0.15">
      <c r="G111"/>
      <c r="I111" s="33" t="s">
        <v>63</v>
      </c>
      <c r="J111" s="116" t="s">
        <v>325</v>
      </c>
      <c r="K111" s="116"/>
      <c r="L111" s="32" t="s">
        <v>65</v>
      </c>
      <c r="M111" s="27" t="s">
        <v>202</v>
      </c>
    </row>
    <row r="112" spans="4:29" ht="15.75" customHeight="1" x14ac:dyDescent="0.15">
      <c r="K112" s="31" t="s">
        <v>67</v>
      </c>
      <c r="L112" s="31" t="s">
        <v>13</v>
      </c>
      <c r="M112" s="116" t="s">
        <v>110</v>
      </c>
      <c r="N112" s="116"/>
      <c r="O112" s="36" t="s">
        <v>92</v>
      </c>
      <c r="P112" s="138" t="s">
        <v>204</v>
      </c>
      <c r="Q112" s="139"/>
      <c r="R112" s="31" t="s">
        <v>13</v>
      </c>
      <c r="S112" s="119">
        <f>Y73</f>
        <v>24</v>
      </c>
      <c r="T112" s="119"/>
      <c r="U112" s="36" t="s">
        <v>92</v>
      </c>
      <c r="V112" s="140">
        <v>1.3</v>
      </c>
      <c r="W112" s="140"/>
      <c r="X112" s="31" t="s">
        <v>13</v>
      </c>
      <c r="Y112" s="119">
        <f>S112/V112</f>
        <v>18.46153846153846</v>
      </c>
      <c r="Z112" s="119"/>
      <c r="AA112" s="34" t="s">
        <v>30</v>
      </c>
      <c r="AC112" s="31" t="s">
        <v>81</v>
      </c>
    </row>
    <row r="113" spans="6:35" ht="15.75" customHeight="1" x14ac:dyDescent="0.15">
      <c r="J113" s="124" t="s">
        <v>332</v>
      </c>
      <c r="K113" s="124"/>
      <c r="L113" s="32" t="s">
        <v>65</v>
      </c>
      <c r="M113" s="47" t="s">
        <v>333</v>
      </c>
      <c r="V113" s="31" t="s">
        <v>67</v>
      </c>
      <c r="W113" s="31" t="s">
        <v>13</v>
      </c>
      <c r="X113" s="148">
        <f>AB15</f>
        <v>390</v>
      </c>
      <c r="Y113" s="148"/>
      <c r="Z113" s="34" t="s">
        <v>30</v>
      </c>
      <c r="AB113" s="31" t="s">
        <v>81</v>
      </c>
    </row>
    <row r="114" spans="6:35" ht="15.75" customHeight="1" x14ac:dyDescent="0.15">
      <c r="G114" s="27" t="s">
        <v>335</v>
      </c>
    </row>
    <row r="115" spans="6:35" ht="15.75" customHeight="1" x14ac:dyDescent="0.15">
      <c r="G115" s="27" t="s">
        <v>334</v>
      </c>
    </row>
    <row r="116" spans="6:35" ht="15.75" customHeight="1" x14ac:dyDescent="0.15">
      <c r="J116" s="116" t="s">
        <v>110</v>
      </c>
      <c r="K116" s="116"/>
      <c r="L116" s="32" t="s">
        <v>65</v>
      </c>
      <c r="M116" s="27" t="s">
        <v>336</v>
      </c>
    </row>
    <row r="118" spans="6:35" ht="15.75" customHeight="1" x14ac:dyDescent="0.15">
      <c r="J118" s="124" t="s">
        <v>337</v>
      </c>
      <c r="K118" s="124"/>
      <c r="L118" s="31" t="s">
        <v>13</v>
      </c>
      <c r="M118" s="31">
        <v>1</v>
      </c>
      <c r="N118" s="31" t="s">
        <v>164</v>
      </c>
      <c r="O118" s="124" t="s">
        <v>338</v>
      </c>
      <c r="P118" s="124"/>
      <c r="Q118" s="124"/>
      <c r="R118" s="124"/>
      <c r="S118" s="31" t="s">
        <v>229</v>
      </c>
      <c r="T118" s="125">
        <v>0.85</v>
      </c>
      <c r="U118" s="125"/>
    </row>
    <row r="119" spans="6:35" ht="15.75" customHeight="1" x14ac:dyDescent="0.15">
      <c r="L119" s="31" t="s">
        <v>13</v>
      </c>
      <c r="M119" s="80">
        <v>1</v>
      </c>
      <c r="N119" s="31" t="s">
        <v>164</v>
      </c>
      <c r="O119" s="157">
        <v>3.0000000000000001E-3</v>
      </c>
      <c r="P119" s="157"/>
      <c r="Q119" s="157"/>
      <c r="R119" s="31" t="s">
        <v>114</v>
      </c>
      <c r="S119" s="119">
        <f>S112</f>
        <v>24</v>
      </c>
      <c r="T119" s="119"/>
      <c r="U119" s="31" t="s">
        <v>13</v>
      </c>
      <c r="V119" s="125">
        <f>M119-O119*S119</f>
        <v>0.92799999999999994</v>
      </c>
      <c r="W119" s="125"/>
      <c r="X119" s="125"/>
      <c r="Y119" s="31" t="str">
        <f>IF(V119&gt;Z119,"＞","＜")</f>
        <v>＞</v>
      </c>
      <c r="Z119" s="125">
        <v>0.85</v>
      </c>
      <c r="AA119" s="125"/>
      <c r="AB119" s="125"/>
      <c r="AC119" s="170" t="s">
        <v>561</v>
      </c>
      <c r="AD119" s="170"/>
      <c r="AE119" s="170"/>
      <c r="AF119" s="170"/>
      <c r="AG119" s="170"/>
      <c r="AH119" s="170"/>
      <c r="AI119" s="170"/>
    </row>
    <row r="121" spans="6:35" ht="15.75" customHeight="1" x14ac:dyDescent="0.15">
      <c r="F121" s="124" t="s">
        <v>342</v>
      </c>
      <c r="G121" s="116" t="s">
        <v>13</v>
      </c>
      <c r="H121" s="122">
        <v>1</v>
      </c>
      <c r="I121" s="122"/>
      <c r="J121" s="31" t="s">
        <v>114</v>
      </c>
      <c r="K121" s="119">
        <f>V112</f>
        <v>1.3</v>
      </c>
      <c r="L121" s="119"/>
      <c r="M121" s="31" t="s">
        <v>114</v>
      </c>
      <c r="N121" s="119">
        <f>V64</f>
        <v>7592.8</v>
      </c>
      <c r="O121" s="119"/>
      <c r="P121" s="119"/>
      <c r="Q121" s="119"/>
      <c r="R121" s="27" t="s">
        <v>114</v>
      </c>
      <c r="S121" s="40" t="s">
        <v>341</v>
      </c>
      <c r="U121" s="116" t="s">
        <v>13</v>
      </c>
      <c r="V121" s="141">
        <f>(H121*K121*N121*1000)/(H122*L122+O122*S122)</f>
        <v>524690.54628720984</v>
      </c>
      <c r="W121" s="141"/>
      <c r="X121" s="141"/>
      <c r="Y121" s="141"/>
      <c r="Z121" s="146" t="s">
        <v>242</v>
      </c>
      <c r="AA121" s="146"/>
    </row>
    <row r="122" spans="6:35" ht="15.75" customHeight="1" x14ac:dyDescent="0.15">
      <c r="F122" s="124"/>
      <c r="G122" s="116"/>
      <c r="H122" s="157">
        <v>8.0000000000000002E-3</v>
      </c>
      <c r="I122" s="157"/>
      <c r="J122" s="157"/>
      <c r="K122" s="31" t="s">
        <v>114</v>
      </c>
      <c r="L122" s="145">
        <f>X113</f>
        <v>390</v>
      </c>
      <c r="M122" s="145"/>
      <c r="N122" s="31" t="s">
        <v>90</v>
      </c>
      <c r="O122" s="125">
        <f>MIN(V119,Z119)</f>
        <v>0.85</v>
      </c>
      <c r="P122" s="125"/>
      <c r="Q122" s="125"/>
      <c r="R122" s="31" t="s">
        <v>114</v>
      </c>
      <c r="S122" s="119">
        <f>Y112</f>
        <v>18.46153846153846</v>
      </c>
      <c r="T122" s="119"/>
      <c r="U122" s="116"/>
      <c r="V122" s="141"/>
      <c r="W122" s="141"/>
      <c r="X122" s="141"/>
      <c r="Y122" s="141"/>
      <c r="Z122" s="146"/>
      <c r="AA122" s="146"/>
    </row>
    <row r="124" spans="6:35" ht="15.75" customHeight="1" x14ac:dyDescent="0.15">
      <c r="F124" s="27" t="s">
        <v>343</v>
      </c>
      <c r="J124" s="157">
        <v>8.0000000000000002E-3</v>
      </c>
      <c r="K124" s="157"/>
      <c r="L124" s="157"/>
      <c r="M124" s="31" t="s">
        <v>114</v>
      </c>
      <c r="N124" s="119">
        <f>V121</f>
        <v>524690.54628720984</v>
      </c>
      <c r="O124" s="119"/>
      <c r="P124" s="119"/>
      <c r="Q124" s="119"/>
      <c r="R124" s="31" t="s">
        <v>13</v>
      </c>
      <c r="S124" s="141">
        <f>J124*N124</f>
        <v>4197.5243702976786</v>
      </c>
      <c r="T124" s="141"/>
      <c r="U124" s="141"/>
      <c r="V124" s="141"/>
      <c r="W124" s="27" t="s">
        <v>242</v>
      </c>
    </row>
    <row r="125" spans="6:35" ht="15.75" customHeight="1" x14ac:dyDescent="0.15">
      <c r="N125" s="52"/>
      <c r="O125" s="52"/>
      <c r="P125" s="52"/>
      <c r="Q125" s="52"/>
    </row>
    <row r="126" spans="6:35" ht="15.75" customHeight="1" x14ac:dyDescent="0.15">
      <c r="F126" s="27" t="s">
        <v>343</v>
      </c>
      <c r="J126" s="141">
        <f>S124</f>
        <v>4197.5243702976786</v>
      </c>
      <c r="K126" s="141"/>
      <c r="L126" s="141"/>
      <c r="M126" s="141"/>
      <c r="N126" s="27" t="s">
        <v>242</v>
      </c>
      <c r="P126" s="31" t="str">
        <f>IF(J126&gt;T126,"＞","＜")</f>
        <v>＜</v>
      </c>
      <c r="Q126" s="116" t="s">
        <v>330</v>
      </c>
      <c r="R126" s="116"/>
      <c r="S126" s="31" t="s">
        <v>13</v>
      </c>
      <c r="T126" s="141">
        <f>U15</f>
        <v>9582.1</v>
      </c>
      <c r="U126" s="141"/>
      <c r="V126" s="141"/>
      <c r="W126" s="141"/>
      <c r="X126" s="50" t="s">
        <v>242</v>
      </c>
      <c r="Y126" s="31"/>
      <c r="Z126" s="124" t="s">
        <v>248</v>
      </c>
      <c r="AA126" s="124"/>
      <c r="AB126" s="124" t="str">
        <f>IF(J126&gt;T126,"NG","OK")</f>
        <v>OK</v>
      </c>
      <c r="AC126" s="124"/>
    </row>
    <row r="128" spans="6:35" ht="15.75" customHeight="1" x14ac:dyDescent="0.15">
      <c r="F128" s="27" t="s">
        <v>344</v>
      </c>
    </row>
    <row r="153" spans="1:33" ht="15.75" customHeight="1" x14ac:dyDescent="0.15">
      <c r="B153"/>
      <c r="C153" t="s">
        <v>562</v>
      </c>
      <c r="D153"/>
      <c r="E153"/>
      <c r="F153"/>
      <c r="G153"/>
      <c r="H153"/>
      <c r="I153"/>
      <c r="J153"/>
      <c r="K153"/>
      <c r="L153"/>
      <c r="M153"/>
      <c r="N153"/>
      <c r="O153"/>
      <c r="P153"/>
      <c r="Q153"/>
    </row>
    <row r="154" spans="1:33" ht="15.75" customHeight="1" x14ac:dyDescent="0.15">
      <c r="A154"/>
      <c r="B154"/>
      <c r="C154"/>
      <c r="D154"/>
      <c r="E154"/>
      <c r="F154"/>
      <c r="G154"/>
      <c r="H154"/>
      <c r="I154"/>
      <c r="J154"/>
      <c r="K154"/>
      <c r="L154"/>
      <c r="M154"/>
      <c r="N154"/>
      <c r="O154"/>
      <c r="P154"/>
      <c r="Q154"/>
    </row>
    <row r="155" spans="1:33" ht="15.75" customHeight="1" x14ac:dyDescent="0.15">
      <c r="A155"/>
      <c r="C155"/>
      <c r="D155" t="s">
        <v>156</v>
      </c>
      <c r="E155"/>
      <c r="F155"/>
      <c r="G155"/>
      <c r="H155"/>
      <c r="I155"/>
      <c r="J155"/>
      <c r="K155"/>
      <c r="L155"/>
      <c r="M155"/>
      <c r="N155"/>
      <c r="O155"/>
      <c r="P155"/>
      <c r="Q155"/>
    </row>
    <row r="156" spans="1:33" ht="15.75" customHeight="1" x14ac:dyDescent="0.15">
      <c r="A156"/>
      <c r="C156"/>
      <c r="D156"/>
      <c r="E156"/>
      <c r="F156"/>
      <c r="G156"/>
      <c r="H156"/>
      <c r="I156"/>
      <c r="J156"/>
      <c r="K156"/>
      <c r="L156"/>
      <c r="M156"/>
      <c r="N156"/>
      <c r="O156"/>
      <c r="P156"/>
      <c r="Q156"/>
      <c r="AG156" s="29"/>
    </row>
    <row r="157" spans="1:33" ht="15.75" customHeight="1" x14ac:dyDescent="0.15">
      <c r="A157"/>
      <c r="B157"/>
      <c r="D157" t="s">
        <v>563</v>
      </c>
      <c r="E157"/>
      <c r="F157"/>
      <c r="G157"/>
      <c r="H157"/>
      <c r="I157"/>
      <c r="J157"/>
      <c r="K157"/>
      <c r="L157"/>
      <c r="M157"/>
      <c r="N157"/>
      <c r="O157"/>
      <c r="P157"/>
      <c r="Q157"/>
      <c r="S157" s="28"/>
      <c r="T157" s="28"/>
      <c r="U157" s="28"/>
      <c r="W157" s="28"/>
      <c r="X157" s="28"/>
      <c r="Y157" s="28"/>
      <c r="AG157" s="29"/>
    </row>
    <row r="158" spans="1:33" ht="15.75" customHeight="1" x14ac:dyDescent="0.15">
      <c r="A158"/>
      <c r="B158"/>
      <c r="C158"/>
      <c r="D158"/>
      <c r="E158"/>
      <c r="F158"/>
      <c r="G158"/>
      <c r="H158"/>
      <c r="I158"/>
      <c r="J158"/>
      <c r="K158"/>
      <c r="L158"/>
      <c r="M158"/>
      <c r="N158" s="42"/>
      <c r="O158" s="43"/>
      <c r="P158" s="43"/>
      <c r="Q158" s="43"/>
      <c r="AG158" s="29"/>
    </row>
    <row r="159" spans="1:33" ht="15.75" customHeight="1" x14ac:dyDescent="0.15">
      <c r="A159"/>
      <c r="B159"/>
      <c r="C159"/>
      <c r="D159"/>
      <c r="E159" s="116" t="s">
        <v>158</v>
      </c>
      <c r="F159" s="116" t="s">
        <v>13</v>
      </c>
      <c r="G159" s="116" t="s">
        <v>160</v>
      </c>
      <c r="H159" s="121" t="s">
        <v>161</v>
      </c>
      <c r="I159" s="116" t="s">
        <v>162</v>
      </c>
      <c r="J159"/>
      <c r="K159" s="116" t="s">
        <v>163</v>
      </c>
      <c r="L159" s="116"/>
      <c r="M159" s="116"/>
      <c r="N159" s="42"/>
      <c r="O159" s="116" t="s">
        <v>164</v>
      </c>
      <c r="P159"/>
      <c r="Q159" s="116" t="s">
        <v>165</v>
      </c>
      <c r="R159" s="116"/>
      <c r="T159" s="124" t="s">
        <v>166</v>
      </c>
      <c r="U159" s="116" t="s">
        <v>167</v>
      </c>
      <c r="V159" s="116"/>
      <c r="W159" s="116" t="s">
        <v>90</v>
      </c>
      <c r="X159" s="136" t="s">
        <v>169</v>
      </c>
      <c r="Y159" s="136"/>
      <c r="Z159" s="116" t="s">
        <v>162</v>
      </c>
      <c r="AA159" s="121" t="s">
        <v>170</v>
      </c>
      <c r="AB159" s="116"/>
      <c r="AC159" s="124" t="s">
        <v>171</v>
      </c>
      <c r="AD159" s="124">
        <v>100</v>
      </c>
      <c r="AE159" s="124"/>
      <c r="AF159" s="44"/>
      <c r="AG159" s="44"/>
    </row>
    <row r="160" spans="1:33" ht="15.75" customHeight="1" x14ac:dyDescent="0.15">
      <c r="A160"/>
      <c r="B160"/>
      <c r="C160"/>
      <c r="D160"/>
      <c r="E160" s="116"/>
      <c r="F160" s="116"/>
      <c r="G160" s="116"/>
      <c r="H160" s="121"/>
      <c r="I160" s="116"/>
      <c r="J160" s="116" t="s">
        <v>163</v>
      </c>
      <c r="K160" s="116"/>
      <c r="L160" s="32" t="s">
        <v>90</v>
      </c>
      <c r="M160" s="116" t="s">
        <v>172</v>
      </c>
      <c r="N160" s="116"/>
      <c r="O160" s="116"/>
      <c r="P160" s="137" t="s">
        <v>173</v>
      </c>
      <c r="Q160" s="137"/>
      <c r="R160" s="137"/>
      <c r="S160" s="137"/>
      <c r="T160" s="124"/>
      <c r="U160" s="124" t="s">
        <v>174</v>
      </c>
      <c r="V160" s="124"/>
      <c r="W160" s="116"/>
      <c r="X160" s="124" t="s">
        <v>175</v>
      </c>
      <c r="Y160" s="124"/>
      <c r="Z160" s="116"/>
      <c r="AA160" s="124" t="s">
        <v>174</v>
      </c>
      <c r="AB160" s="124"/>
      <c r="AC160" s="124"/>
      <c r="AD160" s="124"/>
      <c r="AE160" s="124"/>
      <c r="AG160" s="29"/>
    </row>
    <row r="161" spans="1:40" ht="15.75" customHeight="1" x14ac:dyDescent="0.15">
      <c r="A161"/>
      <c r="B161"/>
      <c r="C161"/>
      <c r="D161"/>
      <c r="E161"/>
      <c r="F161"/>
      <c r="G161"/>
      <c r="H161"/>
      <c r="I161"/>
      <c r="J161"/>
      <c r="K161"/>
      <c r="L161"/>
      <c r="M161"/>
      <c r="N161"/>
      <c r="O161"/>
      <c r="P161"/>
      <c r="Q161"/>
      <c r="AG161" s="29"/>
    </row>
    <row r="162" spans="1:40" ht="15.75" customHeight="1" x14ac:dyDescent="0.15">
      <c r="A162"/>
      <c r="B162"/>
      <c r="C162"/>
      <c r="D162" s="45"/>
      <c r="F162"/>
      <c r="H162" s="33" t="s">
        <v>63</v>
      </c>
      <c r="I162" s="121" t="s">
        <v>161</v>
      </c>
      <c r="J162" s="121"/>
      <c r="K162" s="32" t="s">
        <v>65</v>
      </c>
      <c r="L162" s="114">
        <v>0.88</v>
      </c>
      <c r="M162" s="114"/>
      <c r="N162" s="32" t="s">
        <v>164</v>
      </c>
      <c r="O162" s="115">
        <v>4.0000000000000001E-3</v>
      </c>
      <c r="P162" s="115"/>
      <c r="Q162" s="115"/>
      <c r="R162" s="27" t="s">
        <v>178</v>
      </c>
      <c r="T162" s="27" t="s">
        <v>179</v>
      </c>
      <c r="AF162" s="29"/>
    </row>
    <row r="163" spans="1:40" ht="15.75" customHeight="1" x14ac:dyDescent="0.15">
      <c r="A163"/>
      <c r="B163"/>
      <c r="C163"/>
      <c r="D163" s="45"/>
      <c r="E163"/>
      <c r="F163"/>
      <c r="G163"/>
      <c r="H163"/>
      <c r="I163"/>
      <c r="J163"/>
      <c r="K163" s="32" t="s">
        <v>13</v>
      </c>
      <c r="L163" s="114">
        <v>0.88</v>
      </c>
      <c r="M163" s="114"/>
      <c r="N163" s="32" t="s">
        <v>164</v>
      </c>
      <c r="O163" s="115">
        <v>4.0000000000000001E-3</v>
      </c>
      <c r="P163" s="115"/>
      <c r="Q163" s="115"/>
      <c r="R163" s="46" t="s">
        <v>114</v>
      </c>
      <c r="S163" s="119">
        <f>R172</f>
        <v>24</v>
      </c>
      <c r="T163" s="119"/>
      <c r="U163" s="31" t="s">
        <v>13</v>
      </c>
      <c r="V163" s="134">
        <f>L163-(O163*S163)</f>
        <v>0.78400000000000003</v>
      </c>
      <c r="W163" s="134"/>
      <c r="X163" s="134"/>
      <c r="Y163" s="27" t="str">
        <f>IF(V163&lt;Z163,"＜","＞")</f>
        <v>＞</v>
      </c>
      <c r="Z163" s="125">
        <v>0.68</v>
      </c>
      <c r="AA163" s="125"/>
      <c r="AF163" s="29"/>
    </row>
    <row r="164" spans="1:40" ht="15.75" customHeight="1" x14ac:dyDescent="0.15">
      <c r="A164"/>
      <c r="B164"/>
      <c r="C164"/>
      <c r="D164" s="45"/>
      <c r="E164"/>
      <c r="F164"/>
      <c r="G164"/>
      <c r="H164"/>
      <c r="I164" s="116" t="s">
        <v>163</v>
      </c>
      <c r="J164" s="116"/>
      <c r="K164" s="32" t="s">
        <v>65</v>
      </c>
      <c r="L164" t="s">
        <v>181</v>
      </c>
      <c r="M164" s="42"/>
      <c r="N164" s="43"/>
      <c r="O164" s="43"/>
      <c r="P164" s="43"/>
      <c r="AF164" s="29"/>
    </row>
    <row r="165" spans="1:40" ht="15.75" customHeight="1" x14ac:dyDescent="0.15">
      <c r="A165"/>
      <c r="B165"/>
      <c r="C165"/>
      <c r="D165" s="45"/>
      <c r="E165"/>
      <c r="F165"/>
      <c r="G165"/>
      <c r="H165"/>
      <c r="I165"/>
      <c r="J165"/>
      <c r="K165" s="116" t="s">
        <v>13</v>
      </c>
      <c r="L165" s="116">
        <v>155</v>
      </c>
      <c r="M165" s="116"/>
      <c r="N165" s="35" t="s">
        <v>164</v>
      </c>
      <c r="O165" s="116" t="s">
        <v>110</v>
      </c>
      <c r="P165" s="116"/>
      <c r="Q165" s="116" t="s">
        <v>13</v>
      </c>
      <c r="R165" s="116">
        <v>155</v>
      </c>
      <c r="S165" s="116"/>
      <c r="T165" s="35" t="s">
        <v>164</v>
      </c>
      <c r="U165" s="119">
        <f>S163</f>
        <v>24</v>
      </c>
      <c r="V165" s="119"/>
      <c r="W165" s="116" t="s">
        <v>13</v>
      </c>
      <c r="X165" s="128">
        <f>(R165-U165)/S166</f>
        <v>4.3666666666666663E-3</v>
      </c>
      <c r="Y165" s="128"/>
      <c r="Z165" s="128"/>
      <c r="AA165" s="124" t="str">
        <f>IF(X165&lt;AB165,"＜","＞")</f>
        <v>＞</v>
      </c>
      <c r="AB165" s="128">
        <v>3.5000000000000001E-3</v>
      </c>
      <c r="AC165" s="128"/>
      <c r="AD165" s="128"/>
      <c r="AF165" s="29"/>
    </row>
    <row r="166" spans="1:40" ht="15.75" customHeight="1" x14ac:dyDescent="0.15">
      <c r="A166"/>
      <c r="B166"/>
      <c r="C166"/>
      <c r="D166" s="45"/>
      <c r="E166"/>
      <c r="F166"/>
      <c r="G166"/>
      <c r="H166"/>
      <c r="I166"/>
      <c r="J166"/>
      <c r="K166" s="116"/>
      <c r="L166"/>
      <c r="M166" s="135">
        <v>30000</v>
      </c>
      <c r="N166" s="135"/>
      <c r="O166" s="135"/>
      <c r="P166" s="43"/>
      <c r="Q166" s="116"/>
      <c r="R166"/>
      <c r="S166" s="135">
        <v>30000</v>
      </c>
      <c r="T166" s="135"/>
      <c r="U166" s="135"/>
      <c r="V166" s="43"/>
      <c r="W166" s="116"/>
      <c r="X166" s="128"/>
      <c r="Y166" s="128"/>
      <c r="Z166" s="128"/>
      <c r="AA166" s="124"/>
      <c r="AB166" s="128"/>
      <c r="AC166" s="128"/>
      <c r="AD166" s="128"/>
      <c r="AF166" s="29"/>
    </row>
    <row r="167" spans="1:40" ht="15.75" customHeight="1" x14ac:dyDescent="0.15">
      <c r="A167"/>
      <c r="B167"/>
      <c r="C167"/>
      <c r="D167" s="45"/>
      <c r="E167"/>
      <c r="F167"/>
      <c r="G167"/>
      <c r="H167"/>
      <c r="I167" s="116" t="s">
        <v>172</v>
      </c>
      <c r="J167" s="116"/>
      <c r="K167" s="32" t="s">
        <v>65</v>
      </c>
      <c r="L167" t="s">
        <v>185</v>
      </c>
      <c r="M167" s="42"/>
      <c r="N167" s="43"/>
      <c r="O167" s="43"/>
      <c r="P167" s="43"/>
      <c r="U167" s="31" t="s">
        <v>67</v>
      </c>
      <c r="V167" s="124" t="s">
        <v>174</v>
      </c>
      <c r="W167" s="124"/>
      <c r="X167" s="36" t="s">
        <v>92</v>
      </c>
      <c r="Y167" s="124" t="s">
        <v>189</v>
      </c>
      <c r="Z167" s="124"/>
      <c r="AA167" s="31" t="s">
        <v>13</v>
      </c>
      <c r="AB167" s="147">
        <f>W173/(W174*10^3)</f>
        <v>1.9499999999999999E-3</v>
      </c>
      <c r="AC167" s="147"/>
      <c r="AD167" s="147"/>
      <c r="AE167" s="31" t="s">
        <v>81</v>
      </c>
      <c r="AG167" s="29"/>
    </row>
    <row r="168" spans="1:40" ht="15.75" customHeight="1" x14ac:dyDescent="0.15">
      <c r="A168"/>
      <c r="B168"/>
      <c r="C168"/>
      <c r="D168" s="45"/>
      <c r="E168"/>
      <c r="F168"/>
      <c r="G168"/>
      <c r="H168"/>
      <c r="I168" s="116" t="s">
        <v>165</v>
      </c>
      <c r="J168" s="116"/>
      <c r="K168" s="32" t="s">
        <v>65</v>
      </c>
      <c r="L168" t="s">
        <v>83</v>
      </c>
      <c r="M168" s="42"/>
      <c r="N168" s="43"/>
      <c r="O168" s="43"/>
      <c r="P168" s="43"/>
      <c r="U168" s="31" t="s">
        <v>67</v>
      </c>
      <c r="V168" s="31" t="s">
        <v>13</v>
      </c>
      <c r="W168" s="141">
        <f>V64</f>
        <v>7592.8</v>
      </c>
      <c r="X168" s="141"/>
      <c r="Y168" s="141"/>
      <c r="Z168" s="27" t="s">
        <v>86</v>
      </c>
      <c r="AA168" s="31" t="s">
        <v>81</v>
      </c>
      <c r="AG168" s="29"/>
    </row>
    <row r="169" spans="1:40" ht="15.75" customHeight="1" x14ac:dyDescent="0.15">
      <c r="A169"/>
      <c r="B169"/>
      <c r="C169"/>
      <c r="D169" s="45"/>
      <c r="E169"/>
      <c r="F169"/>
      <c r="G169"/>
      <c r="H169"/>
      <c r="I169" s="116" t="s">
        <v>35</v>
      </c>
      <c r="J169" s="116"/>
      <c r="K169" s="32" t="s">
        <v>65</v>
      </c>
      <c r="L169" t="s">
        <v>196</v>
      </c>
      <c r="M169" s="42"/>
      <c r="N169" s="43"/>
      <c r="O169" s="43"/>
      <c r="P169" s="43"/>
      <c r="U169" s="31" t="s">
        <v>67</v>
      </c>
      <c r="V169" s="31" t="s">
        <v>13</v>
      </c>
      <c r="W169" s="141">
        <f>S18</f>
        <v>1000</v>
      </c>
      <c r="X169" s="141"/>
      <c r="Y169" s="141"/>
      <c r="Z169" s="27" t="s">
        <v>80</v>
      </c>
      <c r="AA169" s="31" t="s">
        <v>81</v>
      </c>
      <c r="AG169" s="29"/>
    </row>
    <row r="170" spans="1:40" ht="15.75" customHeight="1" x14ac:dyDescent="0.15">
      <c r="D170" s="29"/>
      <c r="I170" s="116" t="s">
        <v>39</v>
      </c>
      <c r="J170" s="116"/>
      <c r="K170" s="32" t="s">
        <v>65</v>
      </c>
      <c r="L170" t="s">
        <v>198</v>
      </c>
      <c r="M170" s="42"/>
      <c r="N170" s="43"/>
      <c r="O170" s="43"/>
      <c r="P170" s="43"/>
      <c r="U170" s="31" t="s">
        <v>67</v>
      </c>
      <c r="V170" s="31" t="s">
        <v>13</v>
      </c>
      <c r="W170" s="141">
        <f>'Myd（躯体最小）上端'!J16</f>
        <v>1700</v>
      </c>
      <c r="X170" s="141"/>
      <c r="Y170" s="141"/>
      <c r="Z170" s="27" t="s">
        <v>80</v>
      </c>
      <c r="AA170" s="31" t="s">
        <v>81</v>
      </c>
      <c r="AG170" s="29"/>
    </row>
    <row r="171" spans="1:40" ht="15.75" customHeight="1" x14ac:dyDescent="0.15">
      <c r="D171" s="29"/>
      <c r="I171" s="116" t="s">
        <v>167</v>
      </c>
      <c r="J171" s="116"/>
      <c r="K171" s="32" t="s">
        <v>65</v>
      </c>
      <c r="L171" s="27" t="s">
        <v>202</v>
      </c>
      <c r="M171" s="47"/>
      <c r="AF171" s="29"/>
    </row>
    <row r="172" spans="1:40" ht="15.75" customHeight="1" x14ac:dyDescent="0.15">
      <c r="D172" s="29"/>
      <c r="J172" s="31" t="s">
        <v>67</v>
      </c>
      <c r="K172" s="31" t="s">
        <v>13</v>
      </c>
      <c r="L172" s="116" t="s">
        <v>110</v>
      </c>
      <c r="M172" s="116"/>
      <c r="N172" s="36" t="s">
        <v>92</v>
      </c>
      <c r="O172" s="138" t="s">
        <v>204</v>
      </c>
      <c r="P172" s="139"/>
      <c r="Q172" s="31" t="s">
        <v>13</v>
      </c>
      <c r="R172" s="119">
        <f>Y73</f>
        <v>24</v>
      </c>
      <c r="S172" s="119"/>
      <c r="T172" s="36" t="s">
        <v>92</v>
      </c>
      <c r="U172" s="140">
        <v>1.3</v>
      </c>
      <c r="V172" s="140"/>
      <c r="W172" s="31" t="s">
        <v>13</v>
      </c>
      <c r="X172" s="119">
        <f>R172/U172</f>
        <v>18.46153846153846</v>
      </c>
      <c r="Y172" s="119"/>
      <c r="Z172" s="34" t="s">
        <v>30</v>
      </c>
      <c r="AB172" s="31" t="s">
        <v>81</v>
      </c>
      <c r="AD172" s="44"/>
      <c r="AE172" s="44"/>
      <c r="AF172" s="44"/>
      <c r="AJ172" s="124"/>
      <c r="AK172" s="124"/>
      <c r="AL172" s="124"/>
    </row>
    <row r="173" spans="1:40" ht="15.75" customHeight="1" x14ac:dyDescent="0.15">
      <c r="D173" s="29"/>
      <c r="I173" s="124" t="s">
        <v>174</v>
      </c>
      <c r="J173" s="124"/>
      <c r="K173" s="32" t="s">
        <v>65</v>
      </c>
      <c r="L173" s="47" t="s">
        <v>207</v>
      </c>
      <c r="U173" s="31" t="s">
        <v>67</v>
      </c>
      <c r="V173" s="31" t="s">
        <v>13</v>
      </c>
      <c r="W173" s="148">
        <f>AB15</f>
        <v>390</v>
      </c>
      <c r="X173" s="148"/>
      <c r="Y173" s="34" t="s">
        <v>30</v>
      </c>
      <c r="AA173" s="31" t="s">
        <v>81</v>
      </c>
      <c r="AF173" s="29"/>
    </row>
    <row r="174" spans="1:40" ht="15.75" customHeight="1" x14ac:dyDescent="0.15">
      <c r="I174" s="124" t="s">
        <v>189</v>
      </c>
      <c r="J174" s="124"/>
      <c r="K174" s="32" t="s">
        <v>65</v>
      </c>
      <c r="L174" s="27" t="s">
        <v>213</v>
      </c>
      <c r="U174" s="31" t="s">
        <v>67</v>
      </c>
      <c r="V174" s="31" t="s">
        <v>13</v>
      </c>
      <c r="W174" s="142">
        <v>200</v>
      </c>
      <c r="X174" s="142"/>
      <c r="Y174" s="38" t="s">
        <v>125</v>
      </c>
      <c r="AB174" s="31" t="s">
        <v>81</v>
      </c>
    </row>
    <row r="175" spans="1:40" ht="15.75" customHeight="1" x14ac:dyDescent="0.15">
      <c r="I175" s="136" t="s">
        <v>169</v>
      </c>
      <c r="J175" s="136"/>
      <c r="K175" s="32" t="s">
        <v>65</v>
      </c>
      <c r="L175" s="27" t="s">
        <v>220</v>
      </c>
      <c r="U175" s="31" t="s">
        <v>67</v>
      </c>
      <c r="V175" s="31" t="s">
        <v>13</v>
      </c>
      <c r="W175" s="144">
        <f>Z16</f>
        <v>32</v>
      </c>
      <c r="X175" s="144"/>
      <c r="Y175" s="31" t="s">
        <v>164</v>
      </c>
      <c r="Z175" s="176">
        <f>AC16</f>
        <v>6.67</v>
      </c>
      <c r="AA175" s="176"/>
      <c r="AB175" s="27" t="s">
        <v>224</v>
      </c>
      <c r="AC175" s="31" t="s">
        <v>13</v>
      </c>
      <c r="AD175" s="141">
        <f>VLOOKUP(W175,AX1:AY11,2,FALSE)*Z175</f>
        <v>5297.3140000000003</v>
      </c>
      <c r="AE175" s="141"/>
      <c r="AF175" s="141"/>
      <c r="AG175" s="141"/>
      <c r="AH175" s="34" t="s">
        <v>68</v>
      </c>
      <c r="AI175" s="31"/>
    </row>
    <row r="176" spans="1:40" ht="15.75" customHeight="1" x14ac:dyDescent="0.15">
      <c r="I176" s="121" t="s">
        <v>170</v>
      </c>
      <c r="J176" s="116"/>
      <c r="K176" s="32" t="s">
        <v>65</v>
      </c>
      <c r="L176" s="27" t="s">
        <v>227</v>
      </c>
      <c r="M176" s="47"/>
      <c r="N176" s="28"/>
      <c r="O176" s="28"/>
      <c r="P176" s="28"/>
      <c r="R176" s="28"/>
      <c r="S176" s="28"/>
      <c r="T176" s="28"/>
      <c r="U176" s="31" t="s">
        <v>67</v>
      </c>
      <c r="V176" s="31" t="s">
        <v>13</v>
      </c>
      <c r="W176" s="129">
        <f>IF(W174*10^3*AK176&gt;=W173,W173,W174*10^3*AK176)</f>
        <v>0</v>
      </c>
      <c r="X176" s="129"/>
      <c r="Y176" s="129"/>
      <c r="Z176" s="34" t="s">
        <v>30</v>
      </c>
      <c r="AB176" s="31" t="s">
        <v>67</v>
      </c>
      <c r="AC176" s="31" t="s">
        <v>229</v>
      </c>
      <c r="AD176" s="124" t="s">
        <v>174</v>
      </c>
      <c r="AE176" s="124"/>
      <c r="AF176" s="31" t="s">
        <v>231</v>
      </c>
      <c r="AJ176" s="31" t="s">
        <v>232</v>
      </c>
      <c r="AK176" s="143">
        <v>0</v>
      </c>
      <c r="AL176" s="143"/>
      <c r="AM176" s="143"/>
      <c r="AN176" s="143"/>
    </row>
    <row r="177" spans="2:33" ht="15.75" customHeight="1" x14ac:dyDescent="0.15">
      <c r="M177" s="47"/>
    </row>
    <row r="178" spans="2:33" ht="15.75" customHeight="1" x14ac:dyDescent="0.15">
      <c r="E178" s="116" t="s">
        <v>158</v>
      </c>
      <c r="F178" s="116" t="s">
        <v>13</v>
      </c>
      <c r="G178" s="116" t="s">
        <v>160</v>
      </c>
      <c r="H178" s="134">
        <f>MIN(V163,Z163)</f>
        <v>0.68</v>
      </c>
      <c r="I178" s="134"/>
      <c r="J178" s="134"/>
      <c r="K178" s="124" t="s">
        <v>114</v>
      </c>
      <c r="N178" s="128">
        <f>MIN(X165,AB165)</f>
        <v>3.5000000000000001E-3</v>
      </c>
      <c r="O178" s="128"/>
      <c r="P178" s="128"/>
      <c r="Q178" s="28"/>
      <c r="S178" s="116" t="s">
        <v>164</v>
      </c>
      <c r="U178" s="119">
        <f>N121</f>
        <v>7592.8</v>
      </c>
      <c r="V178" s="119"/>
      <c r="W178" s="119"/>
      <c r="X178" s="119"/>
      <c r="Y178" s="27" t="s">
        <v>114</v>
      </c>
      <c r="Z178" s="40" t="s">
        <v>341</v>
      </c>
      <c r="AD178" s="136" t="s">
        <v>81</v>
      </c>
      <c r="AE178" s="124" t="s">
        <v>114</v>
      </c>
      <c r="AF178" s="119">
        <f>X172</f>
        <v>18.46153846153846</v>
      </c>
      <c r="AG178" s="119"/>
    </row>
    <row r="179" spans="2:33" ht="15.75" customHeight="1" x14ac:dyDescent="0.15">
      <c r="E179" s="116"/>
      <c r="F179" s="116"/>
      <c r="G179" s="116"/>
      <c r="H179" s="134"/>
      <c r="I179" s="134"/>
      <c r="J179" s="134"/>
      <c r="K179" s="124"/>
      <c r="L179" s="128">
        <f>N178</f>
        <v>3.5000000000000001E-3</v>
      </c>
      <c r="M179" s="128"/>
      <c r="N179" s="128"/>
      <c r="O179" s="32" t="s">
        <v>90</v>
      </c>
      <c r="P179" s="147">
        <f>AB167</f>
        <v>1.9499999999999999E-3</v>
      </c>
      <c r="Q179" s="147"/>
      <c r="R179" s="147"/>
      <c r="S179" s="116"/>
      <c r="T179" s="119">
        <f>W169</f>
        <v>1000</v>
      </c>
      <c r="U179" s="119"/>
      <c r="V179" s="119"/>
      <c r="W179" s="31" t="s">
        <v>114</v>
      </c>
      <c r="X179" s="119">
        <f>W170</f>
        <v>1700</v>
      </c>
      <c r="Y179" s="119"/>
      <c r="Z179" s="119"/>
      <c r="AA179" s="31" t="s">
        <v>114</v>
      </c>
      <c r="AB179" s="119">
        <f>X172</f>
        <v>18.46153846153846</v>
      </c>
      <c r="AC179" s="119"/>
      <c r="AD179" s="136"/>
      <c r="AE179" s="124"/>
      <c r="AF179" s="145">
        <f>W173</f>
        <v>390</v>
      </c>
      <c r="AG179" s="124"/>
    </row>
    <row r="180" spans="2:33" ht="15.75" customHeight="1" x14ac:dyDescent="0.15">
      <c r="D180" s="29"/>
      <c r="G180" s="124" t="s">
        <v>90</v>
      </c>
      <c r="I180" s="119">
        <f>AD175</f>
        <v>5297.3140000000003</v>
      </c>
      <c r="J180" s="119"/>
      <c r="K180" s="119"/>
      <c r="L180" s="119"/>
      <c r="M180" s="119"/>
      <c r="O180" s="124" t="s">
        <v>114</v>
      </c>
      <c r="P180" s="119">
        <f>W176</f>
        <v>0</v>
      </c>
      <c r="Q180" s="119"/>
      <c r="R180" s="119"/>
      <c r="S180" s="124" t="s">
        <v>238</v>
      </c>
      <c r="T180" s="124" t="s">
        <v>114</v>
      </c>
      <c r="U180" s="124">
        <v>100</v>
      </c>
      <c r="V180" s="124"/>
      <c r="W180" s="116" t="s">
        <v>13</v>
      </c>
      <c r="X180" s="173">
        <f>(((H178*(N178/(L179+P179)))-((U178*1000)/(T179*X179*AB179)))*(AF178/AF179)+(I180/(H181*L181))*(P180/P181))*U180</f>
        <v>0.92198720343682794</v>
      </c>
      <c r="Y180" s="173"/>
      <c r="Z180" s="173"/>
      <c r="AA180" s="146" t="s">
        <v>239</v>
      </c>
    </row>
    <row r="181" spans="2:33" ht="15.75" customHeight="1" x14ac:dyDescent="0.15">
      <c r="G181" s="124"/>
      <c r="H181" s="119">
        <f>T179</f>
        <v>1000</v>
      </c>
      <c r="I181" s="119"/>
      <c r="J181" s="119"/>
      <c r="K181" s="31" t="s">
        <v>114</v>
      </c>
      <c r="L181" s="119">
        <f>X179</f>
        <v>1700</v>
      </c>
      <c r="M181" s="119"/>
      <c r="N181" s="119"/>
      <c r="O181" s="124"/>
      <c r="P181" s="145">
        <f>W173</f>
        <v>390</v>
      </c>
      <c r="Q181" s="145"/>
      <c r="R181" s="145"/>
      <c r="S181" s="124"/>
      <c r="T181" s="124"/>
      <c r="U181" s="124"/>
      <c r="V181" s="124"/>
      <c r="W181" s="116"/>
      <c r="X181" s="173"/>
      <c r="Y181" s="173"/>
      <c r="Z181" s="173"/>
      <c r="AA181" s="146"/>
    </row>
    <row r="182" spans="2:33" ht="15.75" customHeight="1" x14ac:dyDescent="0.15">
      <c r="D182" s="29"/>
    </row>
    <row r="183" spans="2:33" ht="15.75" customHeight="1" x14ac:dyDescent="0.15">
      <c r="G183" s="125">
        <v>0.75</v>
      </c>
      <c r="H183" s="125"/>
      <c r="I183" s="31" t="s">
        <v>114</v>
      </c>
      <c r="J183" s="32" t="s">
        <v>158</v>
      </c>
      <c r="K183" s="31" t="s">
        <v>13</v>
      </c>
      <c r="L183" s="125">
        <v>0.75</v>
      </c>
      <c r="M183" s="125"/>
      <c r="N183" s="31" t="s">
        <v>114</v>
      </c>
      <c r="O183" s="134">
        <f>X180</f>
        <v>0.92198720343682794</v>
      </c>
      <c r="P183" s="134"/>
      <c r="Q183" s="134"/>
      <c r="R183" s="31" t="s">
        <v>13</v>
      </c>
      <c r="S183" s="134">
        <f>L183*O183</f>
        <v>0.69149040257762096</v>
      </c>
      <c r="T183" s="134"/>
      <c r="U183" s="134"/>
      <c r="V183" s="27" t="s">
        <v>239</v>
      </c>
    </row>
    <row r="184" spans="2:33" ht="15.75" customHeight="1" x14ac:dyDescent="0.15">
      <c r="D184" s="29"/>
    </row>
    <row r="185" spans="2:33" ht="15.75" customHeight="1" x14ac:dyDescent="0.15">
      <c r="E185" s="27" t="s">
        <v>240</v>
      </c>
      <c r="H185" s="27" t="s">
        <v>241</v>
      </c>
      <c r="K185" s="31" t="s">
        <v>13</v>
      </c>
      <c r="L185" s="144">
        <f>W175</f>
        <v>32</v>
      </c>
      <c r="M185" s="144"/>
      <c r="N185" s="31" t="s">
        <v>164</v>
      </c>
      <c r="O185" s="176">
        <f>Z175</f>
        <v>6.67</v>
      </c>
      <c r="P185" s="176"/>
      <c r="Q185" s="27" t="s">
        <v>224</v>
      </c>
      <c r="R185" s="31" t="s">
        <v>13</v>
      </c>
      <c r="S185" s="141">
        <f>VLOOKUP(L185,AX1:AY11,2,FALSE)*O185</f>
        <v>5297.3140000000003</v>
      </c>
      <c r="T185" s="141"/>
      <c r="U185" s="141"/>
      <c r="V185" s="141"/>
      <c r="W185" s="34" t="s">
        <v>242</v>
      </c>
    </row>
    <row r="186" spans="2:33" ht="15.75" customHeight="1" x14ac:dyDescent="0.15">
      <c r="D186" s="29"/>
      <c r="E186" s="32" t="s">
        <v>243</v>
      </c>
      <c r="F186" s="31" t="s">
        <v>13</v>
      </c>
      <c r="G186" s="124" t="s">
        <v>244</v>
      </c>
      <c r="H186" s="124"/>
      <c r="I186" s="124"/>
      <c r="J186" s="124"/>
      <c r="K186" s="31" t="s">
        <v>13</v>
      </c>
      <c r="L186" s="119">
        <f>S185</f>
        <v>5297.3140000000003</v>
      </c>
      <c r="M186" s="119"/>
      <c r="N186" s="119"/>
      <c r="O186" s="119"/>
      <c r="P186" s="36" t="s">
        <v>92</v>
      </c>
      <c r="Q186" s="31" t="s">
        <v>67</v>
      </c>
      <c r="R186" s="119">
        <f>W169</f>
        <v>1000</v>
      </c>
      <c r="S186" s="119"/>
      <c r="T186" s="119"/>
      <c r="U186" s="31" t="s">
        <v>114</v>
      </c>
      <c r="V186" s="119">
        <f>W170</f>
        <v>1700</v>
      </c>
      <c r="W186" s="119"/>
      <c r="X186" s="119"/>
      <c r="Y186" s="31" t="s">
        <v>81</v>
      </c>
      <c r="Z186" s="31" t="s">
        <v>114</v>
      </c>
      <c r="AA186" s="131">
        <v>100</v>
      </c>
      <c r="AB186" s="131"/>
    </row>
    <row r="187" spans="2:33" ht="15.75" customHeight="1" x14ac:dyDescent="0.15">
      <c r="K187" s="31" t="s">
        <v>13</v>
      </c>
      <c r="L187" s="134">
        <f>(L186/(R186*V186))*AA186</f>
        <v>0.31160670588235295</v>
      </c>
      <c r="M187" s="134"/>
      <c r="N187" s="134"/>
      <c r="O187" s="27" t="s">
        <v>239</v>
      </c>
      <c r="P187" s="31" t="str">
        <f>IF(L187&gt;Q187,"＞","＜")</f>
        <v>＜</v>
      </c>
      <c r="Q187" s="134">
        <f>S183</f>
        <v>0.69149040257762096</v>
      </c>
      <c r="R187" s="134"/>
      <c r="S187" s="134"/>
      <c r="T187" s="27" t="s">
        <v>239</v>
      </c>
      <c r="V187" s="124" t="s">
        <v>248</v>
      </c>
      <c r="W187" s="124"/>
      <c r="X187" s="124" t="str">
        <f>IF(L187&gt;Q187,"NG","OK")</f>
        <v>OK</v>
      </c>
      <c r="Y187" s="124"/>
    </row>
    <row r="188" spans="2:33" ht="15.75" customHeight="1" x14ac:dyDescent="0.15">
      <c r="D188" s="29"/>
    </row>
    <row r="189" spans="2:33" ht="15.75" customHeight="1" x14ac:dyDescent="0.15">
      <c r="E189" s="27" t="s">
        <v>249</v>
      </c>
    </row>
    <row r="191" spans="2:33" ht="15.75" customHeight="1" x14ac:dyDescent="0.15">
      <c r="B191"/>
      <c r="C191" t="s">
        <v>564</v>
      </c>
      <c r="D191"/>
      <c r="E191"/>
      <c r="F191"/>
      <c r="G191"/>
      <c r="H191"/>
      <c r="I191"/>
      <c r="J191"/>
      <c r="K191"/>
      <c r="L191"/>
      <c r="M191"/>
      <c r="N191"/>
      <c r="O191"/>
      <c r="P191"/>
      <c r="Q191"/>
    </row>
    <row r="192" spans="2:33" ht="15.75" customHeight="1" x14ac:dyDescent="0.15">
      <c r="C192" s="29"/>
      <c r="D192" s="29"/>
    </row>
    <row r="193" spans="3:20" ht="15.75" customHeight="1" x14ac:dyDescent="0.15">
      <c r="C193" s="29"/>
      <c r="D193" s="27" t="s">
        <v>345</v>
      </c>
      <c r="E193" s="29"/>
    </row>
    <row r="194" spans="3:20" ht="15.75" customHeight="1" x14ac:dyDescent="0.15">
      <c r="C194" s="29"/>
      <c r="D194" s="27" t="s">
        <v>346</v>
      </c>
      <c r="E194" s="29"/>
    </row>
    <row r="195" spans="3:20" ht="15.75" customHeight="1" x14ac:dyDescent="0.15">
      <c r="C195" s="29"/>
      <c r="D195" s="29"/>
    </row>
    <row r="196" spans="3:20" ht="15.75" customHeight="1" x14ac:dyDescent="0.15">
      <c r="D196" s="29"/>
      <c r="E196" s="32" t="s">
        <v>320</v>
      </c>
      <c r="F196" s="31" t="s">
        <v>13</v>
      </c>
      <c r="G196" s="134">
        <f>H23</f>
        <v>0.53233888888888892</v>
      </c>
      <c r="H196" s="134"/>
      <c r="I196" s="134"/>
      <c r="J196" s="27" t="s">
        <v>239</v>
      </c>
      <c r="K196" s="31" t="str">
        <f>IF(G196&gt;L196,"＞","＜")</f>
        <v>＜</v>
      </c>
      <c r="L196" s="122">
        <v>6</v>
      </c>
      <c r="M196" s="122"/>
      <c r="N196" s="122"/>
      <c r="O196" s="27" t="s">
        <v>239</v>
      </c>
      <c r="Q196" s="124" t="s">
        <v>248</v>
      </c>
      <c r="R196" s="124"/>
      <c r="S196" s="124" t="str">
        <f>IF(G196&gt;L196,"NG","OK")</f>
        <v>OK</v>
      </c>
      <c r="T196" s="124"/>
    </row>
    <row r="198" spans="3:20" ht="15.75" customHeight="1" x14ac:dyDescent="0.15">
      <c r="E198" s="27" t="s">
        <v>347</v>
      </c>
    </row>
    <row r="203" spans="3:20" ht="15.75" customHeight="1" x14ac:dyDescent="0.15">
      <c r="C203" t="s">
        <v>565</v>
      </c>
    </row>
    <row r="205" spans="3:20" ht="15.75" customHeight="1" x14ac:dyDescent="0.15">
      <c r="D205" t="s">
        <v>566</v>
      </c>
    </row>
    <row r="206" spans="3:20" ht="15.75" customHeight="1" x14ac:dyDescent="0.15">
      <c r="D206" t="s">
        <v>567</v>
      </c>
    </row>
    <row r="207" spans="3:20" ht="15.75" customHeight="1" x14ac:dyDescent="0.15">
      <c r="D207" t="s">
        <v>568</v>
      </c>
    </row>
    <row r="208" spans="3:20" ht="15.75" customHeight="1" x14ac:dyDescent="0.15">
      <c r="D208" t="s">
        <v>569</v>
      </c>
    </row>
    <row r="210" spans="5:35" ht="15.75" customHeight="1" x14ac:dyDescent="0.15">
      <c r="E210" s="156" t="s">
        <v>570</v>
      </c>
      <c r="F210" s="156"/>
      <c r="G210" s="116" t="s">
        <v>13</v>
      </c>
      <c r="H210" s="172" t="s">
        <v>571</v>
      </c>
      <c r="I210" s="172"/>
      <c r="J210" s="116" t="s">
        <v>90</v>
      </c>
      <c r="K210" s="171" t="s">
        <v>573</v>
      </c>
      <c r="L210" s="171"/>
      <c r="M210" s="171"/>
      <c r="N210" s="171"/>
      <c r="O210" s="171"/>
      <c r="P210" s="171"/>
    </row>
    <row r="211" spans="5:35" ht="15.75" customHeight="1" x14ac:dyDescent="0.15">
      <c r="E211" s="156"/>
      <c r="F211" s="156"/>
      <c r="G211" s="116"/>
      <c r="H211" s="116" t="s">
        <v>572</v>
      </c>
      <c r="I211" s="116"/>
      <c r="J211" s="116"/>
      <c r="K211" s="169" t="s">
        <v>574</v>
      </c>
      <c r="L211" s="169"/>
      <c r="M211" s="169"/>
      <c r="N211" s="169"/>
      <c r="O211" s="169"/>
      <c r="P211" s="169"/>
    </row>
    <row r="213" spans="5:35" ht="15.75" customHeight="1" x14ac:dyDescent="0.15">
      <c r="H213" s="33" t="s">
        <v>63</v>
      </c>
      <c r="J213" t="s">
        <v>570</v>
      </c>
      <c r="L213" t="s">
        <v>65</v>
      </c>
      <c r="M213" t="s">
        <v>575</v>
      </c>
    </row>
    <row r="214" spans="5:35" ht="15.75" customHeight="1" x14ac:dyDescent="0.15">
      <c r="J214" t="s">
        <v>571</v>
      </c>
      <c r="L214" t="s">
        <v>65</v>
      </c>
      <c r="M214" t="s">
        <v>576</v>
      </c>
      <c r="X214" s="31" t="s">
        <v>67</v>
      </c>
      <c r="Y214" s="31" t="s">
        <v>13</v>
      </c>
      <c r="Z214" s="141">
        <f>V64</f>
        <v>7592.8</v>
      </c>
      <c r="AA214" s="141"/>
      <c r="AB214" s="141"/>
      <c r="AC214" s="27" t="s">
        <v>86</v>
      </c>
      <c r="AD214" s="31" t="s">
        <v>65</v>
      </c>
      <c r="AE214" s="124" t="s">
        <v>473</v>
      </c>
      <c r="AF214" s="124"/>
      <c r="AG214" s="124"/>
      <c r="AH214" s="124"/>
      <c r="AI214" s="31" t="s">
        <v>81</v>
      </c>
    </row>
    <row r="215" spans="5:35" ht="15.75" customHeight="1" x14ac:dyDescent="0.15">
      <c r="J215" t="s">
        <v>572</v>
      </c>
      <c r="L215" t="s">
        <v>577</v>
      </c>
      <c r="Q215" t="s">
        <v>572</v>
      </c>
      <c r="R215" t="s">
        <v>13</v>
      </c>
      <c r="S215" s="150">
        <f>S20</f>
        <v>1800000</v>
      </c>
      <c r="T215" s="150"/>
      <c r="U215" s="150"/>
      <c r="V215" s="150"/>
      <c r="W215" s="38" t="s">
        <v>578</v>
      </c>
    </row>
    <row r="216" spans="5:35" ht="15.75" customHeight="1" x14ac:dyDescent="0.15">
      <c r="J216" t="s">
        <v>579</v>
      </c>
      <c r="L216" t="s">
        <v>65</v>
      </c>
      <c r="M216" t="s">
        <v>580</v>
      </c>
      <c r="X216" t="s">
        <v>581</v>
      </c>
      <c r="AA216" s="149">
        <v>1150</v>
      </c>
      <c r="AB216" s="149"/>
      <c r="AC216" s="149"/>
      <c r="AD216" t="s">
        <v>114</v>
      </c>
      <c r="AE216" s="81">
        <v>10</v>
      </c>
      <c r="AF216" s="78">
        <v>3</v>
      </c>
      <c r="AG216" s="169" t="s">
        <v>582</v>
      </c>
      <c r="AH216" s="169"/>
      <c r="AI216" s="169"/>
    </row>
    <row r="217" spans="5:35" ht="15.75" customHeight="1" x14ac:dyDescent="0.15">
      <c r="M217" t="s">
        <v>583</v>
      </c>
    </row>
    <row r="218" spans="5:35" ht="15.75" customHeight="1" x14ac:dyDescent="0.15">
      <c r="J218"/>
      <c r="L218"/>
      <c r="M218" t="s">
        <v>584</v>
      </c>
      <c r="N218" s="45" t="s">
        <v>599</v>
      </c>
    </row>
    <row r="219" spans="5:35" ht="15.75" customHeight="1" x14ac:dyDescent="0.15">
      <c r="N219" t="s">
        <v>13</v>
      </c>
      <c r="O219" t="s">
        <v>602</v>
      </c>
      <c r="P219" s="27">
        <v>2</v>
      </c>
      <c r="Q219" t="s">
        <v>114</v>
      </c>
      <c r="R219" s="176">
        <f>AE222</f>
        <v>7.05</v>
      </c>
      <c r="S219" s="176"/>
      <c r="T219" t="s">
        <v>114</v>
      </c>
      <c r="U219" s="174">
        <f>AC226</f>
        <v>3.1160588235294119E-3</v>
      </c>
      <c r="V219" s="175"/>
      <c r="W219" s="175"/>
      <c r="X219" t="s">
        <v>90</v>
      </c>
      <c r="Y219" t="s">
        <v>596</v>
      </c>
      <c r="Z219" s="176">
        <f>R219</f>
        <v>7.05</v>
      </c>
      <c r="AA219" s="176"/>
      <c r="AB219" t="s">
        <v>114</v>
      </c>
      <c r="AC219" s="174">
        <f>U219</f>
        <v>3.1160588235294119E-3</v>
      </c>
      <c r="AD219" s="175"/>
      <c r="AE219" s="175"/>
      <c r="AF219" t="s">
        <v>600</v>
      </c>
      <c r="AG219" s="83">
        <v>2</v>
      </c>
      <c r="AH219" t="s">
        <v>601</v>
      </c>
      <c r="AI219" s="82">
        <v>0.5</v>
      </c>
    </row>
    <row r="220" spans="5:35" ht="15.75" customHeight="1" x14ac:dyDescent="0.15">
      <c r="AC220" t="s">
        <v>164</v>
      </c>
      <c r="AD220" s="176">
        <f>R219</f>
        <v>7.05</v>
      </c>
      <c r="AE220" s="176"/>
      <c r="AF220" t="s">
        <v>114</v>
      </c>
      <c r="AG220" s="174">
        <f>U219</f>
        <v>3.1160588235294119E-3</v>
      </c>
      <c r="AH220" s="175"/>
      <c r="AI220" s="175"/>
    </row>
    <row r="221" spans="5:35" ht="15.75" customHeight="1" x14ac:dyDescent="0.15">
      <c r="N221" t="s">
        <v>13</v>
      </c>
      <c r="O221" s="124">
        <f>ROUND((P219*R219*U219+(Z219*AC219)^AG219)^AI219-AD220*AG220,3)</f>
        <v>0.189</v>
      </c>
      <c r="P221" s="124"/>
      <c r="Q221" s="124"/>
    </row>
    <row r="222" spans="5:35" ht="15.75" customHeight="1" x14ac:dyDescent="0.15">
      <c r="J222" t="s">
        <v>585</v>
      </c>
      <c r="L222" t="s">
        <v>65</v>
      </c>
      <c r="M222" t="s">
        <v>586</v>
      </c>
      <c r="S222" t="s">
        <v>585</v>
      </c>
      <c r="T222" t="s">
        <v>13</v>
      </c>
      <c r="U222" t="s">
        <v>587</v>
      </c>
      <c r="Y222" s="145">
        <f>Y223</f>
        <v>200</v>
      </c>
      <c r="Z222" s="124"/>
      <c r="AA222" s="45" t="s">
        <v>588</v>
      </c>
      <c r="AB222" s="119">
        <f>Y224</f>
        <v>28.36</v>
      </c>
      <c r="AC222" s="124"/>
      <c r="AD222" t="s">
        <v>13</v>
      </c>
      <c r="AE222" s="124">
        <f>ROUND(Y222/AB222,2)</f>
        <v>7.05</v>
      </c>
      <c r="AF222" s="124"/>
    </row>
    <row r="223" spans="5:35" ht="15.75" customHeight="1" x14ac:dyDescent="0.15">
      <c r="J223" t="s">
        <v>589</v>
      </c>
      <c r="L223" t="s">
        <v>65</v>
      </c>
      <c r="M223" t="s">
        <v>590</v>
      </c>
      <c r="W223" s="31" t="s">
        <v>67</v>
      </c>
      <c r="X223" s="31" t="s">
        <v>13</v>
      </c>
      <c r="Y223" s="151">
        <v>200</v>
      </c>
      <c r="Z223" s="151"/>
      <c r="AA223" s="38" t="s">
        <v>125</v>
      </c>
      <c r="AD223" s="31" t="s">
        <v>81</v>
      </c>
    </row>
    <row r="224" spans="5:35" ht="15.75" customHeight="1" x14ac:dyDescent="0.15">
      <c r="J224" t="s">
        <v>591</v>
      </c>
      <c r="L224" t="s">
        <v>592</v>
      </c>
      <c r="W224" s="31" t="s">
        <v>67</v>
      </c>
      <c r="X224" s="31" t="s">
        <v>13</v>
      </c>
      <c r="Y224" s="129">
        <f>V75</f>
        <v>28.36</v>
      </c>
      <c r="Z224" s="129"/>
      <c r="AA224" s="38" t="s">
        <v>125</v>
      </c>
      <c r="AD224" s="31" t="s">
        <v>81</v>
      </c>
    </row>
    <row r="225" spans="7:39" ht="15.75" customHeight="1" x14ac:dyDescent="0.15">
      <c r="J225" t="s">
        <v>43</v>
      </c>
      <c r="L225" t="s">
        <v>65</v>
      </c>
      <c r="M225" t="s">
        <v>593</v>
      </c>
    </row>
    <row r="226" spans="7:39" ht="15.75" customHeight="1" x14ac:dyDescent="0.15">
      <c r="M226" s="31" t="s">
        <v>13</v>
      </c>
      <c r="N226" s="119">
        <f>S227</f>
        <v>5297.3</v>
      </c>
      <c r="O226" s="119"/>
      <c r="P226" s="119"/>
      <c r="Q226" s="119"/>
      <c r="R226" s="36" t="s">
        <v>92</v>
      </c>
      <c r="S226" s="31" t="s">
        <v>67</v>
      </c>
      <c r="T226" s="119">
        <f>X228</f>
        <v>1000</v>
      </c>
      <c r="U226" s="119"/>
      <c r="V226" s="119"/>
      <c r="W226" s="31" t="s">
        <v>114</v>
      </c>
      <c r="X226" s="119">
        <f>X229</f>
        <v>1700</v>
      </c>
      <c r="Y226" s="119"/>
      <c r="Z226" s="119"/>
      <c r="AA226" s="31" t="s">
        <v>81</v>
      </c>
      <c r="AB226" s="31" t="s">
        <v>13</v>
      </c>
      <c r="AC226" s="147">
        <f>(N226/(T226*X226))</f>
        <v>3.1160588235294119E-3</v>
      </c>
      <c r="AD226" s="147"/>
      <c r="AE226" s="147"/>
      <c r="AF226" s="147"/>
    </row>
    <row r="227" spans="7:39" ht="15.75" customHeight="1" x14ac:dyDescent="0.15">
      <c r="J227" t="s">
        <v>594</v>
      </c>
      <c r="L227" t="s">
        <v>65</v>
      </c>
      <c r="M227" t="s">
        <v>595</v>
      </c>
      <c r="R227" s="32" t="s">
        <v>596</v>
      </c>
      <c r="S227" s="141">
        <f>S16</f>
        <v>5297.3</v>
      </c>
      <c r="T227" s="141"/>
      <c r="U227" s="141"/>
      <c r="V227" s="141"/>
      <c r="W227" s="178" t="s">
        <v>242</v>
      </c>
      <c r="X227" s="178"/>
      <c r="Y227" s="32" t="s">
        <v>162</v>
      </c>
      <c r="Z227" s="177">
        <f>Z16</f>
        <v>32</v>
      </c>
      <c r="AA227" s="177"/>
      <c r="AB227" s="31" t="s">
        <v>164</v>
      </c>
      <c r="AC227" s="145">
        <f>AC16</f>
        <v>6.67</v>
      </c>
      <c r="AD227" s="124"/>
      <c r="AE227" s="31" t="s">
        <v>224</v>
      </c>
      <c r="AF227" s="31" t="s">
        <v>81</v>
      </c>
    </row>
    <row r="228" spans="7:39" ht="15.75" customHeight="1" x14ac:dyDescent="0.15">
      <c r="J228" t="s">
        <v>35</v>
      </c>
      <c r="K228"/>
      <c r="L228" s="32" t="s">
        <v>65</v>
      </c>
      <c r="M228" t="s">
        <v>196</v>
      </c>
      <c r="N228" s="42"/>
      <c r="O228" s="43"/>
      <c r="P228" s="43"/>
      <c r="Q228" s="43"/>
      <c r="V228" s="31" t="s">
        <v>67</v>
      </c>
      <c r="W228" s="31" t="s">
        <v>13</v>
      </c>
      <c r="X228" s="141">
        <f>W169</f>
        <v>1000</v>
      </c>
      <c r="Y228" s="141"/>
      <c r="Z228" s="141"/>
      <c r="AA228" s="27" t="s">
        <v>80</v>
      </c>
      <c r="AB228" s="31" t="s">
        <v>81</v>
      </c>
    </row>
    <row r="229" spans="7:39" ht="15.75" customHeight="1" x14ac:dyDescent="0.15">
      <c r="J229" t="s">
        <v>39</v>
      </c>
      <c r="K229"/>
      <c r="L229" s="32" t="s">
        <v>65</v>
      </c>
      <c r="M229" t="s">
        <v>198</v>
      </c>
      <c r="N229" s="42"/>
      <c r="O229" s="43"/>
      <c r="P229" s="43"/>
      <c r="Q229" s="43"/>
      <c r="V229" s="31" t="s">
        <v>67</v>
      </c>
      <c r="W229" s="31" t="s">
        <v>13</v>
      </c>
      <c r="X229" s="141">
        <f>W170</f>
        <v>1700</v>
      </c>
      <c r="Y229" s="141"/>
      <c r="Z229" s="141"/>
      <c r="AA229" s="27" t="s">
        <v>80</v>
      </c>
      <c r="AB229" s="31" t="s">
        <v>81</v>
      </c>
    </row>
    <row r="230" spans="7:39" ht="15.75" customHeight="1" x14ac:dyDescent="0.15">
      <c r="M230" t="s">
        <v>597</v>
      </c>
      <c r="O230" s="27">
        <v>1</v>
      </c>
      <c r="P230" t="s">
        <v>164</v>
      </c>
      <c r="Q230" t="s">
        <v>598</v>
      </c>
      <c r="S230" t="s">
        <v>13</v>
      </c>
      <c r="T230" s="27">
        <v>1</v>
      </c>
      <c r="U230" t="s">
        <v>164</v>
      </c>
      <c r="V230" s="175">
        <f>O221</f>
        <v>0.189</v>
      </c>
      <c r="W230" s="175"/>
      <c r="X230" s="45" t="s">
        <v>588</v>
      </c>
      <c r="Y230" s="27">
        <v>3</v>
      </c>
      <c r="Z230" t="s">
        <v>13</v>
      </c>
      <c r="AA230" s="124">
        <f>ROUND(T230-V230/Y230,3)</f>
        <v>0.93700000000000006</v>
      </c>
      <c r="AB230" s="124"/>
      <c r="AC230" s="124"/>
    </row>
    <row r="232" spans="7:39" ht="15.75" customHeight="1" x14ac:dyDescent="0.15">
      <c r="G232" s="116" t="s">
        <v>116</v>
      </c>
      <c r="H232" s="156" t="s">
        <v>570</v>
      </c>
      <c r="I232" s="156"/>
      <c r="J232" s="116" t="s">
        <v>13</v>
      </c>
      <c r="K232" s="117">
        <f>Z214</f>
        <v>7592.8</v>
      </c>
      <c r="L232" s="180"/>
      <c r="M232" s="180"/>
      <c r="N232" s="85" t="s">
        <v>114</v>
      </c>
      <c r="O232" s="86">
        <v>10</v>
      </c>
      <c r="P232" s="87">
        <v>3</v>
      </c>
      <c r="Q232" s="116" t="s">
        <v>90</v>
      </c>
      <c r="R232" s="88"/>
      <c r="S232" s="88"/>
      <c r="T232" s="88"/>
      <c r="U232" s="88"/>
      <c r="V232" s="179">
        <f>AA216</f>
        <v>1150</v>
      </c>
      <c r="W232" s="179"/>
      <c r="X232" s="179"/>
      <c r="Y232" s="85" t="s">
        <v>114</v>
      </c>
      <c r="Z232" s="86">
        <v>10</v>
      </c>
      <c r="AA232" s="87">
        <v>3</v>
      </c>
      <c r="AB232" s="88"/>
      <c r="AC232" s="88"/>
      <c r="AD232" s="88"/>
      <c r="AE232" s="88"/>
      <c r="AK232" s="124">
        <f>K232*O232^P232/K233</f>
        <v>4.2182222222222219</v>
      </c>
      <c r="AL232" s="124"/>
      <c r="AM232" s="124"/>
    </row>
    <row r="233" spans="7:39" ht="15.75" customHeight="1" x14ac:dyDescent="0.15">
      <c r="G233" s="116"/>
      <c r="H233" s="156"/>
      <c r="I233" s="156"/>
      <c r="J233" s="116"/>
      <c r="K233" s="145">
        <f>S215</f>
        <v>1800000</v>
      </c>
      <c r="L233" s="145"/>
      <c r="M233" s="145"/>
      <c r="N233" s="145"/>
      <c r="O233" s="145"/>
      <c r="P233" s="145"/>
      <c r="Q233" s="116"/>
      <c r="R233" s="175">
        <f>O221</f>
        <v>0.189</v>
      </c>
      <c r="S233" s="175"/>
      <c r="T233" t="s">
        <v>114</v>
      </c>
      <c r="U233" s="175">
        <f>AA230</f>
        <v>0.93700000000000006</v>
      </c>
      <c r="V233" s="175"/>
      <c r="W233" t="s">
        <v>114</v>
      </c>
      <c r="X233" s="119">
        <f>X228</f>
        <v>1000</v>
      </c>
      <c r="Y233" s="124"/>
      <c r="Z233" s="124"/>
      <c r="AA233" t="s">
        <v>114</v>
      </c>
      <c r="AB233" s="119">
        <f>X229</f>
        <v>1700</v>
      </c>
      <c r="AC233" s="124"/>
      <c r="AD233" s="124"/>
      <c r="AE233" s="83">
        <v>2</v>
      </c>
      <c r="AK233" s="124">
        <f>V232*Z232^AA232/(R233*U233*X233*AB233^AE233)</f>
        <v>2.2469768733520013E-3</v>
      </c>
      <c r="AL233" s="124"/>
      <c r="AM233" s="124"/>
    </row>
    <row r="234" spans="7:39" ht="15.75" customHeight="1" x14ac:dyDescent="0.15">
      <c r="J234" t="s">
        <v>13</v>
      </c>
      <c r="K234" s="175">
        <f>ROUND(AK232+AK233,2)</f>
        <v>4.22</v>
      </c>
      <c r="L234" s="175"/>
      <c r="M234" s="27" t="str">
        <f>IF(K234&lt;Y234,"≦","＞")</f>
        <v>≦</v>
      </c>
      <c r="Q234" s="33" t="s">
        <v>603</v>
      </c>
      <c r="R234" s="131">
        <v>0.4</v>
      </c>
      <c r="S234" s="131"/>
      <c r="T234" s="31" t="s">
        <v>114</v>
      </c>
      <c r="U234" s="119">
        <f>X172</f>
        <v>18.46153846153846</v>
      </c>
      <c r="V234" s="124"/>
      <c r="W234" s="124"/>
      <c r="X234" t="s">
        <v>13</v>
      </c>
      <c r="Y234" s="124">
        <f>ROUND(R234*U234,2)</f>
        <v>7.38</v>
      </c>
      <c r="Z234" s="124"/>
      <c r="AA234" s="124"/>
    </row>
    <row r="253" spans="3:4" ht="15.75" customHeight="1" x14ac:dyDescent="0.15">
      <c r="C253" t="s">
        <v>604</v>
      </c>
    </row>
    <row r="255" spans="3:4" ht="15.75" customHeight="1" x14ac:dyDescent="0.15">
      <c r="D255" t="s">
        <v>605</v>
      </c>
    </row>
    <row r="256" spans="3:4" ht="15.75" customHeight="1" x14ac:dyDescent="0.15">
      <c r="D256" t="s">
        <v>606</v>
      </c>
    </row>
    <row r="257" spans="4:29" ht="15.75" customHeight="1" x14ac:dyDescent="0.15">
      <c r="D257" t="s">
        <v>607</v>
      </c>
    </row>
    <row r="258" spans="4:29" ht="15.75" customHeight="1" x14ac:dyDescent="0.15">
      <c r="D258" t="s">
        <v>608</v>
      </c>
    </row>
    <row r="259" spans="4:29" ht="15.75" customHeight="1" x14ac:dyDescent="0.15">
      <c r="D259" t="s">
        <v>609</v>
      </c>
    </row>
    <row r="261" spans="4:29" ht="15.75" customHeight="1" x14ac:dyDescent="0.15">
      <c r="F261" t="s">
        <v>610</v>
      </c>
      <c r="Q261" t="s">
        <v>65</v>
      </c>
      <c r="R261" s="131">
        <v>150</v>
      </c>
      <c r="S261" s="131"/>
      <c r="T261" t="s">
        <v>80</v>
      </c>
    </row>
    <row r="262" spans="4:29" ht="15.75" customHeight="1" x14ac:dyDescent="0.15">
      <c r="F262" t="s">
        <v>611</v>
      </c>
      <c r="Q262" t="s">
        <v>65</v>
      </c>
      <c r="R262" s="124">
        <f>Z16*2.5</f>
        <v>80</v>
      </c>
      <c r="S262" s="124"/>
      <c r="T262" t="s">
        <v>80</v>
      </c>
    </row>
    <row r="263" spans="4:29" ht="15.75" customHeight="1" x14ac:dyDescent="0.15">
      <c r="F263" t="s">
        <v>612</v>
      </c>
      <c r="Q263" t="s">
        <v>65</v>
      </c>
      <c r="R263" s="177">
        <f>Z16</f>
        <v>32</v>
      </c>
      <c r="S263" s="124"/>
    </row>
    <row r="264" spans="4:29" ht="15.75" customHeight="1" x14ac:dyDescent="0.15">
      <c r="F264" t="s">
        <v>613</v>
      </c>
      <c r="Q264" t="s">
        <v>65</v>
      </c>
      <c r="R264" s="124">
        <f>R261</f>
        <v>150</v>
      </c>
      <c r="S264" s="124"/>
      <c r="T264" t="s">
        <v>164</v>
      </c>
      <c r="U264" s="181">
        <f>R263</f>
        <v>32</v>
      </c>
      <c r="V264" s="181"/>
      <c r="W264" t="s">
        <v>13</v>
      </c>
      <c r="X264" s="182">
        <f>R264-U264</f>
        <v>118</v>
      </c>
      <c r="Y264" s="159"/>
      <c r="Z264" t="s">
        <v>80</v>
      </c>
    </row>
    <row r="265" spans="4:29" ht="15.75" customHeight="1" x14ac:dyDescent="0.15">
      <c r="Q265" t="s">
        <v>65</v>
      </c>
      <c r="R265" s="124">
        <f>R262</f>
        <v>80</v>
      </c>
      <c r="S265" s="124"/>
      <c r="T265" t="s">
        <v>164</v>
      </c>
      <c r="U265" s="181">
        <f>U264</f>
        <v>32</v>
      </c>
      <c r="V265" s="181"/>
      <c r="W265" t="s">
        <v>13</v>
      </c>
      <c r="X265" s="182">
        <f>R265-U265</f>
        <v>48</v>
      </c>
      <c r="Y265" s="159"/>
      <c r="Z265" t="s">
        <v>80</v>
      </c>
    </row>
    <row r="267" spans="4:29" ht="15.75" customHeight="1" x14ac:dyDescent="0.15">
      <c r="F267" s="171" t="s">
        <v>619</v>
      </c>
      <c r="G267" s="180"/>
      <c r="H267" s="180"/>
      <c r="I267" s="180"/>
      <c r="J267" s="180"/>
      <c r="K267" s="180"/>
      <c r="L267" s="180"/>
      <c r="M267" s="180"/>
      <c r="N267" s="180"/>
      <c r="O267" s="180"/>
      <c r="P267" s="180"/>
      <c r="Q267" s="180"/>
      <c r="R267" s="180"/>
      <c r="S267" s="180"/>
      <c r="T267" s="180"/>
      <c r="U267" s="180"/>
      <c r="V267" s="180"/>
      <c r="W267" s="180"/>
      <c r="X267" s="180"/>
      <c r="Y267" s="180"/>
      <c r="Z267" s="180"/>
      <c r="AA267" s="180"/>
      <c r="AB267" s="180"/>
      <c r="AC267" s="180"/>
    </row>
    <row r="268" spans="4:29" ht="15.75" customHeight="1" thickBot="1" x14ac:dyDescent="0.2">
      <c r="F268" s="184" t="s">
        <v>614</v>
      </c>
      <c r="G268" s="184"/>
      <c r="H268" s="184"/>
      <c r="I268" s="184"/>
      <c r="J268" s="184"/>
      <c r="K268" s="183" t="s">
        <v>615</v>
      </c>
      <c r="L268" s="184"/>
      <c r="M268" s="184"/>
      <c r="N268" s="184"/>
      <c r="O268" s="184"/>
      <c r="P268" s="184"/>
      <c r="Q268" s="184"/>
      <c r="R268" s="184"/>
      <c r="S268" s="185"/>
      <c r="T268" s="184" t="s">
        <v>617</v>
      </c>
      <c r="U268" s="184"/>
      <c r="V268" s="184"/>
      <c r="W268" s="184"/>
      <c r="X268" s="184"/>
      <c r="Y268" s="184"/>
      <c r="Z268" s="184"/>
      <c r="AA268" s="184"/>
      <c r="AB268" s="184"/>
      <c r="AC268" s="184"/>
    </row>
    <row r="269" spans="4:29" ht="15.75" customHeight="1" thickTop="1" x14ac:dyDescent="0.15">
      <c r="F269" s="191" t="str">
        <f>AL4</f>
        <v>フーチング</v>
      </c>
      <c r="G269" s="191"/>
      <c r="H269" s="191"/>
      <c r="I269" s="191"/>
      <c r="J269" s="191"/>
      <c r="K269" s="187" t="s">
        <v>616</v>
      </c>
      <c r="L269" s="188"/>
      <c r="M269" s="188"/>
      <c r="N269" s="188"/>
      <c r="O269" s="188"/>
      <c r="P269" s="188"/>
      <c r="Q269" s="188"/>
      <c r="R269" s="193">
        <f>MIN(X264,X265)</f>
        <v>48</v>
      </c>
      <c r="S269" s="194"/>
      <c r="T269" s="89" t="str">
        <f>IF(R269&lt;U269,"NG","≧")</f>
        <v>≧</v>
      </c>
      <c r="U269" s="186">
        <v>40</v>
      </c>
      <c r="V269" s="186"/>
      <c r="W269" s="90" t="s">
        <v>80</v>
      </c>
      <c r="X269" s="89"/>
      <c r="Y269" s="89"/>
      <c r="Z269" s="89"/>
      <c r="AA269" s="89"/>
      <c r="AB269" s="89"/>
      <c r="AC269" s="89"/>
    </row>
    <row r="270" spans="4:29" ht="15.75" customHeight="1" x14ac:dyDescent="0.15">
      <c r="F270" s="124"/>
      <c r="G270" s="124"/>
      <c r="H270" s="124"/>
      <c r="I270" s="124"/>
      <c r="J270" s="124"/>
      <c r="K270" s="189"/>
      <c r="L270" s="116"/>
      <c r="M270" s="116"/>
      <c r="N270" s="116"/>
      <c r="O270" s="116"/>
      <c r="P270" s="116"/>
      <c r="Q270" s="116"/>
      <c r="R270" s="181"/>
      <c r="S270" s="195"/>
      <c r="T270" s="27" t="str">
        <f>IF(R269&lt;AA270,"NG","≧")</f>
        <v>≧</v>
      </c>
      <c r="U270" s="181">
        <f>U265</f>
        <v>32</v>
      </c>
      <c r="V270" s="124"/>
      <c r="W270" s="31" t="s">
        <v>114</v>
      </c>
      <c r="X270" s="131">
        <v>1.5</v>
      </c>
      <c r="Y270" s="131"/>
      <c r="Z270" t="s">
        <v>13</v>
      </c>
      <c r="AA270" s="192">
        <f>ROUND(U270*X270,1)</f>
        <v>48</v>
      </c>
      <c r="AB270" s="192"/>
      <c r="AC270" t="s">
        <v>80</v>
      </c>
    </row>
    <row r="271" spans="4:29" ht="15.75" customHeight="1" x14ac:dyDescent="0.15">
      <c r="F271" s="180"/>
      <c r="G271" s="180"/>
      <c r="H271" s="180"/>
      <c r="I271" s="180"/>
      <c r="J271" s="180"/>
      <c r="K271" s="190"/>
      <c r="L271" s="171"/>
      <c r="M271" s="171"/>
      <c r="N271" s="171"/>
      <c r="O271" s="171"/>
      <c r="P271" s="171"/>
      <c r="Q271" s="171"/>
      <c r="R271" s="196"/>
      <c r="S271" s="197"/>
      <c r="T271" s="88" t="str">
        <f>IF(R269&lt;AA271,"NG","≧")</f>
        <v>≧</v>
      </c>
      <c r="U271" s="196">
        <f>V72</f>
        <v>25</v>
      </c>
      <c r="V271" s="180"/>
      <c r="W271" s="84" t="s">
        <v>114</v>
      </c>
      <c r="X271" s="198" t="s">
        <v>618</v>
      </c>
      <c r="Y271" s="199"/>
      <c r="Z271" s="85" t="s">
        <v>13</v>
      </c>
      <c r="AA271" s="200">
        <f>ROUND(U271*4/3,1)</f>
        <v>33.299999999999997</v>
      </c>
      <c r="AB271" s="200"/>
      <c r="AC271" s="85" t="s">
        <v>80</v>
      </c>
    </row>
    <row r="303" spans="2:17" ht="15.75" customHeight="1" x14ac:dyDescent="0.15">
      <c r="B303"/>
      <c r="C303" t="s">
        <v>620</v>
      </c>
      <c r="D303"/>
      <c r="E303"/>
      <c r="F303"/>
      <c r="G303"/>
      <c r="H303"/>
      <c r="I303"/>
      <c r="J303"/>
      <c r="K303"/>
      <c r="L303"/>
      <c r="M303"/>
      <c r="N303"/>
      <c r="O303"/>
      <c r="P303"/>
      <c r="Q303"/>
    </row>
    <row r="305" spans="2:40" ht="15.75" customHeight="1" x14ac:dyDescent="0.15">
      <c r="D305" s="27" t="s">
        <v>444</v>
      </c>
    </row>
    <row r="306" spans="2:40" ht="15.75" customHeight="1" x14ac:dyDescent="0.15">
      <c r="D306" s="27" t="s">
        <v>445</v>
      </c>
    </row>
    <row r="308" spans="2:40" ht="15.75" customHeight="1" x14ac:dyDescent="0.15">
      <c r="D308" s="27" t="s">
        <v>464</v>
      </c>
    </row>
    <row r="310" spans="2:40" ht="15.75" customHeight="1" x14ac:dyDescent="0.15">
      <c r="F310" s="306" t="s">
        <v>478</v>
      </c>
      <c r="K310" s="158">
        <v>22</v>
      </c>
      <c r="L310" s="158"/>
      <c r="M310" s="31" t="s">
        <v>164</v>
      </c>
      <c r="N310" s="409">
        <v>1.1599999999999999</v>
      </c>
      <c r="O310" s="409"/>
      <c r="P310" s="56" t="s">
        <v>350</v>
      </c>
      <c r="Q310" s="159" t="s">
        <v>351</v>
      </c>
      <c r="R310" s="159"/>
      <c r="S310" s="153">
        <v>150</v>
      </c>
      <c r="T310" s="153"/>
    </row>
    <row r="312" spans="2:40" ht="15.75" customHeight="1" x14ac:dyDescent="0.15">
      <c r="F312" s="124" t="s">
        <v>352</v>
      </c>
      <c r="G312" s="116" t="s">
        <v>13</v>
      </c>
      <c r="H312" s="124" t="s">
        <v>67</v>
      </c>
      <c r="I312" s="124">
        <f>N310*2</f>
        <v>2.3199999999999998</v>
      </c>
      <c r="J312" s="124"/>
      <c r="K312" s="31" t="s">
        <v>114</v>
      </c>
      <c r="L312" s="119">
        <f>VLOOKUP(K310,AX1:AY11,2,FALSE)</f>
        <v>387.1</v>
      </c>
      <c r="M312" s="119"/>
      <c r="N312" s="119"/>
      <c r="O312" s="124" t="s">
        <v>81</v>
      </c>
      <c r="P312" s="124" t="s">
        <v>114</v>
      </c>
      <c r="Q312" s="124">
        <v>100</v>
      </c>
      <c r="R312" s="124"/>
      <c r="AL312" s="124">
        <f>ROUND(I312*L312,1)</f>
        <v>898.1</v>
      </c>
      <c r="AM312" s="124"/>
      <c r="AN312" s="124"/>
    </row>
    <row r="313" spans="2:40" ht="15.75" customHeight="1" x14ac:dyDescent="0.15">
      <c r="F313" s="124"/>
      <c r="G313" s="116"/>
      <c r="H313" s="124"/>
      <c r="I313" s="145">
        <f>AK16</f>
        <v>794.2</v>
      </c>
      <c r="J313" s="145"/>
      <c r="K313" s="145"/>
      <c r="L313" s="31" t="s">
        <v>114</v>
      </c>
      <c r="M313" s="124">
        <f>S310</f>
        <v>150</v>
      </c>
      <c r="N313" s="124"/>
      <c r="O313" s="124"/>
      <c r="P313" s="124"/>
      <c r="Q313" s="124"/>
      <c r="R313" s="124"/>
    </row>
    <row r="314" spans="2:40" ht="15.75" customHeight="1" x14ac:dyDescent="0.15">
      <c r="G314" s="31" t="s">
        <v>13</v>
      </c>
      <c r="H314" s="134">
        <f>((I312*L312)/(I313*M313))*Q312</f>
        <v>0.75385880970368502</v>
      </c>
      <c r="I314" s="134"/>
      <c r="J314" s="134"/>
      <c r="K314" s="27" t="s">
        <v>239</v>
      </c>
      <c r="L314" s="31" t="str">
        <f>IF(H314&gt;M314,"＞","＜")</f>
        <v>＞</v>
      </c>
      <c r="M314" s="125">
        <v>0.15</v>
      </c>
      <c r="N314" s="125"/>
      <c r="O314" s="125"/>
      <c r="P314" s="27" t="s">
        <v>239</v>
      </c>
      <c r="R314" s="124" t="s">
        <v>248</v>
      </c>
      <c r="S314" s="124"/>
      <c r="T314" s="124" t="str">
        <f>IF(H314&lt;M314,"NG","OK")</f>
        <v>OK</v>
      </c>
      <c r="U314" s="124"/>
    </row>
    <row r="315" spans="2:40" ht="15.75" customHeight="1" x14ac:dyDescent="0.15">
      <c r="G315" s="31"/>
      <c r="H315" s="62"/>
      <c r="I315" s="62"/>
      <c r="J315" s="62"/>
      <c r="L315" s="31"/>
      <c r="M315" s="54"/>
      <c r="N315" s="54"/>
      <c r="O315" s="54"/>
      <c r="R315" s="31"/>
      <c r="S315" s="31"/>
      <c r="T315" s="31"/>
      <c r="U315" s="31"/>
    </row>
    <row r="316" spans="2:40" ht="15.75" customHeight="1" x14ac:dyDescent="0.15">
      <c r="F316" s="27" t="s">
        <v>465</v>
      </c>
      <c r="G316" s="31"/>
      <c r="H316" s="62"/>
      <c r="I316" s="62"/>
      <c r="J316" s="62"/>
      <c r="L316" s="31"/>
      <c r="M316" s="54"/>
      <c r="N316" s="54"/>
      <c r="O316" s="54"/>
      <c r="R316" s="31"/>
      <c r="S316" s="31"/>
      <c r="T316" s="31"/>
      <c r="U316" s="31"/>
    </row>
    <row r="317" spans="2:40" ht="15.75" customHeight="1" x14ac:dyDescent="0.15">
      <c r="G317" s="31"/>
      <c r="H317" s="62"/>
      <c r="I317" s="62"/>
      <c r="J317" s="62"/>
      <c r="L317" s="31"/>
      <c r="M317" s="54"/>
      <c r="N317" s="54"/>
      <c r="O317" s="54"/>
      <c r="R317" s="31"/>
      <c r="S317" s="31"/>
      <c r="T317" s="31"/>
      <c r="U317" s="31"/>
    </row>
    <row r="318" spans="2:40" ht="15.75" customHeight="1" x14ac:dyDescent="0.15">
      <c r="B318"/>
      <c r="C318" t="s">
        <v>623</v>
      </c>
      <c r="D318"/>
      <c r="E318"/>
      <c r="F318"/>
      <c r="G318"/>
      <c r="H318"/>
      <c r="I318"/>
      <c r="J318"/>
      <c r="K318"/>
      <c r="L318"/>
      <c r="M318"/>
      <c r="N318"/>
      <c r="O318"/>
      <c r="P318"/>
      <c r="Q318"/>
    </row>
    <row r="320" spans="2:40" ht="15.75" customHeight="1" x14ac:dyDescent="0.15">
      <c r="D320" s="27" t="s">
        <v>463</v>
      </c>
    </row>
    <row r="321" spans="4:38" ht="15.75" customHeight="1" x14ac:dyDescent="0.15">
      <c r="D321" s="27" t="s">
        <v>446</v>
      </c>
    </row>
    <row r="322" spans="4:38" ht="15.75" customHeight="1" x14ac:dyDescent="0.15">
      <c r="D322" s="91" t="str">
        <f>IF(AL4="上層梁",AL323,IF(AL4="梁",AL323,AL322))</f>
        <v>　 の24倍以下の間隔で配置する。なお、部材接合部及び柱下端から断面高さの2.0倍までの</v>
      </c>
      <c r="AL322" t="s">
        <v>622</v>
      </c>
    </row>
    <row r="323" spans="4:38" ht="15.75" customHeight="1" x14ac:dyDescent="0.15">
      <c r="D323" s="27" t="s">
        <v>448</v>
      </c>
      <c r="AL323" t="s">
        <v>621</v>
      </c>
    </row>
    <row r="325" spans="4:38" ht="15.75" customHeight="1" x14ac:dyDescent="0.15">
      <c r="E325" s="27" t="s">
        <v>449</v>
      </c>
      <c r="P325" s="31" t="s">
        <v>13</v>
      </c>
      <c r="Q325" s="119">
        <f>V186</f>
        <v>1700</v>
      </c>
      <c r="R325" s="119"/>
      <c r="S325" s="119"/>
      <c r="T325" s="27" t="s">
        <v>114</v>
      </c>
      <c r="U325" s="167">
        <v>0.25</v>
      </c>
      <c r="V325" s="168"/>
      <c r="W325" s="31" t="s">
        <v>13</v>
      </c>
      <c r="X325" s="145">
        <f>Q325*U325</f>
        <v>425</v>
      </c>
      <c r="Y325" s="145"/>
      <c r="Z325" s="145"/>
      <c r="AA325" s="27" t="s">
        <v>139</v>
      </c>
    </row>
    <row r="326" spans="4:38" ht="15.75" customHeight="1" x14ac:dyDescent="0.15">
      <c r="E326" s="27" t="s">
        <v>453</v>
      </c>
      <c r="P326" s="31" t="s">
        <v>13</v>
      </c>
      <c r="Q326" s="124">
        <f>Z16</f>
        <v>32</v>
      </c>
      <c r="R326" s="124"/>
      <c r="S326" s="124"/>
      <c r="T326" s="27" t="s">
        <v>114</v>
      </c>
      <c r="U326" s="166">
        <v>8</v>
      </c>
      <c r="V326" s="131"/>
      <c r="W326" s="31" t="s">
        <v>13</v>
      </c>
      <c r="X326" s="145">
        <f>Q326*U326</f>
        <v>256</v>
      </c>
      <c r="Y326" s="145"/>
      <c r="Z326" s="145"/>
      <c r="AA326" s="27" t="s">
        <v>139</v>
      </c>
    </row>
    <row r="327" spans="4:38" ht="15.75" customHeight="1" x14ac:dyDescent="0.15">
      <c r="E327" s="27" t="s">
        <v>455</v>
      </c>
      <c r="P327" s="31" t="s">
        <v>13</v>
      </c>
      <c r="Q327" s="124">
        <f>K310</f>
        <v>22</v>
      </c>
      <c r="R327" s="124"/>
      <c r="S327" s="124"/>
      <c r="T327" s="27" t="s">
        <v>114</v>
      </c>
      <c r="U327" s="166">
        <v>24</v>
      </c>
      <c r="V327" s="131"/>
      <c r="W327" s="31" t="s">
        <v>13</v>
      </c>
      <c r="X327" s="145">
        <f>Q327*U327</f>
        <v>528</v>
      </c>
      <c r="Y327" s="145"/>
      <c r="Z327" s="145"/>
      <c r="AA327" s="27" t="s">
        <v>139</v>
      </c>
    </row>
    <row r="328" spans="4:38" ht="15.75" customHeight="1" x14ac:dyDescent="0.15">
      <c r="E328" s="27" t="s">
        <v>460</v>
      </c>
    </row>
    <row r="330" spans="4:38" ht="15.75" customHeight="1" x14ac:dyDescent="0.15">
      <c r="E330" s="27" t="s">
        <v>461</v>
      </c>
      <c r="I330" s="31" t="s">
        <v>65</v>
      </c>
      <c r="J330" s="27" t="str">
        <f>"上記最小間隔は"&amp;MIN(X325,X326,X327,300)&amp;"mmに対して計算上の配置間隔は"&amp;S310&amp;"mmより満足する。"</f>
        <v>上記最小間隔は256mmに対して計算上の配置間隔は150mmより満足する。</v>
      </c>
    </row>
    <row r="331" spans="4:38" ht="15.75" customHeight="1" x14ac:dyDescent="0.15">
      <c r="I331" s="31"/>
    </row>
    <row r="332" spans="4:38" ht="15.75" customHeight="1" x14ac:dyDescent="0.15">
      <c r="D332" s="27" t="s">
        <v>466</v>
      </c>
      <c r="G332" s="31"/>
      <c r="H332" s="62"/>
      <c r="I332" s="62"/>
      <c r="J332" s="62"/>
      <c r="L332" s="31"/>
      <c r="M332" s="54"/>
      <c r="N332" s="54"/>
      <c r="O332" s="54"/>
      <c r="R332" s="31"/>
      <c r="S332" s="31"/>
      <c r="T332" s="31"/>
      <c r="U332" s="31"/>
    </row>
    <row r="333" spans="4:38" ht="15.75" customHeight="1" x14ac:dyDescent="0.15">
      <c r="D333" s="27" t="s">
        <v>467</v>
      </c>
      <c r="G333" s="31"/>
      <c r="H333" s="62"/>
      <c r="I333" s="62"/>
      <c r="J333" s="62"/>
      <c r="L333" s="31"/>
      <c r="M333" s="54"/>
      <c r="N333" s="54"/>
      <c r="O333" s="54"/>
      <c r="R333" s="31"/>
      <c r="S333" s="31"/>
      <c r="T333" s="31"/>
      <c r="U333" s="31"/>
    </row>
    <row r="334" spans="4:38" ht="15.75" customHeight="1" x14ac:dyDescent="0.15">
      <c r="D334" s="27" t="s">
        <v>468</v>
      </c>
      <c r="G334" s="31"/>
      <c r="H334" s="62"/>
      <c r="I334" s="62"/>
      <c r="J334" s="62"/>
      <c r="L334" s="31"/>
      <c r="M334" s="54"/>
      <c r="N334" s="54"/>
      <c r="O334" s="54"/>
      <c r="R334" s="31"/>
      <c r="S334" s="31"/>
      <c r="T334" s="31"/>
      <c r="U334" s="31"/>
    </row>
    <row r="335" spans="4:38" ht="15.75" customHeight="1" x14ac:dyDescent="0.15">
      <c r="G335" s="31"/>
      <c r="H335" s="62"/>
      <c r="I335" s="62"/>
      <c r="J335" s="62"/>
      <c r="L335" s="31"/>
      <c r="M335" s="54"/>
      <c r="N335" s="54"/>
      <c r="O335" s="54"/>
      <c r="R335" s="31"/>
      <c r="S335" s="31"/>
      <c r="T335" s="31"/>
      <c r="U335" s="31"/>
    </row>
    <row r="336" spans="4:38" ht="15.75" customHeight="1" x14ac:dyDescent="0.15">
      <c r="E336" s="27" t="str">
        <f>"・帯鉄筋の直径は"&amp;FIXED(K310,0)&amp;"mmであり"&amp;FIXED(K310,0)&amp;"×48＝"&amp;FIXED(K310*48,0,3)&amp;"mm"</f>
        <v>・帯鉄筋の直径は22mmであり22×48＝1056mm</v>
      </c>
      <c r="G336" s="31"/>
      <c r="H336" s="62"/>
      <c r="I336" s="62"/>
      <c r="J336" s="62"/>
      <c r="L336" s="31"/>
      <c r="M336" s="54"/>
      <c r="N336" s="54"/>
      <c r="O336" s="54"/>
      <c r="R336" s="31"/>
      <c r="S336" s="31"/>
      <c r="T336" s="31"/>
      <c r="U336" s="31"/>
    </row>
    <row r="337" spans="5:21" ht="15.75" customHeight="1" x14ac:dyDescent="0.15">
      <c r="E337" s="27" t="str">
        <f>"よって、帯鉄筋の横方向の必要配置間隔は"&amp;FIXED(K310*48,0,3)&amp;"mmとなる。"</f>
        <v>よって、帯鉄筋の横方向の必要配置間隔は1056mmとなる。</v>
      </c>
      <c r="G337" s="31"/>
      <c r="H337" s="62"/>
      <c r="I337" s="62"/>
      <c r="J337" s="62"/>
      <c r="L337" s="31"/>
      <c r="M337" s="54"/>
      <c r="N337" s="54"/>
      <c r="O337" s="54"/>
      <c r="R337" s="31"/>
      <c r="S337" s="31"/>
      <c r="T337" s="31"/>
      <c r="U337" s="31"/>
    </row>
    <row r="338" spans="5:21" ht="15.75" customHeight="1" x14ac:dyDescent="0.15">
      <c r="E338" s="27" t="str">
        <f>"中間帯鉄筋を"&amp;FIXED(N310,2)&amp;"組配置することにより満足する。"</f>
        <v>中間帯鉄筋を1.16組配置することにより満足する。</v>
      </c>
      <c r="G338" s="31"/>
      <c r="H338" s="62"/>
      <c r="I338" s="62"/>
      <c r="J338" s="62"/>
      <c r="L338" s="31"/>
      <c r="M338" s="54"/>
      <c r="N338" s="54"/>
      <c r="O338" s="54"/>
      <c r="R338" s="31"/>
      <c r="S338" s="31"/>
      <c r="T338" s="31"/>
      <c r="U338" s="31"/>
    </row>
    <row r="339" spans="5:21" ht="15.75" customHeight="1" x14ac:dyDescent="0.15">
      <c r="G339" s="31"/>
      <c r="H339" s="62"/>
      <c r="I339" s="62"/>
      <c r="J339" s="62"/>
      <c r="L339" s="31"/>
      <c r="M339" s="54"/>
      <c r="N339" s="54"/>
      <c r="O339" s="54"/>
      <c r="R339" s="31"/>
      <c r="S339" s="31"/>
      <c r="T339" s="31"/>
      <c r="U339" s="31"/>
    </row>
    <row r="340" spans="5:21" ht="15.75" customHeight="1" x14ac:dyDescent="0.15">
      <c r="G340" s="31"/>
      <c r="H340" s="62"/>
      <c r="I340" s="62"/>
      <c r="J340" s="62"/>
      <c r="L340" s="31"/>
      <c r="M340" s="54"/>
      <c r="N340" s="54"/>
      <c r="O340" s="54"/>
      <c r="R340" s="31"/>
      <c r="S340" s="31"/>
      <c r="T340" s="31"/>
      <c r="U340" s="31"/>
    </row>
    <row r="341" spans="5:21" ht="15.75" customHeight="1" x14ac:dyDescent="0.15">
      <c r="G341" s="31"/>
      <c r="H341" s="62"/>
      <c r="I341" s="62"/>
      <c r="J341" s="62"/>
      <c r="L341" s="31"/>
      <c r="M341" s="54"/>
      <c r="N341" s="54"/>
      <c r="O341" s="54"/>
      <c r="R341" s="31"/>
      <c r="S341" s="31"/>
      <c r="T341" s="31"/>
      <c r="U341" s="31"/>
    </row>
    <row r="342" spans="5:21" ht="15.75" customHeight="1" x14ac:dyDescent="0.15">
      <c r="G342" s="31"/>
      <c r="H342" s="62"/>
      <c r="I342" s="62"/>
      <c r="J342" s="62"/>
      <c r="L342" s="31"/>
      <c r="M342" s="54"/>
      <c r="N342" s="54"/>
      <c r="O342" s="54"/>
      <c r="R342" s="31"/>
      <c r="S342" s="31"/>
      <c r="T342" s="31"/>
      <c r="U342" s="31"/>
    </row>
    <row r="343" spans="5:21" ht="15.75" customHeight="1" x14ac:dyDescent="0.15">
      <c r="G343" s="31"/>
      <c r="H343" s="62"/>
      <c r="I343" s="62"/>
      <c r="J343" s="62"/>
      <c r="L343" s="31"/>
      <c r="M343" s="54"/>
      <c r="N343" s="54"/>
      <c r="O343" s="54"/>
      <c r="R343" s="31"/>
      <c r="S343" s="31"/>
      <c r="T343" s="31"/>
      <c r="U343" s="31"/>
    </row>
    <row r="344" spans="5:21" ht="15.75" customHeight="1" x14ac:dyDescent="0.15">
      <c r="G344" s="31"/>
      <c r="H344" s="62"/>
      <c r="I344" s="62"/>
      <c r="J344" s="62"/>
      <c r="L344" s="31"/>
      <c r="M344" s="54"/>
      <c r="N344" s="54"/>
      <c r="O344" s="54"/>
      <c r="R344" s="31"/>
      <c r="S344" s="31"/>
      <c r="T344" s="31"/>
      <c r="U344" s="31"/>
    </row>
    <row r="345" spans="5:21" ht="15.75" customHeight="1" x14ac:dyDescent="0.15">
      <c r="G345" s="31"/>
      <c r="H345" s="62"/>
      <c r="I345" s="62"/>
      <c r="J345" s="62"/>
      <c r="L345" s="31"/>
      <c r="M345" s="54"/>
      <c r="N345" s="54"/>
      <c r="O345" s="54"/>
      <c r="R345" s="31"/>
      <c r="S345" s="31"/>
      <c r="T345" s="31"/>
      <c r="U345" s="31"/>
    </row>
    <row r="346" spans="5:21" ht="15.75" customHeight="1" x14ac:dyDescent="0.15">
      <c r="G346" s="31"/>
      <c r="H346" s="62"/>
      <c r="I346" s="62"/>
      <c r="J346" s="62"/>
      <c r="L346" s="31"/>
      <c r="M346" s="54"/>
      <c r="N346" s="54"/>
      <c r="O346" s="54"/>
      <c r="R346" s="31"/>
      <c r="S346" s="31"/>
      <c r="T346" s="31"/>
      <c r="U346" s="31"/>
    </row>
    <row r="347" spans="5:21" ht="15.75" customHeight="1" x14ac:dyDescent="0.15">
      <c r="G347" s="31"/>
      <c r="H347" s="62"/>
      <c r="I347" s="62"/>
      <c r="J347" s="62"/>
      <c r="L347" s="31"/>
      <c r="M347" s="54"/>
      <c r="N347" s="54"/>
      <c r="O347" s="54"/>
      <c r="R347" s="31"/>
      <c r="S347" s="31"/>
      <c r="T347" s="31"/>
      <c r="U347" s="31"/>
    </row>
    <row r="348" spans="5:21" ht="15.75" customHeight="1" x14ac:dyDescent="0.15">
      <c r="G348" s="31"/>
      <c r="H348" s="62"/>
      <c r="I348" s="62"/>
      <c r="J348" s="62"/>
      <c r="L348" s="31"/>
      <c r="M348" s="54"/>
      <c r="N348" s="54"/>
      <c r="O348" s="54"/>
      <c r="R348" s="31"/>
      <c r="S348" s="31"/>
      <c r="T348" s="31"/>
      <c r="U348" s="31"/>
    </row>
    <row r="349" spans="5:21" ht="15.75" customHeight="1" x14ac:dyDescent="0.15">
      <c r="G349" s="31"/>
      <c r="H349" s="62"/>
      <c r="I349" s="62"/>
      <c r="J349" s="62"/>
      <c r="L349" s="31"/>
      <c r="M349" s="54"/>
      <c r="N349" s="54"/>
      <c r="O349" s="54"/>
      <c r="R349" s="31"/>
      <c r="S349" s="31"/>
      <c r="T349" s="31"/>
      <c r="U349" s="31"/>
    </row>
    <row r="353" spans="1:42" ht="15.75" customHeight="1" x14ac:dyDescent="0.15">
      <c r="C353" t="s">
        <v>641</v>
      </c>
    </row>
    <row r="355" spans="1:42" ht="15.75" customHeight="1" x14ac:dyDescent="0.15">
      <c r="D355" s="93" t="s">
        <v>624</v>
      </c>
      <c r="E355" s="94"/>
      <c r="F355" s="95"/>
      <c r="G355" s="95"/>
      <c r="H355" s="95"/>
      <c r="I355" s="95"/>
      <c r="J355" s="95"/>
      <c r="K355" s="95"/>
      <c r="L355" s="95"/>
      <c r="M355" s="95"/>
      <c r="N355" s="96"/>
      <c r="O355" s="96"/>
      <c r="P355" s="97"/>
      <c r="Q355" s="98"/>
      <c r="R355" s="98"/>
      <c r="S355" s="97"/>
      <c r="T355" s="99"/>
      <c r="U355" s="99"/>
      <c r="V355" s="97"/>
      <c r="W355" s="97"/>
      <c r="X355" s="100"/>
    </row>
    <row r="356" spans="1:42" ht="15.75" customHeight="1" x14ac:dyDescent="0.15">
      <c r="D356" s="101"/>
      <c r="E356" s="319">
        <v>2.1000000000000001E-2</v>
      </c>
      <c r="F356" s="319"/>
      <c r="G356" s="319"/>
      <c r="H356" s="109" t="s">
        <v>625</v>
      </c>
      <c r="I356" s="110" t="s">
        <v>626</v>
      </c>
      <c r="J356" s="109" t="s">
        <v>625</v>
      </c>
      <c r="K356" s="110" t="s">
        <v>627</v>
      </c>
      <c r="L356" s="109" t="s">
        <v>628</v>
      </c>
      <c r="M356" s="319">
        <v>1.2999999999999999E-2</v>
      </c>
      <c r="N356" s="319"/>
      <c r="O356" s="319"/>
      <c r="P356" s="109" t="s">
        <v>629</v>
      </c>
      <c r="Q356" s="176">
        <v>0.04</v>
      </c>
      <c r="R356" s="176"/>
      <c r="S356" s="97"/>
      <c r="T356" s="97"/>
      <c r="U356" s="102"/>
      <c r="V356" s="94"/>
      <c r="W356" s="97"/>
      <c r="X356" s="103"/>
      <c r="Y356" s="103"/>
      <c r="Z356" s="104"/>
    </row>
    <row r="357" spans="1:42" ht="15.75" customHeight="1" x14ac:dyDescent="0.15">
      <c r="A357" s="320"/>
      <c r="B357" s="320"/>
      <c r="C357" s="320"/>
      <c r="D357" s="321"/>
      <c r="E357" s="322"/>
      <c r="F357" s="322"/>
      <c r="G357" s="322"/>
      <c r="H357" s="323"/>
      <c r="I357" s="324"/>
      <c r="J357" s="323"/>
      <c r="K357" s="324"/>
      <c r="L357" s="323"/>
      <c r="M357" s="322"/>
      <c r="N357" s="322"/>
      <c r="O357" s="322"/>
      <c r="P357" s="323"/>
      <c r="Q357" s="325"/>
      <c r="R357" s="325"/>
      <c r="S357" s="326"/>
      <c r="T357" s="326"/>
      <c r="U357" s="327"/>
      <c r="V357" s="328"/>
      <c r="W357" s="326"/>
      <c r="X357" s="329"/>
      <c r="Y357" s="329"/>
      <c r="Z357" s="330"/>
      <c r="AA357" s="320"/>
      <c r="AB357" s="320"/>
      <c r="AC357" s="320"/>
      <c r="AD357" s="320"/>
      <c r="AE357" s="320"/>
      <c r="AF357" s="320"/>
      <c r="AG357" s="320"/>
      <c r="AH357" s="320"/>
      <c r="AI357" s="320"/>
      <c r="AJ357" s="320"/>
      <c r="AK357" s="320"/>
      <c r="AL357" s="320"/>
      <c r="AM357" s="320"/>
      <c r="AN357" s="320"/>
      <c r="AO357" s="320"/>
      <c r="AP357" s="320"/>
    </row>
    <row r="358" spans="1:42" ht="15.75" customHeight="1" x14ac:dyDescent="0.15">
      <c r="D358" s="93" t="s">
        <v>386</v>
      </c>
      <c r="E358" s="94"/>
      <c r="F358" s="105"/>
      <c r="G358" s="94" t="s">
        <v>627</v>
      </c>
      <c r="H358" s="106" t="s">
        <v>388</v>
      </c>
      <c r="I358" s="93" t="s">
        <v>630</v>
      </c>
      <c r="J358" s="107"/>
      <c r="K358" s="107"/>
      <c r="L358" s="97" t="s">
        <v>631</v>
      </c>
      <c r="M358" s="94" t="s">
        <v>632</v>
      </c>
      <c r="N358" s="97" t="s">
        <v>633</v>
      </c>
      <c r="O358" s="94" t="s">
        <v>634</v>
      </c>
      <c r="P358" s="97" t="s">
        <v>625</v>
      </c>
      <c r="Q358" s="94" t="s">
        <v>635</v>
      </c>
      <c r="R358" s="108" t="s">
        <v>636</v>
      </c>
      <c r="S358" s="104"/>
      <c r="Y358" s="108"/>
    </row>
    <row r="359" spans="1:42" ht="15.75" customHeight="1" x14ac:dyDescent="0.15">
      <c r="D359" s="93"/>
      <c r="E359" s="94"/>
      <c r="F359" s="105"/>
      <c r="G359" s="94" t="s">
        <v>626</v>
      </c>
      <c r="H359" s="106" t="s">
        <v>388</v>
      </c>
      <c r="I359" s="93" t="s">
        <v>637</v>
      </c>
      <c r="J359" s="95"/>
      <c r="K359" s="95"/>
      <c r="L359" s="95"/>
      <c r="M359" s="95"/>
      <c r="N359" s="95"/>
      <c r="O359" s="95"/>
      <c r="P359" s="97"/>
      <c r="Q359" s="97"/>
      <c r="S359" s="310" t="s">
        <v>631</v>
      </c>
      <c r="T359" s="125">
        <f>AX20</f>
        <v>1.1499999999999999</v>
      </c>
      <c r="U359" s="125"/>
      <c r="V359" s="125"/>
      <c r="W359" s="311" t="s">
        <v>67</v>
      </c>
      <c r="X359" s="309">
        <f>AB15</f>
        <v>390</v>
      </c>
      <c r="Y359" s="309"/>
      <c r="Z359" s="309"/>
      <c r="AA359" s="312" t="s">
        <v>81</v>
      </c>
    </row>
    <row r="360" spans="1:42" ht="15.75" customHeight="1" x14ac:dyDescent="0.15">
      <c r="D360" s="93"/>
      <c r="E360" s="94"/>
      <c r="F360" s="105"/>
      <c r="G360" s="94"/>
      <c r="H360" s="106"/>
      <c r="I360" s="94" t="s">
        <v>627</v>
      </c>
      <c r="J360" s="95" t="s">
        <v>638</v>
      </c>
      <c r="K360" s="206">
        <f>AL312</f>
        <v>898.1</v>
      </c>
      <c r="L360" s="206"/>
      <c r="M360" s="206"/>
      <c r="N360" s="201" t="s">
        <v>633</v>
      </c>
      <c r="O360" s="201"/>
      <c r="P360" s="313">
        <f>X228</f>
        <v>1000</v>
      </c>
      <c r="Q360" s="202"/>
      <c r="R360" s="202"/>
      <c r="S360" s="97" t="s">
        <v>639</v>
      </c>
      <c r="T360" s="316">
        <f>S310</f>
        <v>150</v>
      </c>
      <c r="U360" s="316"/>
      <c r="V360" s="317" t="s">
        <v>640</v>
      </c>
      <c r="W360" s="97" t="s">
        <v>639</v>
      </c>
      <c r="X360" s="131">
        <v>100</v>
      </c>
      <c r="Y360" s="131"/>
      <c r="Z360" s="108" t="s">
        <v>13</v>
      </c>
      <c r="AA360" s="318">
        <f>ROUND(K360/(P360*T360),6)</f>
        <v>5.9870000000000001E-3</v>
      </c>
      <c r="AB360" s="318"/>
      <c r="AC360" s="318"/>
      <c r="AD360" s="318"/>
    </row>
    <row r="361" spans="1:42" ht="15.75" customHeight="1" x14ac:dyDescent="0.15">
      <c r="A361" s="320"/>
      <c r="B361" s="320"/>
      <c r="C361" s="320"/>
      <c r="D361" s="331"/>
      <c r="E361" s="328"/>
      <c r="F361" s="332"/>
      <c r="G361" s="328"/>
      <c r="H361" s="333"/>
      <c r="I361" s="328"/>
      <c r="J361" s="334"/>
      <c r="K361" s="333"/>
      <c r="L361" s="333"/>
      <c r="M361" s="333"/>
      <c r="N361" s="326"/>
      <c r="O361" s="326"/>
      <c r="P361" s="335"/>
      <c r="Q361" s="336"/>
      <c r="R361" s="336"/>
      <c r="S361" s="326"/>
      <c r="T361" s="337"/>
      <c r="U361" s="337"/>
      <c r="V361" s="338"/>
      <c r="W361" s="326"/>
      <c r="X361" s="339"/>
      <c r="Y361" s="339"/>
      <c r="Z361" s="340"/>
      <c r="AA361" s="341"/>
      <c r="AB361" s="341"/>
      <c r="AC361" s="341"/>
      <c r="AD361" s="341"/>
      <c r="AE361" s="320"/>
      <c r="AF361" s="320"/>
      <c r="AG361" s="320"/>
      <c r="AH361" s="320"/>
      <c r="AI361" s="320"/>
      <c r="AJ361" s="320"/>
      <c r="AK361" s="320"/>
      <c r="AL361" s="320"/>
      <c r="AM361" s="320"/>
      <c r="AN361" s="320"/>
      <c r="AO361" s="320"/>
      <c r="AP361" s="320"/>
    </row>
    <row r="362" spans="1:42" ht="15.75" customHeight="1" x14ac:dyDescent="0.15">
      <c r="D362" s="104"/>
      <c r="E362" s="203">
        <f>E356</f>
        <v>2.1000000000000001E-2</v>
      </c>
      <c r="F362" s="203"/>
      <c r="G362" s="203"/>
      <c r="H362" s="97" t="s">
        <v>639</v>
      </c>
      <c r="I362" s="205">
        <f>T359</f>
        <v>1.1499999999999999</v>
      </c>
      <c r="J362" s="204"/>
      <c r="K362" s="97" t="s">
        <v>639</v>
      </c>
      <c r="L362" s="203">
        <f>AA360*100</f>
        <v>0.59870000000000001</v>
      </c>
      <c r="M362" s="203"/>
      <c r="N362" s="203"/>
      <c r="O362" s="97" t="s">
        <v>628</v>
      </c>
      <c r="P362" s="134">
        <f>M356</f>
        <v>1.2999999999999999E-2</v>
      </c>
      <c r="Q362" s="134"/>
      <c r="R362" s="134"/>
      <c r="S362" s="104" t="s">
        <v>638</v>
      </c>
      <c r="T362" s="375">
        <f>ROUND(E362*I362*L362+P362,3)</f>
        <v>2.7E-2</v>
      </c>
      <c r="U362" s="375"/>
      <c r="V362" s="375"/>
      <c r="W362" s="97" t="str">
        <f>IF(T362&gt;X362,"＞","≦")</f>
        <v>≦</v>
      </c>
      <c r="X362" s="157">
        <v>0.04</v>
      </c>
      <c r="Y362" s="157"/>
      <c r="Z362" s="157"/>
      <c r="AA362" s="97"/>
      <c r="AB362" s="97"/>
    </row>
    <row r="364" spans="1:42" ht="15.75" customHeight="1" x14ac:dyDescent="0.15">
      <c r="C364" s="306" t="s">
        <v>642</v>
      </c>
    </row>
    <row r="366" spans="1:42" ht="15.75" customHeight="1" x14ac:dyDescent="0.15">
      <c r="D366" s="93" t="s">
        <v>643</v>
      </c>
      <c r="E366" s="93"/>
      <c r="F366" s="102"/>
      <c r="G366" s="342"/>
      <c r="H366" s="342"/>
      <c r="I366" s="343"/>
      <c r="J366" s="343"/>
      <c r="K366" s="344"/>
      <c r="L366" s="344"/>
      <c r="M366" s="345"/>
      <c r="N366" s="345"/>
      <c r="O366" s="345"/>
      <c r="P366" s="93"/>
      <c r="Q366" s="104"/>
      <c r="R366" s="104"/>
      <c r="S366" s="104"/>
      <c r="T366" s="104"/>
      <c r="U366" s="104"/>
      <c r="V366" s="104"/>
      <c r="W366" s="104"/>
      <c r="X366" s="104"/>
    </row>
    <row r="367" spans="1:42" ht="15.75" customHeight="1" x14ac:dyDescent="0.15">
      <c r="D367" s="93"/>
      <c r="E367" s="32" t="s">
        <v>644</v>
      </c>
      <c r="F367" s="346" t="s">
        <v>645</v>
      </c>
      <c r="G367" s="116" t="s">
        <v>646</v>
      </c>
      <c r="H367" s="116"/>
      <c r="I367" s="346" t="s">
        <v>647</v>
      </c>
      <c r="J367" s="116" t="s">
        <v>648</v>
      </c>
      <c r="K367" s="116"/>
      <c r="L367" s="346" t="s">
        <v>649</v>
      </c>
      <c r="M367" s="347">
        <v>0.1</v>
      </c>
      <c r="N367" s="347"/>
      <c r="O367" s="345"/>
      <c r="P367" s="93"/>
      <c r="Q367" s="104"/>
      <c r="R367" s="104"/>
      <c r="S367" s="104"/>
      <c r="T367" s="104"/>
      <c r="U367" s="104"/>
      <c r="V367" s="104"/>
      <c r="W367" s="104"/>
      <c r="X367" s="104"/>
    </row>
    <row r="368" spans="1:42" ht="15.75" customHeight="1" x14ac:dyDescent="0.15">
      <c r="D368" s="93"/>
      <c r="E368" s="32"/>
      <c r="F368" s="346"/>
      <c r="G368" s="32"/>
      <c r="H368" s="32"/>
      <c r="I368" s="346"/>
      <c r="J368" s="32"/>
      <c r="K368" s="32"/>
      <c r="L368" s="346"/>
      <c r="M368" s="357"/>
      <c r="N368" s="357"/>
      <c r="O368" s="345"/>
      <c r="P368" s="93"/>
      <c r="Q368" s="104"/>
      <c r="R368" s="104"/>
      <c r="S368" s="104"/>
      <c r="T368" s="104"/>
      <c r="U368" s="104"/>
      <c r="V368" s="104"/>
      <c r="W368" s="104"/>
      <c r="X368" s="104"/>
    </row>
    <row r="369" spans="1:42" ht="15.75" customHeight="1" x14ac:dyDescent="0.15">
      <c r="D369" s="93" t="s">
        <v>386</v>
      </c>
      <c r="E369" s="93"/>
      <c r="F369" s="102"/>
      <c r="G369" s="94" t="s">
        <v>650</v>
      </c>
      <c r="H369" s="348" t="s">
        <v>651</v>
      </c>
      <c r="I369" s="93" t="s">
        <v>652</v>
      </c>
      <c r="J369" s="343"/>
      <c r="K369" s="344"/>
      <c r="L369" s="344"/>
      <c r="M369" s="345"/>
      <c r="N369" s="345"/>
      <c r="O369" s="345"/>
      <c r="P369" s="93"/>
      <c r="Q369" s="104"/>
      <c r="R369" s="104"/>
      <c r="S369" s="104"/>
      <c r="T369" s="104"/>
      <c r="U369" s="104"/>
    </row>
    <row r="370" spans="1:42" ht="15.75" customHeight="1" x14ac:dyDescent="0.15">
      <c r="D370" s="93"/>
      <c r="E370" s="93"/>
      <c r="F370" s="102"/>
      <c r="G370" s="94"/>
      <c r="H370" s="348"/>
      <c r="I370" s="94" t="s">
        <v>627</v>
      </c>
      <c r="J370" s="95" t="s">
        <v>638</v>
      </c>
      <c r="K370" s="206">
        <f>K360</f>
        <v>898.1</v>
      </c>
      <c r="L370" s="206"/>
      <c r="M370" s="206"/>
      <c r="N370" s="97" t="s">
        <v>633</v>
      </c>
      <c r="O370" s="313">
        <f>P360</f>
        <v>1000</v>
      </c>
      <c r="P370" s="202"/>
      <c r="Q370" s="202"/>
      <c r="R370" s="97" t="s">
        <v>639</v>
      </c>
      <c r="S370" s="358">
        <f>T360</f>
        <v>150</v>
      </c>
      <c r="T370" s="358"/>
      <c r="U370" s="317" t="s">
        <v>640</v>
      </c>
      <c r="V370" s="97" t="s">
        <v>639</v>
      </c>
      <c r="W370" s="131">
        <v>100</v>
      </c>
      <c r="X370" s="131"/>
      <c r="Y370" s="108" t="s">
        <v>13</v>
      </c>
      <c r="Z370" s="359">
        <f>ROUND(K370/(O370*S370),6)</f>
        <v>5.9870000000000001E-3</v>
      </c>
      <c r="AA370" s="359"/>
      <c r="AB370" s="359"/>
    </row>
    <row r="371" spans="1:42" ht="15.75" customHeight="1" x14ac:dyDescent="0.15">
      <c r="D371" s="93"/>
      <c r="E371" s="93"/>
      <c r="F371" s="102"/>
      <c r="G371" s="94" t="s">
        <v>654</v>
      </c>
      <c r="H371" s="348" t="s">
        <v>651</v>
      </c>
      <c r="I371" s="93" t="s">
        <v>655</v>
      </c>
      <c r="J371" s="343"/>
      <c r="K371" s="344"/>
      <c r="L371" s="344"/>
      <c r="M371" s="345"/>
      <c r="N371" s="345"/>
      <c r="O371" s="345"/>
      <c r="P371" s="93"/>
      <c r="Q371" s="104"/>
      <c r="R371" s="104"/>
      <c r="S371" s="104"/>
      <c r="T371" s="104"/>
      <c r="U371" s="104"/>
      <c r="V371" s="104"/>
      <c r="W371" s="104"/>
      <c r="X371" s="104"/>
    </row>
    <row r="372" spans="1:42" ht="15.75" customHeight="1" x14ac:dyDescent="0.15">
      <c r="D372" s="93"/>
      <c r="E372" s="93"/>
      <c r="F372" s="102"/>
      <c r="G372" s="94" t="s">
        <v>656</v>
      </c>
      <c r="H372" s="348" t="s">
        <v>651</v>
      </c>
      <c r="I372" s="93" t="s">
        <v>657</v>
      </c>
      <c r="J372" s="343"/>
      <c r="K372" s="344"/>
      <c r="L372" s="344"/>
      <c r="M372" s="345"/>
      <c r="N372" s="345"/>
      <c r="O372" s="345"/>
      <c r="P372" s="93"/>
      <c r="Q372" s="104"/>
      <c r="R372" s="104"/>
      <c r="S372" s="104"/>
      <c r="T372" s="104"/>
      <c r="U372" s="104"/>
      <c r="V372" s="104"/>
      <c r="W372" s="104"/>
      <c r="X372" s="104"/>
    </row>
    <row r="373" spans="1:42" ht="15.75" customHeight="1" x14ac:dyDescent="0.15">
      <c r="D373" s="93"/>
      <c r="E373" s="104"/>
      <c r="F373" s="104"/>
      <c r="G373" s="94" t="s">
        <v>658</v>
      </c>
      <c r="H373" s="348" t="s">
        <v>651</v>
      </c>
      <c r="I373" s="93" t="s">
        <v>659</v>
      </c>
      <c r="J373" s="104"/>
      <c r="K373" s="104"/>
      <c r="L373" s="104"/>
      <c r="M373" s="104"/>
      <c r="N373" s="104"/>
      <c r="O373" s="104"/>
      <c r="P373" s="68"/>
      <c r="Q373" s="104"/>
      <c r="R373" s="104"/>
      <c r="S373" s="104"/>
      <c r="T373" s="104"/>
      <c r="U373" s="104"/>
      <c r="V373" s="104"/>
      <c r="AD373" s="104"/>
    </row>
    <row r="374" spans="1:42" ht="15.75" customHeight="1" x14ac:dyDescent="0.15">
      <c r="D374" s="93"/>
      <c r="E374" s="104"/>
      <c r="F374" s="104"/>
      <c r="G374" s="102" t="s">
        <v>660</v>
      </c>
      <c r="H374" s="348" t="s">
        <v>651</v>
      </c>
      <c r="I374" s="95" t="s">
        <v>661</v>
      </c>
      <c r="J374" s="348"/>
      <c r="K374" s="106"/>
      <c r="L374" s="348"/>
      <c r="M374" s="106"/>
      <c r="N374" s="348"/>
      <c r="O374" s="106"/>
      <c r="P374" s="348"/>
    </row>
    <row r="375" spans="1:42" ht="15.75" customHeight="1" x14ac:dyDescent="0.15">
      <c r="D375" s="93"/>
      <c r="E375" s="104"/>
      <c r="F375" s="104"/>
      <c r="G375" s="102" t="s">
        <v>664</v>
      </c>
      <c r="H375" s="348" t="s">
        <v>651</v>
      </c>
      <c r="I375" s="93" t="s">
        <v>665</v>
      </c>
      <c r="J375" s="93"/>
      <c r="K375" s="93"/>
      <c r="L375" s="93"/>
      <c r="M375" s="93"/>
      <c r="N375" s="93"/>
      <c r="O375" s="93"/>
      <c r="P375" s="93"/>
      <c r="Q375" s="93"/>
    </row>
    <row r="376" spans="1:42" ht="15.75" customHeight="1" x14ac:dyDescent="0.15">
      <c r="D376" s="93"/>
      <c r="E376" s="104"/>
      <c r="F376" s="104"/>
      <c r="G376" s="102"/>
      <c r="H376" s="348"/>
      <c r="I376" s="102" t="s">
        <v>664</v>
      </c>
      <c r="J376" s="348" t="s">
        <v>653</v>
      </c>
      <c r="K376" s="104" t="s">
        <v>666</v>
      </c>
      <c r="L376" s="348" t="s">
        <v>647</v>
      </c>
      <c r="M376" s="106" t="s">
        <v>667</v>
      </c>
      <c r="N376" s="349" t="s">
        <v>229</v>
      </c>
      <c r="O376" s="360" t="s">
        <v>672</v>
      </c>
      <c r="P376" s="360"/>
      <c r="Q376" s="360"/>
      <c r="R376" s="360"/>
      <c r="S376" s="106" t="s">
        <v>662</v>
      </c>
      <c r="T376" s="350">
        <v>1275</v>
      </c>
      <c r="U376" s="350"/>
      <c r="V376" s="350"/>
      <c r="W376" s="351" t="s">
        <v>663</v>
      </c>
    </row>
    <row r="377" spans="1:42" ht="15.75" customHeight="1" x14ac:dyDescent="0.15">
      <c r="D377" s="93"/>
      <c r="E377" s="104"/>
      <c r="F377" s="104"/>
      <c r="G377" s="102" t="s">
        <v>666</v>
      </c>
      <c r="H377" s="348" t="s">
        <v>651</v>
      </c>
      <c r="I377" s="93" t="s">
        <v>668</v>
      </c>
      <c r="J377" s="102"/>
      <c r="K377" s="348"/>
      <c r="L377" s="94"/>
      <c r="M377" s="94"/>
      <c r="N377" s="348"/>
      <c r="O377" s="106"/>
      <c r="P377" s="93"/>
      <c r="Q377" s="93"/>
      <c r="W377" s="102" t="s">
        <v>666</v>
      </c>
      <c r="X377" s="348" t="s">
        <v>653</v>
      </c>
      <c r="Y377" s="361">
        <f>Y73</f>
        <v>24</v>
      </c>
      <c r="Z377" s="362"/>
      <c r="AA377" s="351" t="s">
        <v>663</v>
      </c>
    </row>
    <row r="378" spans="1:42" ht="15.75" customHeight="1" x14ac:dyDescent="0.15">
      <c r="D378" s="93"/>
      <c r="E378" s="104"/>
      <c r="F378" s="104"/>
      <c r="G378" s="106" t="s">
        <v>667</v>
      </c>
      <c r="H378" s="348" t="s">
        <v>651</v>
      </c>
      <c r="I378" s="93" t="s">
        <v>669</v>
      </c>
      <c r="J378" s="93"/>
      <c r="K378" s="93"/>
      <c r="L378" s="93"/>
      <c r="M378" s="93"/>
      <c r="N378" s="93"/>
      <c r="O378" s="93"/>
      <c r="R378" s="352" t="s">
        <v>670</v>
      </c>
      <c r="S378" s="363">
        <f>U172</f>
        <v>1.3</v>
      </c>
      <c r="T378" s="363"/>
      <c r="U378" s="353" t="s">
        <v>671</v>
      </c>
      <c r="V378" s="93"/>
    </row>
    <row r="379" spans="1:42" ht="15.75" customHeight="1" x14ac:dyDescent="0.15">
      <c r="D379" s="93"/>
      <c r="E379" s="104"/>
      <c r="F379" s="104"/>
      <c r="G379" s="106"/>
      <c r="H379" s="348"/>
      <c r="I379" s="93"/>
      <c r="J379" s="93"/>
      <c r="K379" s="93"/>
      <c r="L379" s="93"/>
      <c r="M379" s="93"/>
      <c r="N379" s="93"/>
      <c r="O379" s="93"/>
      <c r="R379" s="352"/>
      <c r="S379" s="364"/>
      <c r="T379" s="364"/>
      <c r="U379" s="353"/>
      <c r="V379" s="93"/>
    </row>
    <row r="380" spans="1:42" ht="15.75" customHeight="1" x14ac:dyDescent="0.15">
      <c r="D380" s="93"/>
      <c r="E380" s="367">
        <f>Z370</f>
        <v>5.9870000000000001E-3</v>
      </c>
      <c r="F380" s="367"/>
      <c r="G380" s="367"/>
      <c r="H380" s="109" t="s">
        <v>639</v>
      </c>
      <c r="I380" s="365">
        <f>AB15</f>
        <v>390</v>
      </c>
      <c r="J380" s="365"/>
      <c r="K380" s="354" t="s">
        <v>647</v>
      </c>
      <c r="L380" s="355">
        <f>Y377</f>
        <v>24</v>
      </c>
      <c r="M380" s="355"/>
      <c r="N380" s="355"/>
      <c r="O380" s="366">
        <f>S378</f>
        <v>1.3</v>
      </c>
      <c r="P380" s="366"/>
      <c r="Q380" s="104" t="s">
        <v>640</v>
      </c>
      <c r="R380" s="97" t="s">
        <v>631</v>
      </c>
      <c r="S380" s="375">
        <f>ROUND(E380*I380/(L380/O380),3)</f>
        <v>0.126</v>
      </c>
      <c r="T380" s="375"/>
      <c r="U380" s="375"/>
      <c r="V380" s="97" t="str">
        <f>IF(S380&gt;W380,"＞","≦")</f>
        <v>＞</v>
      </c>
      <c r="W380" s="356">
        <v>0.1</v>
      </c>
      <c r="X380" s="356"/>
      <c r="Y380" s="104"/>
      <c r="Z380" s="104"/>
      <c r="AA380" s="104"/>
      <c r="AB380" s="104"/>
      <c r="AH380" s="93"/>
    </row>
    <row r="381" spans="1:42" ht="15.75" customHeight="1" x14ac:dyDescent="0.15">
      <c r="A381" s="320"/>
      <c r="B381" s="320"/>
      <c r="C381" s="320"/>
      <c r="D381" s="331"/>
      <c r="E381" s="368"/>
      <c r="F381" s="368"/>
      <c r="G381" s="368"/>
      <c r="H381" s="323"/>
      <c r="I381" s="369"/>
      <c r="J381" s="369"/>
      <c r="K381" s="370"/>
      <c r="L381" s="371"/>
      <c r="M381" s="371"/>
      <c r="N381" s="371"/>
      <c r="O381" s="372"/>
      <c r="P381" s="372"/>
      <c r="Q381" s="330"/>
      <c r="R381" s="326"/>
      <c r="S381" s="373"/>
      <c r="T381" s="373"/>
      <c r="U381" s="373"/>
      <c r="V381" s="326"/>
      <c r="W381" s="374"/>
      <c r="X381" s="374"/>
      <c r="Y381" s="330"/>
      <c r="Z381" s="330"/>
      <c r="AA381" s="330"/>
      <c r="AB381" s="330"/>
      <c r="AC381" s="320"/>
      <c r="AD381" s="320"/>
      <c r="AE381" s="320"/>
      <c r="AF381" s="320"/>
      <c r="AG381" s="320"/>
      <c r="AH381" s="331"/>
      <c r="AI381" s="320"/>
      <c r="AJ381" s="320"/>
      <c r="AK381" s="320"/>
      <c r="AL381" s="320"/>
      <c r="AM381" s="320"/>
      <c r="AN381" s="320"/>
      <c r="AO381" s="320"/>
      <c r="AP381" s="320"/>
    </row>
    <row r="383" spans="1:42" ht="15.75" customHeight="1" x14ac:dyDescent="0.15">
      <c r="C383" t="s">
        <v>678</v>
      </c>
      <c r="AL383" s="27">
        <v>13</v>
      </c>
      <c r="AM383" s="27">
        <v>126.7</v>
      </c>
    </row>
    <row r="384" spans="1:42" ht="15.75" customHeight="1" x14ac:dyDescent="0.15">
      <c r="AL384" s="27">
        <v>16</v>
      </c>
      <c r="AM384" s="27">
        <v>198.6</v>
      </c>
    </row>
    <row r="385" spans="3:39" ht="15.75" customHeight="1" x14ac:dyDescent="0.15">
      <c r="C385" s="27" t="s">
        <v>367</v>
      </c>
      <c r="AL385" s="27">
        <v>19</v>
      </c>
      <c r="AM385" s="27">
        <v>286.5</v>
      </c>
    </row>
    <row r="386" spans="3:39" ht="15.75" customHeight="1" x14ac:dyDescent="0.15">
      <c r="C386" s="27" t="s">
        <v>368</v>
      </c>
      <c r="AL386" s="27">
        <v>22</v>
      </c>
      <c r="AM386" s="27">
        <v>387.1</v>
      </c>
    </row>
    <row r="387" spans="3:39" ht="15.75" customHeight="1" x14ac:dyDescent="0.15">
      <c r="AL387" s="27">
        <v>25</v>
      </c>
      <c r="AM387" s="27">
        <v>506.7</v>
      </c>
    </row>
    <row r="388" spans="3:39" ht="15.75" customHeight="1" x14ac:dyDescent="0.15">
      <c r="C388" s="265"/>
      <c r="D388" s="242"/>
      <c r="E388" s="242"/>
      <c r="F388" s="242"/>
      <c r="G388" s="242"/>
      <c r="H388" s="243"/>
      <c r="I388" s="270" t="s">
        <v>370</v>
      </c>
      <c r="J388" s="242"/>
      <c r="K388" s="242"/>
      <c r="L388" s="242"/>
      <c r="M388" s="242"/>
      <c r="N388" s="241" t="s">
        <v>369</v>
      </c>
      <c r="O388" s="242"/>
      <c r="P388" s="242"/>
      <c r="Q388" s="242"/>
      <c r="R388" s="241" t="s">
        <v>371</v>
      </c>
      <c r="S388" s="242"/>
      <c r="T388" s="242"/>
      <c r="U388" s="242"/>
      <c r="V388" s="241" t="s">
        <v>372</v>
      </c>
      <c r="W388" s="242"/>
      <c r="X388" s="242"/>
      <c r="Y388" s="242"/>
      <c r="Z388" s="242"/>
      <c r="AA388" s="242"/>
      <c r="AB388" s="241" t="s">
        <v>373</v>
      </c>
      <c r="AC388" s="242"/>
      <c r="AD388" s="242"/>
      <c r="AE388" s="242"/>
      <c r="AF388" s="242"/>
      <c r="AG388" s="243"/>
      <c r="AL388" s="27">
        <v>29</v>
      </c>
      <c r="AM388" s="27">
        <v>642.4</v>
      </c>
    </row>
    <row r="389" spans="3:39" ht="15.75" customHeight="1" x14ac:dyDescent="0.15">
      <c r="C389" s="266"/>
      <c r="D389" s="244"/>
      <c r="E389" s="244"/>
      <c r="F389" s="244"/>
      <c r="G389" s="244"/>
      <c r="H389" s="245"/>
      <c r="I389" s="269"/>
      <c r="J389" s="244"/>
      <c r="K389" s="244"/>
      <c r="L389" s="244"/>
      <c r="M389" s="244"/>
      <c r="N389" s="244"/>
      <c r="O389" s="244"/>
      <c r="P389" s="244"/>
      <c r="Q389" s="244"/>
      <c r="R389" s="244"/>
      <c r="S389" s="244"/>
      <c r="T389" s="244"/>
      <c r="U389" s="244"/>
      <c r="V389" s="244"/>
      <c r="W389" s="244"/>
      <c r="X389" s="244"/>
      <c r="Y389" s="244"/>
      <c r="Z389" s="244"/>
      <c r="AA389" s="244"/>
      <c r="AB389" s="244"/>
      <c r="AC389" s="244"/>
      <c r="AD389" s="244"/>
      <c r="AE389" s="244"/>
      <c r="AF389" s="244"/>
      <c r="AG389" s="245"/>
      <c r="AL389" s="27">
        <v>32</v>
      </c>
      <c r="AM389" s="27">
        <v>794.2</v>
      </c>
    </row>
    <row r="390" spans="3:39" ht="15.75" customHeight="1" x14ac:dyDescent="0.15">
      <c r="C390" s="271" t="s">
        <v>269</v>
      </c>
      <c r="D390" s="272"/>
      <c r="E390" s="272"/>
      <c r="F390" s="272"/>
      <c r="G390" s="272" t="s">
        <v>364</v>
      </c>
      <c r="H390" s="275"/>
      <c r="I390" s="263">
        <f>Z16</f>
        <v>32</v>
      </c>
      <c r="J390" s="263"/>
      <c r="K390" s="61" t="s">
        <v>164</v>
      </c>
      <c r="L390" s="416">
        <f>AC16</f>
        <v>6.67</v>
      </c>
      <c r="M390" s="264"/>
      <c r="N390" s="262">
        <f>VLOOKUP(I390,AL383:AM393,2,FALSE)*L390</f>
        <v>5297.3140000000003</v>
      </c>
      <c r="O390" s="262"/>
      <c r="P390" s="262"/>
      <c r="Q390" s="262"/>
      <c r="R390" s="262">
        <f>N390/6</f>
        <v>882.88566666666668</v>
      </c>
      <c r="S390" s="262"/>
      <c r="T390" s="262"/>
      <c r="U390" s="262"/>
      <c r="V390" s="246">
        <f>N392</f>
        <v>993</v>
      </c>
      <c r="W390" s="247"/>
      <c r="X390" s="247"/>
      <c r="Y390" s="247"/>
      <c r="Z390" s="250" t="str">
        <f>IF(V390&gt;R390,"(OK)","(NG)")</f>
        <v>(OK)</v>
      </c>
      <c r="AA390" s="251"/>
      <c r="AB390" s="254">
        <f>N391</f>
        <v>4284.808</v>
      </c>
      <c r="AC390" s="247"/>
      <c r="AD390" s="247"/>
      <c r="AE390" s="247"/>
      <c r="AF390" s="250" t="str">
        <f>IF(AB390&gt;R390,"(OK)","(NG)")</f>
        <v>(OK)</v>
      </c>
      <c r="AG390" s="255"/>
      <c r="AL390" s="27">
        <v>35</v>
      </c>
      <c r="AM390" s="27">
        <v>956.6</v>
      </c>
    </row>
    <row r="391" spans="3:39" ht="15.75" customHeight="1" x14ac:dyDescent="0.15">
      <c r="C391" s="273"/>
      <c r="D391" s="274"/>
      <c r="E391" s="274"/>
      <c r="F391" s="274"/>
      <c r="G391" s="274" t="s">
        <v>365</v>
      </c>
      <c r="H391" s="276"/>
      <c r="I391" s="267">
        <f>Z17</f>
        <v>29</v>
      </c>
      <c r="J391" s="267"/>
      <c r="K391" s="59" t="s">
        <v>164</v>
      </c>
      <c r="L391" s="417">
        <f>AC17</f>
        <v>6.67</v>
      </c>
      <c r="M391" s="268"/>
      <c r="N391" s="258">
        <f>VLOOKUP(I391,AL383:AM393,2,FALSE)*L391</f>
        <v>4284.808</v>
      </c>
      <c r="O391" s="258"/>
      <c r="P391" s="258"/>
      <c r="Q391" s="258"/>
      <c r="R391" s="258">
        <f>N391/6</f>
        <v>714.1346666666667</v>
      </c>
      <c r="S391" s="258"/>
      <c r="T391" s="258"/>
      <c r="U391" s="258"/>
      <c r="V391" s="248">
        <f>N393</f>
        <v>993</v>
      </c>
      <c r="W391" s="249"/>
      <c r="X391" s="249"/>
      <c r="Y391" s="249"/>
      <c r="Z391" s="252" t="str">
        <f>IF(V391&gt;R391,"(OK)","(NG)")</f>
        <v>(OK)</v>
      </c>
      <c r="AA391" s="253"/>
      <c r="AB391" s="256">
        <f>N390</f>
        <v>5297.3140000000003</v>
      </c>
      <c r="AC391" s="249"/>
      <c r="AD391" s="249"/>
      <c r="AE391" s="249"/>
      <c r="AF391" s="252" t="str">
        <f>IF(AB391&gt;R391,"(OK)","(NG)")</f>
        <v>(OK)</v>
      </c>
      <c r="AG391" s="257"/>
      <c r="AL391" s="27">
        <v>38</v>
      </c>
      <c r="AM391" s="27">
        <v>1140</v>
      </c>
    </row>
    <row r="392" spans="3:39" ht="15.75" customHeight="1" x14ac:dyDescent="0.15">
      <c r="C392" s="273" t="s">
        <v>362</v>
      </c>
      <c r="D392" s="274"/>
      <c r="E392" s="274"/>
      <c r="F392" s="274"/>
      <c r="G392" s="274" t="s">
        <v>364</v>
      </c>
      <c r="H392" s="276"/>
      <c r="I392" s="410">
        <v>16</v>
      </c>
      <c r="J392" s="410"/>
      <c r="K392" s="59" t="s">
        <v>164</v>
      </c>
      <c r="L392" s="412">
        <v>5</v>
      </c>
      <c r="M392" s="413"/>
      <c r="N392" s="258">
        <f>VLOOKUP(I392,AL383:AM393,2,FALSE)*L392</f>
        <v>993</v>
      </c>
      <c r="O392" s="258"/>
      <c r="P392" s="258"/>
      <c r="Q392" s="258"/>
      <c r="R392" s="258">
        <f>N392/6</f>
        <v>165.5</v>
      </c>
      <c r="S392" s="258"/>
      <c r="T392" s="258"/>
      <c r="U392" s="258"/>
      <c r="V392" s="248">
        <f>N390</f>
        <v>5297.3140000000003</v>
      </c>
      <c r="W392" s="249"/>
      <c r="X392" s="249"/>
      <c r="Y392" s="249"/>
      <c r="Z392" s="252" t="str">
        <f>IF(V392&gt;R392,"(OK)","(NG)")</f>
        <v>(OK)</v>
      </c>
      <c r="AA392" s="253"/>
      <c r="AB392" s="256">
        <f>N393</f>
        <v>993</v>
      </c>
      <c r="AC392" s="249"/>
      <c r="AD392" s="249"/>
      <c r="AE392" s="249"/>
      <c r="AF392" s="252" t="str">
        <f>IF(AB392&gt;R392,"(OK)","(NG)")</f>
        <v>(OK)</v>
      </c>
      <c r="AG392" s="257"/>
      <c r="AL392" s="27">
        <v>41</v>
      </c>
      <c r="AM392" s="27">
        <v>1340</v>
      </c>
    </row>
    <row r="393" spans="3:39" ht="15.75" customHeight="1" x14ac:dyDescent="0.15">
      <c r="C393" s="266"/>
      <c r="D393" s="244"/>
      <c r="E393" s="244"/>
      <c r="F393" s="244"/>
      <c r="G393" s="244" t="s">
        <v>365</v>
      </c>
      <c r="H393" s="245"/>
      <c r="I393" s="411">
        <v>16</v>
      </c>
      <c r="J393" s="411"/>
      <c r="K393" s="60" t="s">
        <v>164</v>
      </c>
      <c r="L393" s="414">
        <v>5</v>
      </c>
      <c r="M393" s="415"/>
      <c r="N393" s="259">
        <f>VLOOKUP(I393,AL383:AM393,2,FALSE)*L393</f>
        <v>993</v>
      </c>
      <c r="O393" s="259"/>
      <c r="P393" s="259"/>
      <c r="Q393" s="259"/>
      <c r="R393" s="259">
        <f>N393/6</f>
        <v>165.5</v>
      </c>
      <c r="S393" s="259"/>
      <c r="T393" s="259"/>
      <c r="U393" s="259"/>
      <c r="V393" s="260">
        <f>N391</f>
        <v>4284.808</v>
      </c>
      <c r="W393" s="237"/>
      <c r="X393" s="237"/>
      <c r="Y393" s="237"/>
      <c r="Z393" s="238" t="str">
        <f>IF(V393&gt;R393,"(OK)","(NG)")</f>
        <v>(OK)</v>
      </c>
      <c r="AA393" s="261"/>
      <c r="AB393" s="236">
        <f>N392</f>
        <v>993</v>
      </c>
      <c r="AC393" s="237"/>
      <c r="AD393" s="237"/>
      <c r="AE393" s="237"/>
      <c r="AF393" s="238" t="str">
        <f>IF(AB393&gt;R393,"(OK)","(NG)")</f>
        <v>(OK)</v>
      </c>
      <c r="AG393" s="239"/>
      <c r="AL393" s="27">
        <v>51</v>
      </c>
      <c r="AM393" s="27">
        <v>2027</v>
      </c>
    </row>
    <row r="394" spans="3:39" ht="15.75" customHeight="1" x14ac:dyDescent="0.15">
      <c r="J394" s="57"/>
      <c r="K394" s="57"/>
      <c r="L394" s="32"/>
      <c r="T394" s="31"/>
      <c r="U394" s="31"/>
      <c r="V394" s="58"/>
      <c r="W394" s="58"/>
      <c r="X394" s="58"/>
      <c r="Y394" s="58"/>
      <c r="Z394" s="34"/>
      <c r="AA394" s="31"/>
    </row>
    <row r="395" spans="3:39" ht="15.75" customHeight="1" x14ac:dyDescent="0.15">
      <c r="J395" s="57"/>
      <c r="K395" s="57"/>
      <c r="L395" s="32"/>
      <c r="T395" s="31"/>
      <c r="U395" s="31"/>
      <c r="V395" s="58"/>
      <c r="W395" s="58"/>
      <c r="X395" s="58"/>
      <c r="Y395" s="58"/>
      <c r="Z395" s="34"/>
      <c r="AA395" s="31"/>
    </row>
  </sheetData>
  <mergeCells count="463">
    <mergeCell ref="AF392:AG392"/>
    <mergeCell ref="G393:H393"/>
    <mergeCell ref="I393:J393"/>
    <mergeCell ref="L393:M393"/>
    <mergeCell ref="N393:Q393"/>
    <mergeCell ref="R393:U393"/>
    <mergeCell ref="V393:Y393"/>
    <mergeCell ref="Z393:AA393"/>
    <mergeCell ref="AB393:AE393"/>
    <mergeCell ref="AF393:AG393"/>
    <mergeCell ref="C392:F393"/>
    <mergeCell ref="G392:H392"/>
    <mergeCell ref="I392:J392"/>
    <mergeCell ref="L392:M392"/>
    <mergeCell ref="N392:Q392"/>
    <mergeCell ref="R392:U392"/>
    <mergeCell ref="V392:Y392"/>
    <mergeCell ref="Z392:AA392"/>
    <mergeCell ref="AB392:AE392"/>
    <mergeCell ref="AF390:AG390"/>
    <mergeCell ref="G391:H391"/>
    <mergeCell ref="I391:J391"/>
    <mergeCell ref="L391:M391"/>
    <mergeCell ref="N391:Q391"/>
    <mergeCell ref="R391:U391"/>
    <mergeCell ref="V391:Y391"/>
    <mergeCell ref="Z391:AA391"/>
    <mergeCell ref="AB391:AE391"/>
    <mergeCell ref="AF391:AG391"/>
    <mergeCell ref="C390:F391"/>
    <mergeCell ref="G390:H390"/>
    <mergeCell ref="I390:J390"/>
    <mergeCell ref="L390:M390"/>
    <mergeCell ref="N390:Q390"/>
    <mergeCell ref="R390:U390"/>
    <mergeCell ref="V390:Y390"/>
    <mergeCell ref="Z390:AA390"/>
    <mergeCell ref="AB390:AE390"/>
    <mergeCell ref="E380:G380"/>
    <mergeCell ref="I380:J380"/>
    <mergeCell ref="L380:N380"/>
    <mergeCell ref="O380:P380"/>
    <mergeCell ref="S380:U380"/>
    <mergeCell ref="W380:X380"/>
    <mergeCell ref="AX20:AY20"/>
    <mergeCell ref="C388:H389"/>
    <mergeCell ref="I388:M389"/>
    <mergeCell ref="N388:Q389"/>
    <mergeCell ref="R388:U389"/>
    <mergeCell ref="V388:AA389"/>
    <mergeCell ref="AB388:AG389"/>
    <mergeCell ref="K370:M370"/>
    <mergeCell ref="O370:Q370"/>
    <mergeCell ref="S370:T370"/>
    <mergeCell ref="W370:X370"/>
    <mergeCell ref="Z370:AB370"/>
    <mergeCell ref="O376:R376"/>
    <mergeCell ref="T376:V376"/>
    <mergeCell ref="Y377:Z377"/>
    <mergeCell ref="S378:T378"/>
    <mergeCell ref="AA360:AD360"/>
    <mergeCell ref="E362:G362"/>
    <mergeCell ref="I362:J362"/>
    <mergeCell ref="L362:N362"/>
    <mergeCell ref="P362:R362"/>
    <mergeCell ref="T362:V362"/>
    <mergeCell ref="X362:Z362"/>
    <mergeCell ref="G367:H367"/>
    <mergeCell ref="J367:K367"/>
    <mergeCell ref="M367:N367"/>
    <mergeCell ref="E356:G356"/>
    <mergeCell ref="M356:O356"/>
    <mergeCell ref="Q356:R356"/>
    <mergeCell ref="T359:V359"/>
    <mergeCell ref="X359:Z359"/>
    <mergeCell ref="K360:M360"/>
    <mergeCell ref="N360:O360"/>
    <mergeCell ref="P360:R360"/>
    <mergeCell ref="T360:U360"/>
    <mergeCell ref="X360:Y360"/>
    <mergeCell ref="Q325:S325"/>
    <mergeCell ref="U325:V325"/>
    <mergeCell ref="X325:Z325"/>
    <mergeCell ref="Q326:S326"/>
    <mergeCell ref="U326:V326"/>
    <mergeCell ref="X326:Z326"/>
    <mergeCell ref="Q327:S327"/>
    <mergeCell ref="U327:V327"/>
    <mergeCell ref="X327:Z327"/>
    <mergeCell ref="O312:O313"/>
    <mergeCell ref="P312:P313"/>
    <mergeCell ref="Q312:R313"/>
    <mergeCell ref="AL312:AN312"/>
    <mergeCell ref="I313:K313"/>
    <mergeCell ref="M313:N313"/>
    <mergeCell ref="H314:J314"/>
    <mergeCell ref="M314:O314"/>
    <mergeCell ref="R314:S314"/>
    <mergeCell ref="T314:U314"/>
    <mergeCell ref="K310:L310"/>
    <mergeCell ref="N310:O310"/>
    <mergeCell ref="Q310:R310"/>
    <mergeCell ref="S310:T310"/>
    <mergeCell ref="F312:F313"/>
    <mergeCell ref="G312:G313"/>
    <mergeCell ref="H312:H313"/>
    <mergeCell ref="I312:J312"/>
    <mergeCell ref="L312:N312"/>
    <mergeCell ref="F267:AC267"/>
    <mergeCell ref="F268:J268"/>
    <mergeCell ref="K268:S268"/>
    <mergeCell ref="T268:AC268"/>
    <mergeCell ref="F269:J271"/>
    <mergeCell ref="K269:Q271"/>
    <mergeCell ref="R269:S271"/>
    <mergeCell ref="U269:V269"/>
    <mergeCell ref="U270:V270"/>
    <mergeCell ref="X270:Y270"/>
    <mergeCell ref="AA270:AB270"/>
    <mergeCell ref="U271:V271"/>
    <mergeCell ref="X271:Y271"/>
    <mergeCell ref="AA271:AB271"/>
    <mergeCell ref="R261:S261"/>
    <mergeCell ref="R262:S262"/>
    <mergeCell ref="R263:S263"/>
    <mergeCell ref="R264:S264"/>
    <mergeCell ref="U264:V264"/>
    <mergeCell ref="X264:Y264"/>
    <mergeCell ref="R265:S265"/>
    <mergeCell ref="U265:V265"/>
    <mergeCell ref="X265:Y265"/>
    <mergeCell ref="AK232:AM232"/>
    <mergeCell ref="K233:P233"/>
    <mergeCell ref="R233:S233"/>
    <mergeCell ref="U233:V233"/>
    <mergeCell ref="X233:Z233"/>
    <mergeCell ref="AB233:AD233"/>
    <mergeCell ref="AK233:AM233"/>
    <mergeCell ref="K234:L234"/>
    <mergeCell ref="R234:S234"/>
    <mergeCell ref="U234:W234"/>
    <mergeCell ref="Y234:AA234"/>
    <mergeCell ref="S227:V227"/>
    <mergeCell ref="W227:X227"/>
    <mergeCell ref="Z227:AA227"/>
    <mergeCell ref="AC227:AD227"/>
    <mergeCell ref="X228:Z228"/>
    <mergeCell ref="X229:Z229"/>
    <mergeCell ref="V230:W230"/>
    <mergeCell ref="AA230:AC230"/>
    <mergeCell ref="G232:G233"/>
    <mergeCell ref="H232:I233"/>
    <mergeCell ref="J232:J233"/>
    <mergeCell ref="K232:M232"/>
    <mergeCell ref="Q232:Q233"/>
    <mergeCell ref="V232:X232"/>
    <mergeCell ref="AD220:AE220"/>
    <mergeCell ref="AG220:AI220"/>
    <mergeCell ref="O221:Q221"/>
    <mergeCell ref="Y222:Z222"/>
    <mergeCell ref="AB222:AC222"/>
    <mergeCell ref="AE222:AF222"/>
    <mergeCell ref="Y223:Z223"/>
    <mergeCell ref="Y224:Z224"/>
    <mergeCell ref="N226:Q226"/>
    <mergeCell ref="T226:V226"/>
    <mergeCell ref="X226:Z226"/>
    <mergeCell ref="AC226:AF226"/>
    <mergeCell ref="Z214:AB214"/>
    <mergeCell ref="AE214:AH214"/>
    <mergeCell ref="S215:V215"/>
    <mergeCell ref="AA216:AC216"/>
    <mergeCell ref="AG216:AI216"/>
    <mergeCell ref="R219:S219"/>
    <mergeCell ref="U219:W219"/>
    <mergeCell ref="Z219:AA219"/>
    <mergeCell ref="AC219:AE219"/>
    <mergeCell ref="G196:I196"/>
    <mergeCell ref="L196:N196"/>
    <mergeCell ref="Q196:R196"/>
    <mergeCell ref="S196:T196"/>
    <mergeCell ref="E210:F211"/>
    <mergeCell ref="G210:G211"/>
    <mergeCell ref="H210:I210"/>
    <mergeCell ref="J210:J211"/>
    <mergeCell ref="K210:P210"/>
    <mergeCell ref="H211:I211"/>
    <mergeCell ref="K211:P211"/>
    <mergeCell ref="G186:J186"/>
    <mergeCell ref="L186:O186"/>
    <mergeCell ref="R186:T186"/>
    <mergeCell ref="V186:X186"/>
    <mergeCell ref="AA186:AB186"/>
    <mergeCell ref="L187:N187"/>
    <mergeCell ref="Q187:S187"/>
    <mergeCell ref="V187:W187"/>
    <mergeCell ref="X187:Y187"/>
    <mergeCell ref="AA180:AA181"/>
    <mergeCell ref="H181:J181"/>
    <mergeCell ref="L181:N181"/>
    <mergeCell ref="P181:R181"/>
    <mergeCell ref="G183:H183"/>
    <mergeCell ref="L183:M183"/>
    <mergeCell ref="O183:Q183"/>
    <mergeCell ref="S183:U183"/>
    <mergeCell ref="L185:M185"/>
    <mergeCell ref="O185:P185"/>
    <mergeCell ref="S185:V185"/>
    <mergeCell ref="G180:G181"/>
    <mergeCell ref="I180:M180"/>
    <mergeCell ref="O180:O181"/>
    <mergeCell ref="P180:R180"/>
    <mergeCell ref="S180:S181"/>
    <mergeCell ref="T180:T181"/>
    <mergeCell ref="U180:V181"/>
    <mergeCell ref="W180:W181"/>
    <mergeCell ref="X180:Z181"/>
    <mergeCell ref="I176:J176"/>
    <mergeCell ref="W176:Y176"/>
    <mergeCell ref="AD176:AE176"/>
    <mergeCell ref="AK176:AN176"/>
    <mergeCell ref="E178:E179"/>
    <mergeCell ref="F178:F179"/>
    <mergeCell ref="G178:G179"/>
    <mergeCell ref="H178:J179"/>
    <mergeCell ref="K178:K179"/>
    <mergeCell ref="N178:P178"/>
    <mergeCell ref="S178:S179"/>
    <mergeCell ref="U178:X178"/>
    <mergeCell ref="AD178:AD179"/>
    <mergeCell ref="AE178:AE179"/>
    <mergeCell ref="AF178:AG178"/>
    <mergeCell ref="L179:N179"/>
    <mergeCell ref="P179:R179"/>
    <mergeCell ref="T179:V179"/>
    <mergeCell ref="X179:Z179"/>
    <mergeCell ref="AB179:AC179"/>
    <mergeCell ref="AF179:AG179"/>
    <mergeCell ref="AJ172:AL172"/>
    <mergeCell ref="I173:J173"/>
    <mergeCell ref="W173:X173"/>
    <mergeCell ref="I174:J174"/>
    <mergeCell ref="W174:X174"/>
    <mergeCell ref="I175:J175"/>
    <mergeCell ref="W175:X175"/>
    <mergeCell ref="Z175:AA175"/>
    <mergeCell ref="AD175:AG175"/>
    <mergeCell ref="I169:J169"/>
    <mergeCell ref="W169:Y169"/>
    <mergeCell ref="I170:J170"/>
    <mergeCell ref="W170:Y170"/>
    <mergeCell ref="I171:J171"/>
    <mergeCell ref="L172:M172"/>
    <mergeCell ref="O172:P172"/>
    <mergeCell ref="R172:S172"/>
    <mergeCell ref="U172:V172"/>
    <mergeCell ref="X172:Y172"/>
    <mergeCell ref="AB165:AD166"/>
    <mergeCell ref="M166:O166"/>
    <mergeCell ref="S166:U166"/>
    <mergeCell ref="I167:J167"/>
    <mergeCell ref="V167:W167"/>
    <mergeCell ref="Y167:Z167"/>
    <mergeCell ref="AB167:AD167"/>
    <mergeCell ref="I168:J168"/>
    <mergeCell ref="W168:Y168"/>
    <mergeCell ref="K165:K166"/>
    <mergeCell ref="L165:M165"/>
    <mergeCell ref="O165:P165"/>
    <mergeCell ref="Q165:Q166"/>
    <mergeCell ref="R165:S165"/>
    <mergeCell ref="U165:V165"/>
    <mergeCell ref="W165:W166"/>
    <mergeCell ref="X165:Z166"/>
    <mergeCell ref="AA165:AA166"/>
    <mergeCell ref="Z126:AA126"/>
    <mergeCell ref="AB126:AC126"/>
    <mergeCell ref="E159:E160"/>
    <mergeCell ref="F159:F160"/>
    <mergeCell ref="G159:G160"/>
    <mergeCell ref="H159:H160"/>
    <mergeCell ref="I159:I160"/>
    <mergeCell ref="K159:M159"/>
    <mergeCell ref="O159:O160"/>
    <mergeCell ref="Q159:R159"/>
    <mergeCell ref="T159:T160"/>
    <mergeCell ref="U159:V159"/>
    <mergeCell ref="W159:W160"/>
    <mergeCell ref="X159:Y159"/>
    <mergeCell ref="Z159:Z160"/>
    <mergeCell ref="AA159:AB159"/>
    <mergeCell ref="AC159:AC160"/>
    <mergeCell ref="J160:K160"/>
    <mergeCell ref="M160:N160"/>
    <mergeCell ref="P160:S160"/>
    <mergeCell ref="U160:V160"/>
    <mergeCell ref="X160:Y160"/>
    <mergeCell ref="AA160:AB160"/>
    <mergeCell ref="Z119:AB119"/>
    <mergeCell ref="AC119:AI119"/>
    <mergeCell ref="F121:F122"/>
    <mergeCell ref="G121:G122"/>
    <mergeCell ref="H121:I121"/>
    <mergeCell ref="K121:L121"/>
    <mergeCell ref="N121:Q121"/>
    <mergeCell ref="U121:U122"/>
    <mergeCell ref="V121:Y122"/>
    <mergeCell ref="Z121:AA122"/>
    <mergeCell ref="H122:J122"/>
    <mergeCell ref="L122:M122"/>
    <mergeCell ref="O122:Q122"/>
    <mergeCell ref="S122:T122"/>
    <mergeCell ref="F108:F109"/>
    <mergeCell ref="G108:G109"/>
    <mergeCell ref="H108:O108"/>
    <mergeCell ref="H109:O109"/>
    <mergeCell ref="M112:N112"/>
    <mergeCell ref="P112:Q112"/>
    <mergeCell ref="S112:T112"/>
    <mergeCell ref="V112:W112"/>
    <mergeCell ref="Y112:Z112"/>
    <mergeCell ref="AC85:AG85"/>
    <mergeCell ref="U86:X86"/>
    <mergeCell ref="M87:P87"/>
    <mergeCell ref="T87:W87"/>
    <mergeCell ref="J91:K91"/>
    <mergeCell ref="M91:N91"/>
    <mergeCell ref="R91:S91"/>
    <mergeCell ref="U91:V91"/>
    <mergeCell ref="J92:K92"/>
    <mergeCell ref="M92:P92"/>
    <mergeCell ref="T92:U92"/>
    <mergeCell ref="W92:Z92"/>
    <mergeCell ref="AD92:AE92"/>
    <mergeCell ref="AF92:AG92"/>
    <mergeCell ref="J82:K82"/>
    <mergeCell ref="M82:N82"/>
    <mergeCell ref="I83:J83"/>
    <mergeCell ref="L83:M83"/>
    <mergeCell ref="O83:P83"/>
    <mergeCell ref="R83:S83"/>
    <mergeCell ref="U83:V83"/>
    <mergeCell ref="X83:Y83"/>
    <mergeCell ref="J85:K86"/>
    <mergeCell ref="L85:L86"/>
    <mergeCell ref="N85:O85"/>
    <mergeCell ref="Q85:S85"/>
    <mergeCell ref="W85:Z85"/>
    <mergeCell ref="AA79:AB79"/>
    <mergeCell ref="I80:I81"/>
    <mergeCell ref="J80:K81"/>
    <mergeCell ref="L80:L81"/>
    <mergeCell ref="M80:M81"/>
    <mergeCell ref="N80:N81"/>
    <mergeCell ref="U80:V80"/>
    <mergeCell ref="AC80:AC81"/>
    <mergeCell ref="AD80:AE81"/>
    <mergeCell ref="O81:P81"/>
    <mergeCell ref="R81:S81"/>
    <mergeCell ref="V81:X81"/>
    <mergeCell ref="Z81:AA81"/>
    <mergeCell ref="J75:K75"/>
    <mergeCell ref="V75:W75"/>
    <mergeCell ref="J77:K77"/>
    <mergeCell ref="M78:P78"/>
    <mergeCell ref="R78:S78"/>
    <mergeCell ref="U78:V78"/>
    <mergeCell ref="Y78:Z78"/>
    <mergeCell ref="J79:K79"/>
    <mergeCell ref="M79:N79"/>
    <mergeCell ref="P79:R79"/>
    <mergeCell ref="T79:U79"/>
    <mergeCell ref="W79:X79"/>
    <mergeCell ref="J73:K73"/>
    <mergeCell ref="Y73:Z73"/>
    <mergeCell ref="AB73:AC73"/>
    <mergeCell ref="AE73:AF73"/>
    <mergeCell ref="J74:K74"/>
    <mergeCell ref="M74:O74"/>
    <mergeCell ref="Q74:R74"/>
    <mergeCell ref="U74:V74"/>
    <mergeCell ref="Y74:AA74"/>
    <mergeCell ref="O67:P67"/>
    <mergeCell ref="R67:S67"/>
    <mergeCell ref="W67:X67"/>
    <mergeCell ref="J68:K68"/>
    <mergeCell ref="V68:X68"/>
    <mergeCell ref="J69:K69"/>
    <mergeCell ref="J70:K70"/>
    <mergeCell ref="M71:N71"/>
    <mergeCell ref="J72:K72"/>
    <mergeCell ref="V72:W72"/>
    <mergeCell ref="H23:J23"/>
    <mergeCell ref="M23:O23"/>
    <mergeCell ref="R23:S23"/>
    <mergeCell ref="T23:U23"/>
    <mergeCell ref="F58:G59"/>
    <mergeCell ref="H58:H59"/>
    <mergeCell ref="I58:O58"/>
    <mergeCell ref="J61:K61"/>
    <mergeCell ref="V61:Y61"/>
    <mergeCell ref="AL4:AO4"/>
    <mergeCell ref="AB15:AD15"/>
    <mergeCell ref="S16:V16"/>
    <mergeCell ref="Z16:AA16"/>
    <mergeCell ref="AC16:AD16"/>
    <mergeCell ref="AK16:AM16"/>
    <mergeCell ref="AN16:AP16"/>
    <mergeCell ref="S17:V17"/>
    <mergeCell ref="Z17:AA17"/>
    <mergeCell ref="AC17:AD17"/>
    <mergeCell ref="AK17:AM17"/>
    <mergeCell ref="AN17:AP17"/>
    <mergeCell ref="L163:M163"/>
    <mergeCell ref="V62:Z62"/>
    <mergeCell ref="V63:X63"/>
    <mergeCell ref="V64:X64"/>
    <mergeCell ref="AA64:AD64"/>
    <mergeCell ref="L66:L67"/>
    <mergeCell ref="M66:M67"/>
    <mergeCell ref="I162:J162"/>
    <mergeCell ref="L162:M162"/>
    <mergeCell ref="O162:Q162"/>
    <mergeCell ref="O163:Q163"/>
    <mergeCell ref="S163:T163"/>
    <mergeCell ref="V163:X163"/>
    <mergeCell ref="Z163:AA163"/>
    <mergeCell ref="I164:J164"/>
    <mergeCell ref="AD159:AE160"/>
    <mergeCell ref="J111:K111"/>
    <mergeCell ref="R22:S22"/>
    <mergeCell ref="H13:K13"/>
    <mergeCell ref="J15:K15"/>
    <mergeCell ref="U15:X15"/>
    <mergeCell ref="J18:K18"/>
    <mergeCell ref="S18:U18"/>
    <mergeCell ref="J19:K19"/>
    <mergeCell ref="S19:U19"/>
    <mergeCell ref="J20:K20"/>
    <mergeCell ref="S20:V20"/>
    <mergeCell ref="H22:K22"/>
    <mergeCell ref="M22:P22"/>
    <mergeCell ref="J62:K62"/>
    <mergeCell ref="J63:K63"/>
    <mergeCell ref="J64:K64"/>
    <mergeCell ref="F66:I67"/>
    <mergeCell ref="J66:K67"/>
    <mergeCell ref="N66:N67"/>
    <mergeCell ref="J113:K113"/>
    <mergeCell ref="X113:Y113"/>
    <mergeCell ref="J116:K116"/>
    <mergeCell ref="J118:K118"/>
    <mergeCell ref="O118:R118"/>
    <mergeCell ref="T118:U118"/>
    <mergeCell ref="O119:Q119"/>
    <mergeCell ref="S119:T119"/>
    <mergeCell ref="V119:X119"/>
    <mergeCell ref="J124:L124"/>
    <mergeCell ref="N124:Q124"/>
    <mergeCell ref="S124:V124"/>
    <mergeCell ref="J126:M126"/>
    <mergeCell ref="Q126:R126"/>
    <mergeCell ref="T126:W126"/>
  </mergeCells>
  <phoneticPr fontId="3"/>
  <printOptions horizontalCentered="1"/>
  <pageMargins left="0.98425196850393704" right="0.59055118110236227" top="0.78740157480314965" bottom="0.59055118110236227" header="0.51181102362204722" footer="0.51181102362204722"/>
  <pageSetup paperSize="9" orientation="portrait" blackAndWhite="1" r:id="rId1"/>
  <headerFooter alignWithMargins="0"/>
  <rowBreaks count="7" manualBreakCount="7">
    <brk id="50" max="34" man="1"/>
    <brk id="100" max="34" man="1"/>
    <brk id="150" max="34" man="1"/>
    <brk id="200" max="34" man="1"/>
    <brk id="250" max="34" man="1"/>
    <brk id="300" max="34" man="1"/>
    <brk id="350" max="34" man="1"/>
  </rowBreaks>
  <colBreaks count="1" manualBreakCount="1">
    <brk id="35" max="49" man="1"/>
  </colBreak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E0DE9-EE3F-467C-857D-0788AD3C752A}">
  <sheetPr codeName="Sheet2">
    <tabColor indexed="10"/>
  </sheetPr>
  <dimension ref="A1:AL48"/>
  <sheetViews>
    <sheetView view="pageBreakPreview" topLeftCell="A19" zoomScaleNormal="100" zoomScaleSheetLayoutView="100" workbookViewId="0">
      <selection activeCell="Z6" sqref="Z6:AA6"/>
    </sheetView>
  </sheetViews>
  <sheetFormatPr defaultColWidth="2.7109375" defaultRowHeight="15.75" customHeight="1" x14ac:dyDescent="0.15"/>
  <cols>
    <col min="1" max="16384" width="2.7109375" style="3"/>
  </cols>
  <sheetData>
    <row r="1" spans="1:38" ht="15.75" customHeight="1" x14ac:dyDescent="0.15">
      <c r="A1" s="2" t="s">
        <v>366</v>
      </c>
      <c r="B1" s="2"/>
      <c r="C1" s="2"/>
      <c r="S1" s="4"/>
      <c r="T1" s="4"/>
      <c r="U1" s="4"/>
    </row>
    <row r="2" spans="1:38" ht="15.75" customHeight="1" x14ac:dyDescent="0.15">
      <c r="D2" s="5" t="s">
        <v>56</v>
      </c>
    </row>
    <row r="3" spans="1:38" ht="15.75" customHeight="1" x14ac:dyDescent="0.15">
      <c r="AB3" s="5"/>
      <c r="AC3" s="5"/>
      <c r="AD3" s="5"/>
    </row>
    <row r="4" spans="1:38" ht="15.75" customHeight="1" x14ac:dyDescent="0.15">
      <c r="E4" s="5"/>
      <c r="G4" s="3" t="s">
        <v>0</v>
      </c>
      <c r="Q4" s="3" t="s">
        <v>270</v>
      </c>
      <c r="W4" s="211" t="s">
        <v>271</v>
      </c>
      <c r="X4" s="212"/>
      <c r="Y4" s="3" t="s">
        <v>50</v>
      </c>
      <c r="Z4" s="376">
        <f>基礎!AE73</f>
        <v>31.200000000000003</v>
      </c>
      <c r="AA4" s="376"/>
      <c r="AB4" s="1" t="s">
        <v>51</v>
      </c>
      <c r="AC4" s="5"/>
      <c r="AD4" s="5"/>
    </row>
    <row r="5" spans="1:38" ht="15.75" customHeight="1" x14ac:dyDescent="0.15">
      <c r="E5" s="5"/>
      <c r="Q5" s="3" t="s">
        <v>1</v>
      </c>
      <c r="W5" s="212" t="s">
        <v>272</v>
      </c>
      <c r="X5" s="212"/>
      <c r="Y5" s="3" t="s">
        <v>52</v>
      </c>
      <c r="Z5" s="377">
        <f>基礎!AB15</f>
        <v>390</v>
      </c>
      <c r="AA5" s="376"/>
      <c r="AB5" s="1" t="s">
        <v>273</v>
      </c>
      <c r="AC5" s="7"/>
      <c r="AD5" s="7"/>
    </row>
    <row r="6" spans="1:38" ht="15.75" customHeight="1" x14ac:dyDescent="0.15">
      <c r="E6" s="5"/>
      <c r="Q6" s="5" t="s">
        <v>7</v>
      </c>
      <c r="R6" s="5"/>
      <c r="S6" s="5"/>
      <c r="T6" s="5"/>
      <c r="W6" s="212" t="s">
        <v>272</v>
      </c>
      <c r="X6" s="212"/>
      <c r="Y6" s="3" t="s">
        <v>52</v>
      </c>
      <c r="Z6" s="377">
        <f>Z5</f>
        <v>390</v>
      </c>
      <c r="AA6" s="376"/>
      <c r="AB6" s="1" t="s">
        <v>273</v>
      </c>
      <c r="AC6" s="7"/>
      <c r="AD6" s="7"/>
    </row>
    <row r="7" spans="1:38" ht="15.75" customHeight="1" x14ac:dyDescent="0.15">
      <c r="E7" s="5"/>
      <c r="G7" s="5" t="s">
        <v>2</v>
      </c>
      <c r="H7" s="5"/>
      <c r="I7" s="7"/>
      <c r="J7" s="7"/>
      <c r="K7" s="7"/>
      <c r="L7" s="7"/>
      <c r="M7" s="7"/>
      <c r="N7" s="7"/>
      <c r="O7" s="7"/>
      <c r="P7" s="7"/>
      <c r="Q7" s="3" t="s">
        <v>274</v>
      </c>
      <c r="R7" s="7"/>
      <c r="S7" s="7"/>
      <c r="T7" s="7"/>
      <c r="U7" s="7"/>
      <c r="V7" s="7"/>
      <c r="W7" s="211" t="s">
        <v>275</v>
      </c>
      <c r="X7" s="212"/>
      <c r="Y7" s="3" t="s">
        <v>53</v>
      </c>
      <c r="Z7" s="394">
        <v>1</v>
      </c>
      <c r="AA7" s="394"/>
    </row>
    <row r="8" spans="1:38" ht="15.75" customHeight="1" x14ac:dyDescent="0.15">
      <c r="E8" s="5"/>
      <c r="Q8" s="3" t="s">
        <v>1</v>
      </c>
      <c r="R8" s="7"/>
      <c r="S8" s="7"/>
      <c r="T8" s="7"/>
      <c r="U8" s="7"/>
      <c r="V8" s="6"/>
      <c r="W8" s="211" t="s">
        <v>276</v>
      </c>
      <c r="X8" s="212"/>
      <c r="Y8" s="3" t="s">
        <v>52</v>
      </c>
      <c r="Z8" s="394">
        <v>1</v>
      </c>
      <c r="AA8" s="394"/>
      <c r="AB8" s="6"/>
      <c r="AC8" s="6"/>
      <c r="AD8" s="6"/>
      <c r="AE8" s="6"/>
    </row>
    <row r="9" spans="1:38" ht="15.75" customHeight="1" x14ac:dyDescent="0.15">
      <c r="F9" s="5"/>
      <c r="G9" s="5" t="s">
        <v>3</v>
      </c>
      <c r="H9" s="5"/>
      <c r="I9" s="7"/>
      <c r="J9" s="7"/>
      <c r="K9" s="7"/>
      <c r="L9" s="7"/>
      <c r="M9" s="7"/>
      <c r="N9" s="7"/>
      <c r="O9" s="7"/>
      <c r="P9" s="7"/>
      <c r="Q9" s="5"/>
      <c r="R9" s="7"/>
      <c r="S9" s="7"/>
      <c r="T9" s="7"/>
      <c r="U9" s="7"/>
      <c r="V9" s="7"/>
      <c r="W9" s="211" t="s">
        <v>277</v>
      </c>
      <c r="X9" s="212"/>
      <c r="Y9" s="3" t="s">
        <v>54</v>
      </c>
      <c r="Z9" s="394">
        <v>1.1000000000000001</v>
      </c>
      <c r="AA9" s="394"/>
      <c r="AB9" s="7"/>
      <c r="AC9" s="7"/>
      <c r="AD9" s="7"/>
      <c r="AE9" s="7"/>
    </row>
    <row r="10" spans="1:38" ht="15.75" customHeight="1" x14ac:dyDescent="0.15">
      <c r="F10" s="5"/>
      <c r="G10" s="3" t="s">
        <v>8</v>
      </c>
      <c r="I10" s="7"/>
      <c r="J10" s="7"/>
      <c r="K10" s="7"/>
      <c r="L10" s="7"/>
      <c r="M10" s="7"/>
      <c r="N10" s="7"/>
      <c r="O10" s="7"/>
      <c r="P10" s="7"/>
      <c r="Q10" s="7"/>
      <c r="R10" s="7"/>
      <c r="S10" s="7"/>
      <c r="T10" s="7"/>
      <c r="U10" s="7"/>
      <c r="V10" s="7"/>
      <c r="W10" s="211" t="s">
        <v>278</v>
      </c>
      <c r="X10" s="212"/>
      <c r="Y10" s="3" t="s">
        <v>55</v>
      </c>
      <c r="Z10" s="394">
        <v>1</v>
      </c>
      <c r="AA10" s="394"/>
      <c r="AB10" s="7"/>
      <c r="AC10" s="7"/>
      <c r="AD10" s="7"/>
      <c r="AE10" s="7"/>
      <c r="AJ10" s="8"/>
    </row>
    <row r="11" spans="1:38" ht="15.75" customHeight="1" x14ac:dyDescent="0.15">
      <c r="F11" s="5"/>
      <c r="AB11" s="7"/>
      <c r="AC11" s="7"/>
      <c r="AD11" s="7"/>
      <c r="AE11" s="7"/>
      <c r="AF11" s="7"/>
      <c r="AL11" s="8"/>
    </row>
    <row r="12" spans="1:38" ht="15.75" customHeight="1" x14ac:dyDescent="0.15">
      <c r="D12" s="211" t="s">
        <v>4</v>
      </c>
      <c r="E12" s="212"/>
      <c r="F12" s="212"/>
      <c r="G12" s="212"/>
      <c r="H12" s="212"/>
      <c r="I12" s="212"/>
      <c r="J12" s="217" t="s">
        <v>305</v>
      </c>
      <c r="K12" s="217"/>
      <c r="L12" s="219"/>
      <c r="M12" s="219"/>
      <c r="N12" s="219"/>
      <c r="O12" s="219"/>
      <c r="P12" s="217" t="s">
        <v>305</v>
      </c>
      <c r="Q12" s="217"/>
      <c r="R12" s="219"/>
      <c r="S12" s="219"/>
      <c r="T12" s="219"/>
      <c r="U12" s="219"/>
      <c r="V12" s="217"/>
      <c r="W12" s="217"/>
      <c r="X12" s="219"/>
      <c r="Y12" s="219"/>
      <c r="Z12" s="219"/>
      <c r="AA12" s="219"/>
      <c r="AB12" s="217"/>
      <c r="AC12" s="217"/>
      <c r="AD12" s="219"/>
      <c r="AE12" s="219"/>
      <c r="AF12" s="219"/>
      <c r="AG12" s="219"/>
    </row>
    <row r="13" spans="1:38" ht="15.75" customHeight="1" x14ac:dyDescent="0.15">
      <c r="D13" s="211" t="s">
        <v>5</v>
      </c>
      <c r="E13" s="212"/>
      <c r="F13" s="212"/>
      <c r="G13" s="212"/>
      <c r="H13" s="212"/>
      <c r="I13" s="212"/>
      <c r="J13" s="210" t="s">
        <v>361</v>
      </c>
      <c r="K13" s="220"/>
      <c r="L13" s="220"/>
      <c r="M13" s="220"/>
      <c r="N13" s="220"/>
      <c r="O13" s="220"/>
      <c r="P13" s="210" t="s">
        <v>363</v>
      </c>
      <c r="Q13" s="220"/>
      <c r="R13" s="220"/>
      <c r="S13" s="220"/>
      <c r="T13" s="220"/>
      <c r="U13" s="220"/>
      <c r="V13" s="220"/>
      <c r="W13" s="220"/>
      <c r="X13" s="220"/>
      <c r="Y13" s="220"/>
      <c r="Z13" s="220"/>
      <c r="AA13" s="220"/>
      <c r="AB13" s="220"/>
      <c r="AC13" s="220"/>
      <c r="AD13" s="220"/>
      <c r="AE13" s="220"/>
      <c r="AF13" s="220"/>
      <c r="AG13" s="220"/>
    </row>
    <row r="14" spans="1:38" ht="15.75" customHeight="1" x14ac:dyDescent="0.15">
      <c r="D14" s="10"/>
      <c r="E14" s="3" t="s">
        <v>279</v>
      </c>
      <c r="G14" s="214" t="s">
        <v>280</v>
      </c>
      <c r="H14" s="214"/>
      <c r="I14" s="214"/>
      <c r="J14" s="378">
        <f>基礎!S18</f>
        <v>1000</v>
      </c>
      <c r="K14" s="378"/>
      <c r="L14" s="378"/>
      <c r="M14" s="378"/>
      <c r="N14" s="378"/>
      <c r="O14" s="378"/>
      <c r="P14" s="378">
        <f>J14</f>
        <v>1000</v>
      </c>
      <c r="Q14" s="378"/>
      <c r="R14" s="378"/>
      <c r="S14" s="378"/>
      <c r="T14" s="378"/>
      <c r="U14" s="378"/>
      <c r="V14" s="217"/>
      <c r="W14" s="217"/>
      <c r="X14" s="217"/>
      <c r="Y14" s="217"/>
      <c r="Z14" s="217"/>
      <c r="AA14" s="217"/>
      <c r="AB14" s="217"/>
      <c r="AC14" s="217"/>
      <c r="AD14" s="217"/>
      <c r="AE14" s="217"/>
      <c r="AF14" s="217"/>
      <c r="AG14" s="217"/>
    </row>
    <row r="15" spans="1:38" ht="15.75" customHeight="1" x14ac:dyDescent="0.15">
      <c r="D15" s="10"/>
      <c r="E15" s="213" t="s">
        <v>281</v>
      </c>
      <c r="F15" s="214"/>
      <c r="G15" s="214" t="s">
        <v>282</v>
      </c>
      <c r="H15" s="214"/>
      <c r="I15" s="214"/>
      <c r="J15" s="378"/>
      <c r="K15" s="378"/>
      <c r="L15" s="378"/>
      <c r="M15" s="378"/>
      <c r="N15" s="378"/>
      <c r="O15" s="378"/>
      <c r="P15" s="378"/>
      <c r="Q15" s="378"/>
      <c r="R15" s="378"/>
      <c r="S15" s="378"/>
      <c r="T15" s="378"/>
      <c r="U15" s="378"/>
      <c r="V15" s="217"/>
      <c r="W15" s="217"/>
      <c r="X15" s="217"/>
      <c r="Y15" s="217"/>
      <c r="Z15" s="217"/>
      <c r="AA15" s="217"/>
      <c r="AB15" s="217"/>
      <c r="AC15" s="217"/>
      <c r="AD15" s="217"/>
      <c r="AE15" s="217"/>
      <c r="AF15" s="217"/>
      <c r="AG15" s="217"/>
    </row>
    <row r="16" spans="1:38" ht="15.75" customHeight="1" x14ac:dyDescent="0.15">
      <c r="E16" s="3" t="s">
        <v>283</v>
      </c>
      <c r="G16" s="214" t="s">
        <v>282</v>
      </c>
      <c r="H16" s="214"/>
      <c r="I16" s="214"/>
      <c r="J16" s="378">
        <f>基礎!S19</f>
        <v>1800</v>
      </c>
      <c r="K16" s="378"/>
      <c r="L16" s="378"/>
      <c r="M16" s="378"/>
      <c r="N16" s="378"/>
      <c r="O16" s="378"/>
      <c r="P16" s="378">
        <f>J16</f>
        <v>1800</v>
      </c>
      <c r="Q16" s="378"/>
      <c r="R16" s="378"/>
      <c r="S16" s="378"/>
      <c r="T16" s="378"/>
      <c r="U16" s="378"/>
      <c r="V16" s="217"/>
      <c r="W16" s="217"/>
      <c r="X16" s="217"/>
      <c r="Y16" s="217"/>
      <c r="Z16" s="217"/>
      <c r="AA16" s="217"/>
      <c r="AB16" s="217"/>
      <c r="AC16" s="217"/>
      <c r="AD16" s="217"/>
      <c r="AE16" s="217"/>
      <c r="AF16" s="217"/>
      <c r="AG16" s="217"/>
    </row>
    <row r="17" spans="4:33" ht="15.75" customHeight="1" x14ac:dyDescent="0.15">
      <c r="E17" s="213" t="s">
        <v>284</v>
      </c>
      <c r="F17" s="213"/>
      <c r="G17" s="214" t="s">
        <v>282</v>
      </c>
      <c r="H17" s="214"/>
      <c r="I17" s="214"/>
      <c r="J17" s="378"/>
      <c r="K17" s="378"/>
      <c r="L17" s="378"/>
      <c r="M17" s="378"/>
      <c r="N17" s="378"/>
      <c r="O17" s="378"/>
      <c r="P17" s="378"/>
      <c r="Q17" s="378"/>
      <c r="R17" s="378"/>
      <c r="S17" s="378"/>
      <c r="T17" s="378"/>
      <c r="U17" s="378"/>
      <c r="V17" s="217"/>
      <c r="W17" s="217"/>
      <c r="X17" s="217"/>
      <c r="Y17" s="217"/>
      <c r="Z17" s="217"/>
      <c r="AA17" s="217"/>
      <c r="AB17" s="217"/>
      <c r="AC17" s="217"/>
      <c r="AD17" s="217"/>
      <c r="AE17" s="217"/>
      <c r="AF17" s="217"/>
      <c r="AG17" s="217"/>
    </row>
    <row r="18" spans="4:33" ht="15.75" customHeight="1" x14ac:dyDescent="0.15">
      <c r="D18" s="6"/>
      <c r="E18" s="3" t="s">
        <v>285</v>
      </c>
      <c r="F18" s="7"/>
      <c r="G18" s="214" t="s">
        <v>282</v>
      </c>
      <c r="H18" s="214"/>
      <c r="I18" s="214"/>
      <c r="J18" s="218">
        <f>IF(J14&lt;&gt;0,IF(N23=0,J16-M19,J16-J19),"")</f>
        <v>1713</v>
      </c>
      <c r="K18" s="218"/>
      <c r="L18" s="218"/>
      <c r="M18" s="218"/>
      <c r="N18" s="218"/>
      <c r="O18" s="218"/>
      <c r="P18" s="218">
        <f>IF(P14&lt;&gt;0,IF(T23=0,P16-S19,P16-P19),"")</f>
        <v>1700</v>
      </c>
      <c r="Q18" s="218"/>
      <c r="R18" s="218"/>
      <c r="S18" s="218"/>
      <c r="T18" s="218"/>
      <c r="U18" s="218"/>
      <c r="V18" s="218" t="str">
        <f>IF(V14&lt;&gt;0,IF(Z23=0,V16-Y19,V16-V19),"")</f>
        <v/>
      </c>
      <c r="W18" s="218"/>
      <c r="X18" s="218"/>
      <c r="Y18" s="218"/>
      <c r="Z18" s="218"/>
      <c r="AA18" s="218"/>
      <c r="AB18" s="218" t="str">
        <f>IF(AB14&lt;&gt;0,IF(AF23=0,AB16-AE19,AB16-AB19),"")</f>
        <v/>
      </c>
      <c r="AC18" s="218"/>
      <c r="AD18" s="218"/>
      <c r="AE18" s="218"/>
      <c r="AF18" s="218"/>
      <c r="AG18" s="218"/>
    </row>
    <row r="19" spans="4:33" ht="15.75" customHeight="1" x14ac:dyDescent="0.15">
      <c r="D19" s="6"/>
      <c r="E19" s="213" t="s">
        <v>286</v>
      </c>
      <c r="F19" s="213"/>
      <c r="G19" s="214" t="s">
        <v>282</v>
      </c>
      <c r="H19" s="214"/>
      <c r="I19" s="214"/>
      <c r="J19" s="215" t="str">
        <f>IF(N23=0,"",ROUND((N23*M19+N24*(M19+M20)+N25*(M19+M20*2))/(N23+N24+N25),1))</f>
        <v/>
      </c>
      <c r="K19" s="215"/>
      <c r="L19" s="215"/>
      <c r="M19" s="216">
        <v>87</v>
      </c>
      <c r="N19" s="216"/>
      <c r="O19" s="216"/>
      <c r="P19" s="215" t="str">
        <f>IF(T23=0,"",ROUND((T23*S19+T24*(S19+S20)+T25*(S19+S20*2))/(T23+T24+T25),1))</f>
        <v/>
      </c>
      <c r="Q19" s="215"/>
      <c r="R19" s="215"/>
      <c r="S19" s="216">
        <v>100</v>
      </c>
      <c r="T19" s="216"/>
      <c r="U19" s="216"/>
      <c r="V19" s="215" t="str">
        <f>IF(Z23=0,"",ROUND((Z23*Y19+Z24*(Y19+Y20)+Z25*(Y19+Y20*2))/(Z23+Z24+Z25),1))</f>
        <v/>
      </c>
      <c r="W19" s="215"/>
      <c r="X19" s="215"/>
      <c r="Y19" s="216"/>
      <c r="Z19" s="216"/>
      <c r="AA19" s="216"/>
      <c r="AB19" s="215" t="str">
        <f>IF(AF23=0,"",ROUND((AF23*AE19+AF24*(AE19+AE20)+AF25*(AE19+AE20*2))/(AF23+AF24+AF25),1))</f>
        <v/>
      </c>
      <c r="AC19" s="215"/>
      <c r="AD19" s="215"/>
      <c r="AE19" s="216"/>
      <c r="AF19" s="216"/>
      <c r="AG19" s="216"/>
    </row>
    <row r="20" spans="4:33" ht="15.75" customHeight="1" x14ac:dyDescent="0.15">
      <c r="D20" s="6"/>
      <c r="G20" s="5"/>
      <c r="H20" s="5"/>
      <c r="I20" s="5"/>
      <c r="J20" s="403"/>
      <c r="K20" s="403"/>
      <c r="L20" s="403"/>
      <c r="M20" s="404"/>
      <c r="N20" s="404"/>
      <c r="O20" s="404"/>
      <c r="P20" s="403"/>
      <c r="Q20" s="403"/>
      <c r="R20" s="403"/>
      <c r="S20" s="404"/>
      <c r="T20" s="404"/>
      <c r="U20" s="404"/>
      <c r="V20" s="30"/>
      <c r="W20" s="30"/>
      <c r="X20" s="30"/>
      <c r="Y20" s="230"/>
      <c r="Z20" s="230"/>
      <c r="AA20" s="230"/>
      <c r="AB20" s="30"/>
      <c r="AC20" s="30"/>
      <c r="AD20" s="30"/>
      <c r="AE20" s="230"/>
      <c r="AF20" s="230"/>
      <c r="AG20" s="230"/>
    </row>
    <row r="21" spans="4:33" ht="15.75" customHeight="1" x14ac:dyDescent="0.15">
      <c r="E21" s="213" t="s">
        <v>287</v>
      </c>
      <c r="F21" s="213"/>
      <c r="G21" s="214" t="s">
        <v>282</v>
      </c>
      <c r="H21" s="214"/>
      <c r="I21" s="214"/>
      <c r="J21" s="405" t="str">
        <f>IF(N28=0,"",ROUND((N28*M21+N29*(M21+M22)+N30*(M21+M22*2))/(N28+N29+N30),1))</f>
        <v/>
      </c>
      <c r="K21" s="405"/>
      <c r="L21" s="405"/>
      <c r="M21" s="406"/>
      <c r="N21" s="407"/>
      <c r="O21" s="407"/>
      <c r="P21" s="405" t="str">
        <f>IF(T28=0,"",ROUND((T28*S21+T29*(S21+S22)+T30*(S21+S22*2))/(T28+T29+T30),1))</f>
        <v/>
      </c>
      <c r="Q21" s="405"/>
      <c r="R21" s="405"/>
      <c r="S21" s="406"/>
      <c r="T21" s="407"/>
      <c r="U21" s="407"/>
      <c r="V21" s="215" t="str">
        <f>IF(Z28=0,"",ROUND((Z28*Y21+Z29*(Y21+Y22)+Z30*(Y21+Y22*2))/(Z28+Z29+Z30),1))</f>
        <v/>
      </c>
      <c r="W21" s="215"/>
      <c r="X21" s="215"/>
      <c r="Y21" s="216"/>
      <c r="Z21" s="221"/>
      <c r="AA21" s="221"/>
      <c r="AB21" s="215" t="str">
        <f>IF(AF28=0,"",ROUND((AF28*AE21+AF29*(AE21+AE22)+AF30*(AE21+AE22*2))/(AF28+AF29+AF30),1))</f>
        <v/>
      </c>
      <c r="AC21" s="215"/>
      <c r="AD21" s="215"/>
      <c r="AE21" s="216"/>
      <c r="AF21" s="221"/>
      <c r="AG21" s="221"/>
    </row>
    <row r="22" spans="4:33" ht="15.75" customHeight="1" x14ac:dyDescent="0.15">
      <c r="G22" s="5"/>
      <c r="H22" s="5"/>
      <c r="I22" s="5"/>
      <c r="J22" s="403"/>
      <c r="K22" s="403"/>
      <c r="L22" s="403"/>
      <c r="M22" s="404"/>
      <c r="N22" s="404"/>
      <c r="O22" s="404"/>
      <c r="P22" s="403"/>
      <c r="Q22" s="403"/>
      <c r="R22" s="403"/>
      <c r="S22" s="404"/>
      <c r="T22" s="404"/>
      <c r="U22" s="404"/>
      <c r="V22" s="30"/>
      <c r="W22" s="30"/>
      <c r="X22" s="30"/>
      <c r="Y22" s="230"/>
      <c r="Z22" s="230"/>
      <c r="AA22" s="230"/>
      <c r="AB22" s="30"/>
      <c r="AC22" s="30"/>
      <c r="AD22" s="30"/>
      <c r="AE22" s="230"/>
      <c r="AF22" s="230"/>
      <c r="AG22" s="230"/>
    </row>
    <row r="23" spans="4:33" ht="15.75" customHeight="1" x14ac:dyDescent="0.15">
      <c r="J23" s="379"/>
      <c r="K23" s="379"/>
      <c r="L23" s="379"/>
      <c r="M23" s="379"/>
      <c r="N23" s="380"/>
      <c r="O23" s="380"/>
      <c r="P23" s="379"/>
      <c r="Q23" s="379"/>
      <c r="R23" s="379"/>
      <c r="S23" s="379"/>
      <c r="T23" s="380"/>
      <c r="U23" s="380"/>
      <c r="V23" s="11"/>
      <c r="W23" s="11"/>
      <c r="X23" s="11"/>
      <c r="Y23" s="11"/>
      <c r="Z23" s="210"/>
      <c r="AA23" s="210"/>
      <c r="AB23" s="11"/>
      <c r="AC23" s="11"/>
      <c r="AD23" s="11"/>
      <c r="AE23" s="11"/>
      <c r="AF23" s="210"/>
      <c r="AG23" s="210"/>
    </row>
    <row r="24" spans="4:33" ht="15.75" customHeight="1" x14ac:dyDescent="0.15">
      <c r="D24" s="212" t="s">
        <v>288</v>
      </c>
      <c r="E24" s="211"/>
      <c r="F24" s="211"/>
      <c r="G24" s="211"/>
      <c r="H24" s="211"/>
      <c r="I24" s="211"/>
      <c r="J24" s="381">
        <f>基礎!Z16</f>
        <v>32</v>
      </c>
      <c r="K24" s="381"/>
      <c r="L24" s="381"/>
      <c r="M24" s="382" t="str">
        <f>IF(J24&lt;&gt;"","－","")</f>
        <v>－</v>
      </c>
      <c r="N24" s="418">
        <f>基礎!AC16</f>
        <v>6.67</v>
      </c>
      <c r="O24" s="380"/>
      <c r="P24" s="381">
        <f>基礎!Z17</f>
        <v>29</v>
      </c>
      <c r="Q24" s="381"/>
      <c r="R24" s="381"/>
      <c r="S24" s="382" t="str">
        <f>IF(P24&lt;&gt;"","－","")</f>
        <v>－</v>
      </c>
      <c r="T24" s="418">
        <f>基礎!AC17</f>
        <v>6.67</v>
      </c>
      <c r="U24" s="380"/>
      <c r="V24" s="226"/>
      <c r="W24" s="226"/>
      <c r="X24" s="226"/>
      <c r="Y24" s="9" t="str">
        <f>IF(V24&lt;&gt;"","－","")</f>
        <v/>
      </c>
      <c r="Z24" s="210"/>
      <c r="AA24" s="210"/>
      <c r="AB24" s="226"/>
      <c r="AC24" s="226"/>
      <c r="AD24" s="226"/>
      <c r="AE24" s="9" t="str">
        <f>IF(AB24&lt;&gt;"","－","")</f>
        <v/>
      </c>
      <c r="AF24" s="210"/>
      <c r="AG24" s="210"/>
    </row>
    <row r="25" spans="4:33" ht="15.75" customHeight="1" x14ac:dyDescent="0.15">
      <c r="D25" s="211"/>
      <c r="E25" s="211"/>
      <c r="F25" s="211"/>
      <c r="G25" s="211"/>
      <c r="H25" s="211"/>
      <c r="I25" s="211"/>
      <c r="J25" s="384"/>
      <c r="K25" s="384"/>
      <c r="L25" s="382"/>
      <c r="M25" s="379"/>
      <c r="N25" s="380"/>
      <c r="O25" s="380"/>
      <c r="P25" s="384"/>
      <c r="Q25" s="384"/>
      <c r="R25" s="382"/>
      <c r="S25" s="379"/>
      <c r="T25" s="380"/>
      <c r="U25" s="380"/>
      <c r="V25" s="12"/>
      <c r="W25" s="12"/>
      <c r="X25" s="9"/>
      <c r="Y25" s="11"/>
      <c r="Z25" s="210"/>
      <c r="AA25" s="210"/>
      <c r="AB25" s="12"/>
      <c r="AC25" s="12"/>
      <c r="AD25" s="9"/>
      <c r="AE25" s="11"/>
      <c r="AF25" s="210"/>
      <c r="AG25" s="210"/>
    </row>
    <row r="26" spans="4:33" ht="15.75" customHeight="1" x14ac:dyDescent="0.15">
      <c r="J26" s="227">
        <f>IF(J14=0,"",ROUND(LOOKUP(J24,AS!$A$1:$A$12,AS!$B$1:$B$12)*(N23+N24+N25),1))</f>
        <v>5297.3</v>
      </c>
      <c r="K26" s="227"/>
      <c r="L26" s="227"/>
      <c r="M26" s="227"/>
      <c r="N26" s="222" t="str">
        <f>IF(J26&lt;&gt;"","mm2","")</f>
        <v>mm2</v>
      </c>
      <c r="O26" s="223"/>
      <c r="P26" s="227">
        <f>IF(P14=0,"",ROUND(LOOKUP(P24,AS!$A$1:$A$12,AS!$B$1:$B$12)*(T23+T24+T25),1))</f>
        <v>4284.8</v>
      </c>
      <c r="Q26" s="227"/>
      <c r="R26" s="227"/>
      <c r="S26" s="227"/>
      <c r="T26" s="222" t="str">
        <f>IF(P26&lt;&gt;"","mm2","")</f>
        <v>mm2</v>
      </c>
      <c r="U26" s="223"/>
      <c r="V26" s="227" t="str">
        <f>IF(V14=0,"",ROUND(LOOKUP(V24,AS!$A$1:$A$12,AS!$B$1:$B$12)*(Z23+Z24+Z25),1))</f>
        <v/>
      </c>
      <c r="W26" s="227"/>
      <c r="X26" s="227"/>
      <c r="Y26" s="227"/>
      <c r="Z26" s="222" t="str">
        <f>IF(V26&lt;&gt;"","mm2","")</f>
        <v/>
      </c>
      <c r="AA26" s="223"/>
      <c r="AB26" s="227" t="str">
        <f>IF(AB14=0,"",ROUND(LOOKUP(AB24,AS!$A$1:$A$12,AS!$B$1:$B$12)*(AF23+AF24+AF25),1))</f>
        <v/>
      </c>
      <c r="AC26" s="227"/>
      <c r="AD26" s="227"/>
      <c r="AE26" s="227"/>
      <c r="AF26" s="222" t="str">
        <f>IF(AB26&lt;&gt;"","mm2","")</f>
        <v/>
      </c>
      <c r="AG26" s="223"/>
    </row>
    <row r="27" spans="4:33" ht="15.75" customHeight="1" x14ac:dyDescent="0.15">
      <c r="E27" s="212" t="s">
        <v>289</v>
      </c>
      <c r="F27" s="212"/>
      <c r="G27" s="212"/>
      <c r="H27" s="7"/>
      <c r="J27" s="228">
        <f>IF(J26="","",ROUND(J26/J14/J18,5))</f>
        <v>3.0899999999999999E-3</v>
      </c>
      <c r="K27" s="228"/>
      <c r="L27" s="228"/>
      <c r="M27" s="228"/>
      <c r="N27" s="228"/>
      <c r="O27" s="228"/>
      <c r="P27" s="228">
        <f>IF(P26="","",ROUND(P26/P14/P18,5))</f>
        <v>2.5200000000000001E-3</v>
      </c>
      <c r="Q27" s="228"/>
      <c r="R27" s="228"/>
      <c r="S27" s="228"/>
      <c r="T27" s="228"/>
      <c r="U27" s="228"/>
      <c r="V27" s="228" t="str">
        <f>IF(V26="","",ROUND(V26/V14/V18,5))</f>
        <v/>
      </c>
      <c r="W27" s="228"/>
      <c r="X27" s="228"/>
      <c r="Y27" s="228"/>
      <c r="Z27" s="228"/>
      <c r="AA27" s="228"/>
      <c r="AB27" s="228" t="str">
        <f>IF(AB26="","",ROUND(AB26/AB14/AB18,5))</f>
        <v/>
      </c>
      <c r="AC27" s="228"/>
      <c r="AD27" s="228"/>
      <c r="AE27" s="228"/>
      <c r="AF27" s="228"/>
      <c r="AG27" s="228"/>
    </row>
    <row r="28" spans="4:33" ht="15.75" customHeight="1" x14ac:dyDescent="0.15">
      <c r="J28" s="379"/>
      <c r="K28" s="379"/>
      <c r="L28" s="379"/>
      <c r="M28" s="379"/>
      <c r="N28" s="380"/>
      <c r="O28" s="380"/>
      <c r="P28" s="379"/>
      <c r="Q28" s="379"/>
      <c r="R28" s="379"/>
      <c r="S28" s="379"/>
      <c r="T28" s="380"/>
      <c r="U28" s="380"/>
      <c r="V28" s="11"/>
      <c r="W28" s="11"/>
      <c r="X28" s="11"/>
      <c r="Y28" s="11"/>
      <c r="Z28" s="210"/>
      <c r="AA28" s="210"/>
      <c r="AB28" s="11"/>
      <c r="AC28" s="11"/>
      <c r="AD28" s="11"/>
      <c r="AE28" s="11"/>
      <c r="AF28" s="210"/>
      <c r="AG28" s="210"/>
    </row>
    <row r="29" spans="4:33" ht="15.75" customHeight="1" x14ac:dyDescent="0.15">
      <c r="D29" s="212" t="s">
        <v>290</v>
      </c>
      <c r="E29" s="211"/>
      <c r="F29" s="211"/>
      <c r="G29" s="211"/>
      <c r="H29" s="211"/>
      <c r="I29" s="211"/>
      <c r="J29" s="381">
        <f>P24</f>
        <v>29</v>
      </c>
      <c r="K29" s="381"/>
      <c r="L29" s="381"/>
      <c r="M29" s="382" t="str">
        <f>IF(J29&lt;&gt;"","－","")</f>
        <v>－</v>
      </c>
      <c r="N29" s="418">
        <f>T24</f>
        <v>6.67</v>
      </c>
      <c r="O29" s="380"/>
      <c r="P29" s="381">
        <f>J24</f>
        <v>32</v>
      </c>
      <c r="Q29" s="381"/>
      <c r="R29" s="381"/>
      <c r="S29" s="382" t="str">
        <f>IF(P29&lt;&gt;"","－","")</f>
        <v>－</v>
      </c>
      <c r="T29" s="418">
        <f>N24</f>
        <v>6.67</v>
      </c>
      <c r="U29" s="380"/>
      <c r="V29" s="226"/>
      <c r="W29" s="226"/>
      <c r="X29" s="226"/>
      <c r="Y29" s="9" t="str">
        <f>IF(V29&lt;&gt;"","－","")</f>
        <v/>
      </c>
      <c r="Z29" s="210"/>
      <c r="AA29" s="210"/>
      <c r="AB29" s="226"/>
      <c r="AC29" s="226"/>
      <c r="AD29" s="226"/>
      <c r="AE29" s="9" t="str">
        <f>IF(AB29&lt;&gt;"","－","")</f>
        <v/>
      </c>
      <c r="AF29" s="210"/>
      <c r="AG29" s="210"/>
    </row>
    <row r="30" spans="4:33" ht="15.75" customHeight="1" x14ac:dyDescent="0.15">
      <c r="D30" s="211"/>
      <c r="E30" s="211"/>
      <c r="F30" s="211"/>
      <c r="G30" s="211"/>
      <c r="H30" s="211"/>
      <c r="I30" s="211"/>
      <c r="J30" s="384"/>
      <c r="K30" s="384"/>
      <c r="L30" s="382"/>
      <c r="M30" s="379"/>
      <c r="N30" s="380"/>
      <c r="O30" s="380"/>
      <c r="P30" s="384"/>
      <c r="Q30" s="384"/>
      <c r="R30" s="382"/>
      <c r="S30" s="379"/>
      <c r="T30" s="380"/>
      <c r="U30" s="380"/>
      <c r="V30" s="12"/>
      <c r="W30" s="12"/>
      <c r="X30" s="9"/>
      <c r="Y30" s="11"/>
      <c r="Z30" s="210"/>
      <c r="AA30" s="210"/>
      <c r="AB30" s="12"/>
      <c r="AC30" s="12"/>
      <c r="AD30" s="9"/>
      <c r="AE30" s="11"/>
      <c r="AF30" s="210"/>
      <c r="AG30" s="210"/>
    </row>
    <row r="31" spans="4:33" ht="15.75" customHeight="1" x14ac:dyDescent="0.15">
      <c r="J31" s="227">
        <f>IF(J29=0,"",ROUND(LOOKUP(J29,AS!$A$1:$A$12,AS!$B$1:$B$12)*(N28+N29+N30),1))</f>
        <v>4284.8</v>
      </c>
      <c r="K31" s="227"/>
      <c r="L31" s="227"/>
      <c r="M31" s="227"/>
      <c r="N31" s="222" t="str">
        <f>IF(J31&lt;&gt;"","mm2","")</f>
        <v>mm2</v>
      </c>
      <c r="O31" s="223"/>
      <c r="P31" s="227">
        <f>IF(P29=0,"",ROUND(LOOKUP(P29,AS!$A$1:$A$12,AS!$B$1:$B$12)*(T28+T29+T30),1))</f>
        <v>5297.3</v>
      </c>
      <c r="Q31" s="227"/>
      <c r="R31" s="227"/>
      <c r="S31" s="227"/>
      <c r="T31" s="222" t="str">
        <f>IF(P31&lt;&gt;"","mm2","")</f>
        <v>mm2</v>
      </c>
      <c r="U31" s="223"/>
      <c r="V31" s="227" t="str">
        <f>IF(V29=0,"",ROUND(LOOKUP(V29,AS!$A$1:$A$12,AS!$B$1:$B$12)*(Z28+Z29+Z30),1))</f>
        <v/>
      </c>
      <c r="W31" s="227"/>
      <c r="X31" s="227"/>
      <c r="Y31" s="227"/>
      <c r="Z31" s="222" t="str">
        <f>IF(V31&lt;&gt;"","mm2","")</f>
        <v/>
      </c>
      <c r="AA31" s="223"/>
      <c r="AB31" s="227" t="str">
        <f>IF(AB29=0,"",ROUND(LOOKUP(AB29,AS!$A$1:$A$12,AS!$B$1:$B$12)*(AF28+AF29+AF30),1))</f>
        <v/>
      </c>
      <c r="AC31" s="227"/>
      <c r="AD31" s="227"/>
      <c r="AE31" s="227"/>
      <c r="AF31" s="222" t="str">
        <f>IF(AB31&lt;&gt;"","mm2","")</f>
        <v/>
      </c>
      <c r="AG31" s="223"/>
    </row>
    <row r="32" spans="4:33" ht="15.75" customHeight="1" x14ac:dyDescent="0.15">
      <c r="E32" s="212" t="s">
        <v>291</v>
      </c>
      <c r="F32" s="212"/>
      <c r="G32" s="212"/>
      <c r="H32" s="7"/>
      <c r="J32" s="385"/>
      <c r="K32" s="385"/>
      <c r="L32" s="385"/>
      <c r="M32" s="387" t="str">
        <f>IF(J32=0,"",ROUND(LOOKUP(J32,AS!$A$1:$A$12,AS!$B$1:$B$12)*$Z6/$Z5,1))</f>
        <v/>
      </c>
      <c r="N32" s="387"/>
      <c r="O32" s="388" t="str">
        <f>IF(J32&lt;&gt;0,"mm2","")</f>
        <v/>
      </c>
      <c r="P32" s="385"/>
      <c r="Q32" s="385"/>
      <c r="R32" s="385"/>
      <c r="S32" s="387" t="str">
        <f>IF(P32=0,"",ROUND(LOOKUP(P32,AS!$A$1:$A$12,AS!$B$1:$B$12)*$Z6/$Z5,1))</f>
        <v/>
      </c>
      <c r="T32" s="387"/>
      <c r="U32" s="388" t="str">
        <f>IF(P32&lt;&gt;0,"mm2","")</f>
        <v/>
      </c>
      <c r="V32" s="229"/>
      <c r="W32" s="229"/>
      <c r="X32" s="229"/>
      <c r="Y32" s="227" t="str">
        <f>IF(V32=0,"",ROUND(LOOKUP(V32,AS!$A$1:$A$12,AS!$B$1:$B$12)*$Z6/$Z5,1))</f>
        <v/>
      </c>
      <c r="Z32" s="227"/>
      <c r="AA32" s="14" t="str">
        <f>IF(V32&lt;&gt;0,"mm2","")</f>
        <v/>
      </c>
      <c r="AB32" s="229"/>
      <c r="AC32" s="229"/>
      <c r="AD32" s="229"/>
      <c r="AE32" s="227" t="str">
        <f>IF(AB32=0,"",ROUND(LOOKUP(AB32,AS!$A$1:$A$12,AS!$B$1:$B$12)*$Z6/$Z5,1))</f>
        <v/>
      </c>
      <c r="AF32" s="227"/>
      <c r="AG32" s="14" t="str">
        <f>IF(AB32&lt;&gt;0,"mm2","")</f>
        <v/>
      </c>
    </row>
    <row r="33" spans="1:33" ht="15.75" customHeight="1" x14ac:dyDescent="0.15">
      <c r="E33" s="213" t="s">
        <v>292</v>
      </c>
      <c r="F33" s="213"/>
      <c r="G33" s="214" t="s">
        <v>9</v>
      </c>
      <c r="H33" s="214"/>
      <c r="I33" s="213"/>
      <c r="J33" s="389"/>
      <c r="K33" s="389"/>
      <c r="L33" s="386"/>
      <c r="M33" s="386"/>
      <c r="N33" s="390" t="str">
        <f>IF(L33&lt;&gt;0,"(本)","")</f>
        <v/>
      </c>
      <c r="O33" s="391"/>
      <c r="P33" s="389"/>
      <c r="Q33" s="389"/>
      <c r="R33" s="386"/>
      <c r="S33" s="386"/>
      <c r="T33" s="390" t="str">
        <f>IF(R33&lt;&gt;0,"(本)","")</f>
        <v/>
      </c>
      <c r="U33" s="391"/>
      <c r="V33" s="13"/>
      <c r="W33" s="13"/>
      <c r="X33" s="232"/>
      <c r="Y33" s="232"/>
      <c r="Z33" s="223" t="str">
        <f>IF(X33&lt;&gt;0,"(本)","")</f>
        <v/>
      </c>
      <c r="AA33" s="222"/>
      <c r="AB33" s="13"/>
      <c r="AC33" s="13"/>
      <c r="AD33" s="232"/>
      <c r="AE33" s="232"/>
      <c r="AF33" s="223" t="str">
        <f>IF(AD33&lt;&gt;0,"(本)","")</f>
        <v/>
      </c>
      <c r="AG33" s="222"/>
    </row>
    <row r="34" spans="1:33" ht="15.75" customHeight="1" x14ac:dyDescent="0.15">
      <c r="A34" s="15"/>
      <c r="B34" s="15"/>
      <c r="C34" s="15"/>
      <c r="E34" s="213" t="s">
        <v>293</v>
      </c>
      <c r="F34" s="213"/>
      <c r="G34" s="213" t="s">
        <v>294</v>
      </c>
      <c r="H34" s="213"/>
      <c r="I34" s="213"/>
      <c r="J34" s="392"/>
      <c r="K34" s="392"/>
      <c r="L34" s="392"/>
      <c r="M34" s="392"/>
      <c r="N34" s="392"/>
      <c r="O34" s="392"/>
      <c r="P34" s="392"/>
      <c r="Q34" s="392"/>
      <c r="R34" s="392"/>
      <c r="S34" s="392"/>
      <c r="T34" s="392"/>
      <c r="U34" s="392"/>
      <c r="V34" s="235"/>
      <c r="W34" s="235"/>
      <c r="X34" s="235"/>
      <c r="Y34" s="235"/>
      <c r="Z34" s="235"/>
      <c r="AA34" s="235"/>
      <c r="AB34" s="235"/>
      <c r="AC34" s="235"/>
      <c r="AD34" s="235"/>
      <c r="AE34" s="235"/>
      <c r="AF34" s="235"/>
      <c r="AG34" s="235"/>
    </row>
    <row r="35" spans="1:33" ht="15.75" customHeight="1" x14ac:dyDescent="0.15">
      <c r="E35" s="213" t="s">
        <v>295</v>
      </c>
      <c r="F35" s="213"/>
      <c r="G35" s="214" t="s">
        <v>296</v>
      </c>
      <c r="H35" s="214"/>
      <c r="I35" s="213"/>
      <c r="J35" s="392"/>
      <c r="K35" s="392"/>
      <c r="L35" s="392"/>
      <c r="M35" s="392"/>
      <c r="N35" s="392"/>
      <c r="O35" s="392"/>
      <c r="P35" s="392"/>
      <c r="Q35" s="392"/>
      <c r="R35" s="392"/>
      <c r="S35" s="392"/>
      <c r="T35" s="392"/>
      <c r="U35" s="392"/>
      <c r="V35" s="235"/>
      <c r="W35" s="235"/>
      <c r="X35" s="235"/>
      <c r="Y35" s="235"/>
      <c r="Z35" s="235"/>
      <c r="AA35" s="235"/>
      <c r="AB35" s="235"/>
      <c r="AC35" s="235"/>
      <c r="AD35" s="235"/>
      <c r="AE35" s="235"/>
      <c r="AF35" s="235"/>
      <c r="AG35" s="235"/>
    </row>
    <row r="36" spans="1:33" ht="15.75" customHeight="1" x14ac:dyDescent="0.15">
      <c r="E36" s="213" t="s">
        <v>297</v>
      </c>
      <c r="F36" s="213"/>
      <c r="G36" s="213" t="s">
        <v>294</v>
      </c>
      <c r="H36" s="213"/>
      <c r="I36" s="213"/>
      <c r="J36" s="235">
        <v>4560.2</v>
      </c>
      <c r="K36" s="235"/>
      <c r="L36" s="235"/>
      <c r="M36" s="235"/>
      <c r="N36" s="235"/>
      <c r="O36" s="235"/>
      <c r="P36" s="235">
        <v>2420.8000000000002</v>
      </c>
      <c r="Q36" s="235"/>
      <c r="R36" s="235"/>
      <c r="S36" s="235"/>
      <c r="T36" s="235"/>
      <c r="U36" s="235"/>
      <c r="V36" s="231" t="str">
        <f>IF(V14&lt;&gt;0,ROUND(Mrdx(V14,V15,V16,V17,IF(V19="",Y19,V19),IF(V21="",Y21,V21),V35,V26,IF(V31="",0,V31),IF(Y32="",0,Y32),IF(X33="",0,X33),$Z4,$Z5,$Z7,$Z8,$Z9,3,V41),1),"")</f>
        <v/>
      </c>
      <c r="W36" s="231"/>
      <c r="X36" s="231"/>
      <c r="Y36" s="231"/>
      <c r="Z36" s="231"/>
      <c r="AA36" s="231"/>
      <c r="AB36" s="231" t="str">
        <f>IF(AB14&lt;&gt;0,ROUND(Mrdx(AB14,AB15,AB16,AB17,IF(AB19="",AE19,AB19),IF(AB21="",AE21,AB21),AB35,AB26,IF(AB31="",0,AB31),IF(AE32="",0,AE32),IF(AD33="",0,AD33),$Z4,$Z5,$Z7,$Z8,$Z9,3,AB41),1),"")</f>
        <v/>
      </c>
      <c r="AC36" s="231"/>
      <c r="AD36" s="231"/>
      <c r="AE36" s="231"/>
      <c r="AF36" s="231"/>
      <c r="AG36" s="231"/>
    </row>
    <row r="37" spans="1:33" ht="15.75" customHeight="1" x14ac:dyDescent="0.15">
      <c r="E37" s="213" t="s">
        <v>298</v>
      </c>
      <c r="F37" s="213"/>
      <c r="G37" s="214" t="s">
        <v>296</v>
      </c>
      <c r="H37" s="214"/>
      <c r="I37" s="213"/>
      <c r="J37" s="231" t="str">
        <f>IF(J35=0,"",J35)</f>
        <v/>
      </c>
      <c r="K37" s="231"/>
      <c r="L37" s="228"/>
      <c r="M37" s="228"/>
      <c r="N37" s="228"/>
      <c r="O37" s="228"/>
      <c r="P37" s="231" t="str">
        <f>IF(P35=0,"",P35)</f>
        <v/>
      </c>
      <c r="Q37" s="231"/>
      <c r="R37" s="228"/>
      <c r="S37" s="228"/>
      <c r="T37" s="228"/>
      <c r="U37" s="228"/>
      <c r="V37" s="231" t="str">
        <f>IF(V35=0,"",V35)</f>
        <v/>
      </c>
      <c r="W37" s="231"/>
      <c r="X37" s="228"/>
      <c r="Y37" s="228"/>
      <c r="Z37" s="228"/>
      <c r="AA37" s="228"/>
      <c r="AB37" s="231" t="str">
        <f>IF(AB35=0,"",AB35)</f>
        <v/>
      </c>
      <c r="AC37" s="231"/>
      <c r="AD37" s="228"/>
      <c r="AE37" s="228"/>
      <c r="AF37" s="228"/>
      <c r="AG37" s="228"/>
    </row>
    <row r="38" spans="1:33" ht="15.75" customHeight="1" x14ac:dyDescent="0.15">
      <c r="D38" s="211" t="s">
        <v>299</v>
      </c>
      <c r="E38" s="211"/>
      <c r="F38" s="211"/>
      <c r="G38" s="211"/>
      <c r="H38" s="211"/>
      <c r="I38" s="211"/>
      <c r="J38" s="233" t="str">
        <f>IF(J34&lt;&gt;"",ROUND($Z10*J34/J36,3),"")</f>
        <v/>
      </c>
      <c r="K38" s="233"/>
      <c r="L38" s="233"/>
      <c r="M38" s="16" t="str">
        <f>IF(J38&lt;&gt;"",IF(J38&lt;N38,"＜","＞"),"")</f>
        <v/>
      </c>
      <c r="N38" s="234" t="str">
        <f>IF(J38="","",IF(J38&lt;&gt;0,1,""))</f>
        <v/>
      </c>
      <c r="O38" s="234"/>
      <c r="P38" s="233" t="str">
        <f>IF(P34&lt;&gt;"",ROUND($Z10*P34/P36,3),"")</f>
        <v/>
      </c>
      <c r="Q38" s="233"/>
      <c r="R38" s="233"/>
      <c r="S38" s="16" t="str">
        <f>IF(P38&lt;&gt;"",IF(P38&lt;T38,"＜","＞"),"")</f>
        <v/>
      </c>
      <c r="T38" s="234" t="str">
        <f>IF(P38="","",IF(P38&lt;&gt;0,1,""))</f>
        <v/>
      </c>
      <c r="U38" s="234"/>
      <c r="V38" s="233" t="str">
        <f>IF(V34&lt;&gt;"",ROUND($Z10*V34/V36,3),"")</f>
        <v/>
      </c>
      <c r="W38" s="233"/>
      <c r="X38" s="233"/>
      <c r="Y38" s="16" t="str">
        <f>IF(V38&lt;&gt;"",IF(V38&lt;Z38,"＜","＞"),"")</f>
        <v/>
      </c>
      <c r="Z38" s="234" t="str">
        <f>IF(V38="","",IF(V38&lt;&gt;0,1,""))</f>
        <v/>
      </c>
      <c r="AA38" s="234"/>
      <c r="AB38" s="233" t="str">
        <f>IF(AB34&lt;&gt;"",ROUND($Z10*AB34/AB36,3),"")</f>
        <v/>
      </c>
      <c r="AC38" s="233"/>
      <c r="AD38" s="233"/>
      <c r="AE38" s="16" t="str">
        <f>IF(AB38&lt;&gt;"",IF(AB38&lt;AF38,"＜","＞"),"")</f>
        <v/>
      </c>
      <c r="AF38" s="234" t="str">
        <f>IF(AB38="","",IF(AB38&lt;&gt;0,1,""))</f>
        <v/>
      </c>
      <c r="AG38" s="234"/>
    </row>
    <row r="39" spans="1:33" ht="15.75" customHeight="1" x14ac:dyDescent="0.15">
      <c r="E39" s="211" t="s">
        <v>300</v>
      </c>
      <c r="F39" s="212"/>
      <c r="G39" s="212"/>
      <c r="H39" s="7"/>
      <c r="I39" s="17"/>
      <c r="J39" s="224">
        <f>IF(J14&lt;&gt;0,$Z$5/200000,"")</f>
        <v>1.9499999999999999E-3</v>
      </c>
      <c r="K39" s="224"/>
      <c r="L39" s="224"/>
      <c r="M39" s="224"/>
      <c r="N39" s="224"/>
      <c r="O39" s="224"/>
      <c r="P39" s="224">
        <f>IF(P14&lt;&gt;0,$Z$5/200000,"")</f>
        <v>1.9499999999999999E-3</v>
      </c>
      <c r="Q39" s="224"/>
      <c r="R39" s="224"/>
      <c r="S39" s="224"/>
      <c r="T39" s="224"/>
      <c r="U39" s="224"/>
      <c r="V39" s="224" t="str">
        <f>IF(V14&lt;&gt;0,$Z$5/200000,"")</f>
        <v/>
      </c>
      <c r="W39" s="224"/>
      <c r="X39" s="224"/>
      <c r="Y39" s="224"/>
      <c r="Z39" s="224"/>
      <c r="AA39" s="224"/>
      <c r="AB39" s="224" t="str">
        <f>IF(AB14&lt;&gt;0,$Z$5/200000,"")</f>
        <v/>
      </c>
      <c r="AC39" s="224"/>
      <c r="AD39" s="224"/>
      <c r="AE39" s="224"/>
      <c r="AF39" s="224"/>
      <c r="AG39" s="224"/>
    </row>
    <row r="40" spans="1:33" ht="15.75" customHeight="1" x14ac:dyDescent="0.15">
      <c r="E40" s="211" t="s">
        <v>301</v>
      </c>
      <c r="F40" s="212"/>
      <c r="G40" s="212"/>
      <c r="H40" s="7"/>
      <c r="J40" s="224">
        <f>IF(J14&lt;&gt;"",J41/(J18-J41)*J39,"")</f>
        <v>4.3786654564316197E-4</v>
      </c>
      <c r="K40" s="224"/>
      <c r="L40" s="224"/>
      <c r="M40" s="224"/>
      <c r="N40" s="224"/>
      <c r="O40" s="224"/>
      <c r="P40" s="224">
        <f>IF(P14&lt;&gt;"",P41/(P18-P41)*P39,"")</f>
        <v>3.7437263466531475E-4</v>
      </c>
      <c r="Q40" s="224"/>
      <c r="R40" s="224"/>
      <c r="S40" s="224"/>
      <c r="T40" s="224"/>
      <c r="U40" s="224"/>
      <c r="V40" s="224" t="str">
        <f>IF(V14&lt;&gt;"",V41/(V18-V41)*V39,"")</f>
        <v/>
      </c>
      <c r="W40" s="224"/>
      <c r="X40" s="224"/>
      <c r="Y40" s="224"/>
      <c r="Z40" s="224"/>
      <c r="AA40" s="224"/>
      <c r="AB40" s="224" t="str">
        <f>IF(AB14&lt;&gt;"",AB41/(AB18-AB41)*AB39,"")</f>
        <v/>
      </c>
      <c r="AC40" s="224"/>
      <c r="AD40" s="224"/>
      <c r="AE40" s="224"/>
      <c r="AF40" s="224"/>
      <c r="AG40" s="224"/>
    </row>
    <row r="41" spans="1:33" ht="15.75" customHeight="1" x14ac:dyDescent="0.15">
      <c r="D41" s="10"/>
      <c r="E41" s="225" t="s">
        <v>302</v>
      </c>
      <c r="F41" s="225"/>
      <c r="G41" s="214" t="s">
        <v>303</v>
      </c>
      <c r="H41" s="214"/>
      <c r="I41" s="214"/>
      <c r="J41" s="218">
        <f>IF(J14&lt;&gt;0,Mrdx(J14,J15,J16,J17,IF(J19="",M19,J19),IF(J21="",M21,J21),J35,J26,J31,IF(M32="",0,M32),IF(L33="",0,L33),$Z4,$Z5,$Z7,$Z8,$Z9,2,0),"")</f>
        <v>314.11529009244089</v>
      </c>
      <c r="K41" s="218"/>
      <c r="L41" s="218"/>
      <c r="M41" s="218"/>
      <c r="N41" s="218"/>
      <c r="O41" s="218"/>
      <c r="P41" s="218">
        <f>IF(P14&lt;&gt;0,Mrdx(P14,P15,P16,P17,IF(P19="",S19,P19),IF(P21="",S21,P21),P35,P26,P31,IF(S32="",0,S32),IF(R33="",0,R33),$Z4,$Z5,$Z7,$Z8,$Z9,2,0),"")</f>
        <v>273.8087126992333</v>
      </c>
      <c r="Q41" s="218"/>
      <c r="R41" s="218"/>
      <c r="S41" s="218"/>
      <c r="T41" s="218"/>
      <c r="U41" s="218"/>
      <c r="V41" s="218" t="str">
        <f>IF(V14&lt;&gt;0,Mrdx(V14,V15,V16,V17,IF(V19="",Y19,V19),IF(V21="",Y21,V21),V35,V26,V31,IF(Y32="",0,Y32),IF(X33="",0,X33),$Z4,$Z5,$Z7,$Z8,$Z9,2,0),"")</f>
        <v/>
      </c>
      <c r="W41" s="218"/>
      <c r="X41" s="218"/>
      <c r="Y41" s="218"/>
      <c r="Z41" s="218"/>
      <c r="AA41" s="218"/>
      <c r="AB41" s="218" t="str">
        <f>IF(AB14&lt;&gt;0,Mrdx(AB14,AB15,AB16,AB17,IF(AB19="",AE19,AB19),IF(AB21="",AE21,AB21),AB35,AB26,AB31,IF(AE32="",0,AE32),IF(AD33="",0,AD33),$Z4,$Z5,$Z7,$Z8,$Z9,2,0),"")</f>
        <v/>
      </c>
      <c r="AC41" s="218"/>
      <c r="AD41" s="218"/>
      <c r="AE41" s="218"/>
      <c r="AF41" s="218"/>
      <c r="AG41" s="218"/>
    </row>
    <row r="42" spans="1:33" ht="15.75" customHeight="1" x14ac:dyDescent="0.15">
      <c r="E42" s="212" t="s">
        <v>304</v>
      </c>
      <c r="F42" s="212"/>
      <c r="G42" s="212"/>
      <c r="H42" s="7"/>
      <c r="J42" s="11"/>
      <c r="K42" s="11"/>
      <c r="L42" s="11"/>
      <c r="M42" s="11"/>
      <c r="N42" s="11"/>
      <c r="O42" s="11"/>
      <c r="P42" s="11"/>
      <c r="Q42" s="11"/>
      <c r="R42" s="11"/>
      <c r="S42" s="11"/>
      <c r="T42" s="11"/>
      <c r="U42" s="11"/>
      <c r="V42" s="11"/>
      <c r="W42" s="11"/>
      <c r="X42" s="11"/>
      <c r="Y42" s="11"/>
      <c r="Z42" s="11"/>
      <c r="AA42" s="11"/>
      <c r="AB42" s="11"/>
      <c r="AC42" s="11"/>
      <c r="AD42" s="11"/>
      <c r="AE42" s="11"/>
      <c r="AF42" s="11"/>
      <c r="AG42" s="11"/>
    </row>
    <row r="43" spans="1:33" ht="15.75" customHeight="1" x14ac:dyDescent="0.15">
      <c r="D43" s="211" t="s">
        <v>6</v>
      </c>
      <c r="E43" s="211"/>
      <c r="F43" s="211"/>
      <c r="G43" s="211"/>
      <c r="H43" s="211"/>
      <c r="I43" s="211"/>
      <c r="J43" s="11"/>
      <c r="K43" s="11"/>
      <c r="L43" s="11"/>
      <c r="M43" s="11"/>
      <c r="N43" s="11"/>
      <c r="O43" s="11"/>
      <c r="P43" s="11"/>
      <c r="Q43" s="11"/>
      <c r="R43" s="11"/>
      <c r="S43" s="11"/>
      <c r="T43" s="11"/>
      <c r="U43" s="11"/>
      <c r="V43" s="11"/>
      <c r="W43" s="11"/>
      <c r="X43" s="11"/>
      <c r="Y43" s="11"/>
      <c r="Z43" s="11"/>
      <c r="AA43" s="11"/>
      <c r="AB43" s="11"/>
      <c r="AC43" s="11"/>
      <c r="AD43" s="11"/>
      <c r="AE43" s="11"/>
      <c r="AF43" s="11"/>
      <c r="AG43" s="11"/>
    </row>
    <row r="44" spans="1:33" ht="15.75" customHeight="1" x14ac:dyDescent="0.15">
      <c r="D44" s="211"/>
      <c r="E44" s="211"/>
      <c r="F44" s="211"/>
      <c r="G44" s="211"/>
      <c r="H44" s="211"/>
      <c r="I44" s="211"/>
      <c r="J44" s="11"/>
      <c r="K44" s="11"/>
      <c r="L44" s="11"/>
      <c r="M44" s="11"/>
      <c r="N44" s="11"/>
      <c r="O44" s="11"/>
      <c r="P44" s="11"/>
      <c r="Q44" s="11"/>
      <c r="R44" s="11"/>
      <c r="S44" s="11"/>
      <c r="T44" s="11"/>
      <c r="U44" s="11"/>
      <c r="V44" s="11"/>
      <c r="W44" s="11"/>
      <c r="X44" s="11"/>
      <c r="Y44" s="11"/>
      <c r="Z44" s="11"/>
      <c r="AA44" s="11"/>
      <c r="AB44" s="11"/>
      <c r="AC44" s="11"/>
      <c r="AD44" s="11"/>
      <c r="AE44" s="11"/>
      <c r="AF44" s="11"/>
      <c r="AG44" s="11"/>
    </row>
    <row r="46" spans="1:33" ht="15.75" customHeight="1" x14ac:dyDescent="0.15">
      <c r="D46" s="5" t="s">
        <v>10</v>
      </c>
      <c r="F46" s="5"/>
      <c r="G46" s="5"/>
      <c r="H46" s="5"/>
      <c r="J46" s="5"/>
      <c r="K46" s="5"/>
      <c r="L46" s="5"/>
      <c r="M46" s="5"/>
      <c r="N46" s="5"/>
    </row>
    <row r="47" spans="1:33" ht="15.75" customHeight="1" x14ac:dyDescent="0.15">
      <c r="D47" s="5" t="s">
        <v>266</v>
      </c>
      <c r="F47" s="18"/>
      <c r="G47" s="18"/>
      <c r="H47" s="18"/>
      <c r="J47" s="18"/>
      <c r="K47" s="18"/>
      <c r="L47" s="18"/>
      <c r="M47" s="18"/>
      <c r="N47" s="18"/>
      <c r="O47" s="18"/>
      <c r="P47" s="18"/>
      <c r="Q47" s="18"/>
      <c r="R47" s="18"/>
      <c r="S47" s="18"/>
      <c r="T47" s="18"/>
      <c r="U47" s="18"/>
      <c r="V47" s="18"/>
      <c r="W47" s="18"/>
      <c r="X47" s="18"/>
      <c r="Y47" s="18"/>
      <c r="Z47" s="18"/>
      <c r="AA47" s="18"/>
      <c r="AB47" s="18"/>
      <c r="AC47" s="18"/>
    </row>
    <row r="48" spans="1:33" ht="15.75" customHeight="1" x14ac:dyDescent="0.15">
      <c r="D48" s="18" t="str">
        <f>IF(Z6/Z5&lt;1,"側鉄筋１本当りの断面積は、主鉄筋との降伏強度比による換算断面積とする","")</f>
        <v/>
      </c>
    </row>
  </sheetData>
  <mergeCells count="204">
    <mergeCell ref="Z28:AA28"/>
    <mergeCell ref="Z29:AA29"/>
    <mergeCell ref="E32:G32"/>
    <mergeCell ref="Z30:AA30"/>
    <mergeCell ref="AF28:AG28"/>
    <mergeCell ref="AF29:AG29"/>
    <mergeCell ref="AF30:AG30"/>
    <mergeCell ref="N29:O29"/>
    <mergeCell ref="N30:O30"/>
    <mergeCell ref="T23:U23"/>
    <mergeCell ref="T24:U24"/>
    <mergeCell ref="T25:U25"/>
    <mergeCell ref="T28:U28"/>
    <mergeCell ref="T29:U29"/>
    <mergeCell ref="T30:U30"/>
    <mergeCell ref="P29:R29"/>
    <mergeCell ref="P27:U27"/>
    <mergeCell ref="V27:AA27"/>
    <mergeCell ref="AB27:AG27"/>
    <mergeCell ref="P26:S26"/>
    <mergeCell ref="T26:U26"/>
    <mergeCell ref="V29:X29"/>
    <mergeCell ref="AB29:AD29"/>
    <mergeCell ref="Z23:AA23"/>
    <mergeCell ref="Z24:AA24"/>
    <mergeCell ref="Z25:AA25"/>
    <mergeCell ref="J29:L29"/>
    <mergeCell ref="N26:O26"/>
    <mergeCell ref="J26:M26"/>
    <mergeCell ref="J27:O27"/>
    <mergeCell ref="N25:O25"/>
    <mergeCell ref="N28:O28"/>
    <mergeCell ref="J12:O12"/>
    <mergeCell ref="J13:O13"/>
    <mergeCell ref="J24:L24"/>
    <mergeCell ref="J15:O15"/>
    <mergeCell ref="J14:O14"/>
    <mergeCell ref="M20:O20"/>
    <mergeCell ref="M22:O22"/>
    <mergeCell ref="N23:O23"/>
    <mergeCell ref="N24:O24"/>
    <mergeCell ref="W4:X4"/>
    <mergeCell ref="Z4:AA4"/>
    <mergeCell ref="E19:F19"/>
    <mergeCell ref="G19:I19"/>
    <mergeCell ref="J19:L19"/>
    <mergeCell ref="M19:O19"/>
    <mergeCell ref="J17:O17"/>
    <mergeCell ref="J16:O16"/>
    <mergeCell ref="J18:O18"/>
    <mergeCell ref="W10:X10"/>
    <mergeCell ref="W9:X9"/>
    <mergeCell ref="Z10:AA10"/>
    <mergeCell ref="Z9:AA9"/>
    <mergeCell ref="W7:X7"/>
    <mergeCell ref="W8:X8"/>
    <mergeCell ref="Z5:AA5"/>
    <mergeCell ref="W5:X5"/>
    <mergeCell ref="Z7:AA7"/>
    <mergeCell ref="Z8:AA8"/>
    <mergeCell ref="W6:X6"/>
    <mergeCell ref="Z6:AA6"/>
    <mergeCell ref="E15:F15"/>
    <mergeCell ref="E17:F17"/>
    <mergeCell ref="E33:F33"/>
    <mergeCell ref="G33:I33"/>
    <mergeCell ref="J34:O34"/>
    <mergeCell ref="D29:I30"/>
    <mergeCell ref="J39:O39"/>
    <mergeCell ref="D13:I13"/>
    <mergeCell ref="D12:I12"/>
    <mergeCell ref="G15:I15"/>
    <mergeCell ref="G14:I14"/>
    <mergeCell ref="G16:I16"/>
    <mergeCell ref="G18:I18"/>
    <mergeCell ref="G21:I21"/>
    <mergeCell ref="E27:G27"/>
    <mergeCell ref="G17:I17"/>
    <mergeCell ref="N31:O31"/>
    <mergeCell ref="M32:N32"/>
    <mergeCell ref="L33:M33"/>
    <mergeCell ref="J31:M31"/>
    <mergeCell ref="J32:L32"/>
    <mergeCell ref="N33:O33"/>
    <mergeCell ref="D24:I25"/>
    <mergeCell ref="E21:F21"/>
    <mergeCell ref="M21:O21"/>
    <mergeCell ref="J21:L21"/>
    <mergeCell ref="E42:G42"/>
    <mergeCell ref="D43:I44"/>
    <mergeCell ref="J37:O37"/>
    <mergeCell ref="J38:L38"/>
    <mergeCell ref="N38:O38"/>
    <mergeCell ref="E34:F34"/>
    <mergeCell ref="G34:I34"/>
    <mergeCell ref="J36:O36"/>
    <mergeCell ref="J35:O35"/>
    <mergeCell ref="G36:I36"/>
    <mergeCell ref="J40:O40"/>
    <mergeCell ref="G41:I41"/>
    <mergeCell ref="E40:G40"/>
    <mergeCell ref="J41:O41"/>
    <mergeCell ref="E41:F41"/>
    <mergeCell ref="E39:G39"/>
    <mergeCell ref="E35:F35"/>
    <mergeCell ref="G35:I35"/>
    <mergeCell ref="E37:F37"/>
    <mergeCell ref="G37:I37"/>
    <mergeCell ref="E36:F36"/>
    <mergeCell ref="D38:I38"/>
    <mergeCell ref="P21:R21"/>
    <mergeCell ref="S21:U21"/>
    <mergeCell ref="P24:R24"/>
    <mergeCell ref="S20:U20"/>
    <mergeCell ref="S22:U22"/>
    <mergeCell ref="V12:AA12"/>
    <mergeCell ref="P15:U15"/>
    <mergeCell ref="V15:AA15"/>
    <mergeCell ref="V18:AA18"/>
    <mergeCell ref="V24:X24"/>
    <mergeCell ref="V16:AA16"/>
    <mergeCell ref="Y20:AA20"/>
    <mergeCell ref="AB12:AG12"/>
    <mergeCell ref="P13:U13"/>
    <mergeCell ref="V13:AA13"/>
    <mergeCell ref="AB13:AG13"/>
    <mergeCell ref="P12:U12"/>
    <mergeCell ref="V14:AA14"/>
    <mergeCell ref="AB14:AG14"/>
    <mergeCell ref="AB15:AG15"/>
    <mergeCell ref="P14:U14"/>
    <mergeCell ref="AB16:AG16"/>
    <mergeCell ref="P17:U17"/>
    <mergeCell ref="V17:AA17"/>
    <mergeCell ref="AB17:AG17"/>
    <mergeCell ref="P16:U16"/>
    <mergeCell ref="AB18:AG18"/>
    <mergeCell ref="P19:R19"/>
    <mergeCell ref="S19:U19"/>
    <mergeCell ref="V19:X19"/>
    <mergeCell ref="Y19:AA19"/>
    <mergeCell ref="AB19:AD19"/>
    <mergeCell ref="AE19:AG19"/>
    <mergeCell ref="P18:U18"/>
    <mergeCell ref="AE20:AG20"/>
    <mergeCell ref="Y22:AA22"/>
    <mergeCell ref="AE22:AG22"/>
    <mergeCell ref="V21:X21"/>
    <mergeCell ref="Y21:AA21"/>
    <mergeCell ref="AB21:AD21"/>
    <mergeCell ref="AE21:AG21"/>
    <mergeCell ref="AB26:AE26"/>
    <mergeCell ref="AF26:AG26"/>
    <mergeCell ref="V26:Y26"/>
    <mergeCell ref="Z26:AA26"/>
    <mergeCell ref="AF23:AG23"/>
    <mergeCell ref="AF24:AG24"/>
    <mergeCell ref="AF25:AG25"/>
    <mergeCell ref="AB24:AD24"/>
    <mergeCell ref="AB32:AD32"/>
    <mergeCell ref="AE32:AF32"/>
    <mergeCell ref="AB31:AE31"/>
    <mergeCell ref="AF31:AG31"/>
    <mergeCell ref="P31:S31"/>
    <mergeCell ref="T31:U31"/>
    <mergeCell ref="V31:Y31"/>
    <mergeCell ref="Z31:AA31"/>
    <mergeCell ref="AD33:AE33"/>
    <mergeCell ref="AF33:AG33"/>
    <mergeCell ref="P32:R32"/>
    <mergeCell ref="S32:T32"/>
    <mergeCell ref="R33:S33"/>
    <mergeCell ref="T33:U33"/>
    <mergeCell ref="X33:Y33"/>
    <mergeCell ref="Z33:AA33"/>
    <mergeCell ref="V32:X32"/>
    <mergeCell ref="Y32:Z32"/>
    <mergeCell ref="P34:U34"/>
    <mergeCell ref="V34:AA34"/>
    <mergeCell ref="AB34:AG34"/>
    <mergeCell ref="P35:U35"/>
    <mergeCell ref="V35:AA35"/>
    <mergeCell ref="AB35:AG35"/>
    <mergeCell ref="P36:U36"/>
    <mergeCell ref="V36:AA36"/>
    <mergeCell ref="AB36:AG36"/>
    <mergeCell ref="P40:U40"/>
    <mergeCell ref="V40:AA40"/>
    <mergeCell ref="AB40:AG40"/>
    <mergeCell ref="P41:U41"/>
    <mergeCell ref="V41:AA41"/>
    <mergeCell ref="AB41:AG41"/>
    <mergeCell ref="P37:U37"/>
    <mergeCell ref="V37:AA37"/>
    <mergeCell ref="AB37:AG37"/>
    <mergeCell ref="AB38:AD38"/>
    <mergeCell ref="AF38:AG38"/>
    <mergeCell ref="P39:U39"/>
    <mergeCell ref="V39:AA39"/>
    <mergeCell ref="AB39:AG39"/>
    <mergeCell ref="P38:R38"/>
    <mergeCell ref="T38:U38"/>
    <mergeCell ref="V38:X38"/>
    <mergeCell ref="Z38:AA38"/>
  </mergeCells>
  <phoneticPr fontId="3"/>
  <pageMargins left="0.98425196850393704" right="0.59055118110236227" top="0.78740157480314965" bottom="0.59055118110236227" header="0.51181102362204722" footer="0.51181102362204722"/>
  <pageSetup paperSize="9" orientation="portrait" blackAndWhite="1" horizontalDpi="4294967292"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21059-3953-433C-98E0-52101AE16F96}">
  <sheetPr codeName="Sheet20"/>
  <dimension ref="B1:BS1578"/>
  <sheetViews>
    <sheetView view="pageBreakPreview" zoomScaleNormal="100" zoomScaleSheetLayoutView="100" workbookViewId="0">
      <selection activeCell="AF61" sqref="AF61"/>
    </sheetView>
  </sheetViews>
  <sheetFormatPr defaultColWidth="2.7109375" defaultRowHeight="15.75" customHeight="1" x14ac:dyDescent="0.15"/>
  <cols>
    <col min="1" max="16384" width="2.7109375" style="27"/>
  </cols>
  <sheetData>
    <row r="1" spans="2:38" s="56" customFormat="1" ht="15.75" customHeight="1" x14ac:dyDescent="0.15">
      <c r="AK1" s="27">
        <v>10</v>
      </c>
      <c r="AL1" s="27">
        <v>71.33</v>
      </c>
    </row>
    <row r="2" spans="2:38" s="56" customFormat="1" ht="15.75" customHeight="1" x14ac:dyDescent="0.15">
      <c r="B2" s="26" t="str">
        <f>'躯体（線路）'!AL5&amp;".4　杭の構造細目"</f>
        <v>2.4　杭の構造細目</v>
      </c>
      <c r="D2" s="63"/>
      <c r="E2" s="63"/>
      <c r="F2" s="63"/>
      <c r="AK2" s="27">
        <v>13</v>
      </c>
      <c r="AL2" s="27">
        <v>126.7</v>
      </c>
    </row>
    <row r="3" spans="2:38" s="56" customFormat="1" ht="15.75" customHeight="1" x14ac:dyDescent="0.15">
      <c r="AK3" s="27">
        <v>16</v>
      </c>
      <c r="AL3" s="27">
        <v>198.6</v>
      </c>
    </row>
    <row r="4" spans="2:38" s="56" customFormat="1" ht="15.75" customHeight="1" x14ac:dyDescent="0.15">
      <c r="C4" s="27" t="s">
        <v>475</v>
      </c>
      <c r="AK4" s="27">
        <v>19</v>
      </c>
      <c r="AL4" s="27">
        <v>286.5</v>
      </c>
    </row>
    <row r="5" spans="2:38" s="56" customFormat="1" ht="15.75" customHeight="1" x14ac:dyDescent="0.15">
      <c r="AK5" s="27">
        <v>22</v>
      </c>
      <c r="AL5" s="27">
        <v>387.1</v>
      </c>
    </row>
    <row r="6" spans="2:38" s="56" customFormat="1" ht="15.75" customHeight="1" x14ac:dyDescent="0.15">
      <c r="E6" s="124" t="s">
        <v>382</v>
      </c>
      <c r="F6" s="124"/>
      <c r="G6" s="124" t="s">
        <v>383</v>
      </c>
      <c r="H6" s="124" t="s">
        <v>384</v>
      </c>
      <c r="I6" s="124"/>
      <c r="J6" s="124"/>
      <c r="K6" s="124"/>
      <c r="L6" s="124"/>
      <c r="M6" s="124"/>
      <c r="N6" s="124"/>
      <c r="O6" s="124"/>
      <c r="P6" s="124"/>
      <c r="AK6" s="27">
        <v>25</v>
      </c>
      <c r="AL6" s="27">
        <v>506.7</v>
      </c>
    </row>
    <row r="7" spans="2:38" s="56" customFormat="1" ht="15.75" customHeight="1" x14ac:dyDescent="0.15">
      <c r="E7" s="124"/>
      <c r="F7" s="124"/>
      <c r="G7" s="124"/>
      <c r="H7" s="124" t="s">
        <v>385</v>
      </c>
      <c r="I7" s="124"/>
      <c r="J7" s="124"/>
      <c r="K7" s="124"/>
      <c r="L7" s="124"/>
      <c r="M7" s="124"/>
      <c r="N7" s="124"/>
      <c r="O7" s="124"/>
      <c r="P7" s="124"/>
      <c r="AK7" s="27">
        <v>29</v>
      </c>
      <c r="AL7" s="27">
        <v>642.4</v>
      </c>
    </row>
    <row r="8" spans="2:38" s="56" customFormat="1" ht="15.75" customHeight="1" x14ac:dyDescent="0.15">
      <c r="E8" s="31"/>
      <c r="F8" s="31"/>
      <c r="G8" s="31"/>
      <c r="H8" s="31"/>
      <c r="I8" s="31"/>
      <c r="J8" s="31"/>
      <c r="K8" s="31"/>
      <c r="L8" s="31"/>
      <c r="M8" s="31"/>
      <c r="AK8" s="27">
        <v>32</v>
      </c>
      <c r="AL8" s="27">
        <v>794.2</v>
      </c>
    </row>
    <row r="9" spans="2:38" s="56" customFormat="1" ht="15.75" customHeight="1" x14ac:dyDescent="0.15">
      <c r="F9" s="39" t="s">
        <v>386</v>
      </c>
      <c r="G9" s="124" t="s">
        <v>387</v>
      </c>
      <c r="H9" s="124"/>
      <c r="I9" s="124"/>
      <c r="J9" s="31" t="s">
        <v>388</v>
      </c>
      <c r="K9" s="56" t="s">
        <v>389</v>
      </c>
      <c r="AK9" s="27">
        <v>35</v>
      </c>
      <c r="AL9" s="27">
        <v>956.6</v>
      </c>
    </row>
    <row r="10" spans="2:38" s="56" customFormat="1" ht="15.75" customHeight="1" x14ac:dyDescent="0.15">
      <c r="G10" s="124" t="s">
        <v>390</v>
      </c>
      <c r="H10" s="124"/>
      <c r="I10" s="124"/>
      <c r="J10" s="31" t="s">
        <v>388</v>
      </c>
      <c r="K10" s="64" t="s">
        <v>391</v>
      </c>
      <c r="AK10" s="27">
        <v>38</v>
      </c>
      <c r="AL10" s="27">
        <v>1140</v>
      </c>
    </row>
    <row r="11" spans="2:38" s="56" customFormat="1" ht="15.75" customHeight="1" x14ac:dyDescent="0.15">
      <c r="G11" s="124" t="s">
        <v>392</v>
      </c>
      <c r="H11" s="124"/>
      <c r="I11" s="124"/>
      <c r="J11" s="31" t="s">
        <v>393</v>
      </c>
      <c r="K11" s="64" t="s">
        <v>394</v>
      </c>
    </row>
    <row r="12" spans="2:38" s="56" customFormat="1" ht="15.75" customHeight="1" x14ac:dyDescent="0.15">
      <c r="G12" s="124" t="s">
        <v>395</v>
      </c>
      <c r="H12" s="124"/>
      <c r="I12" s="124"/>
      <c r="J12" s="31" t="s">
        <v>396</v>
      </c>
      <c r="K12" s="240">
        <v>7403.05</v>
      </c>
      <c r="L12" s="240"/>
      <c r="M12" s="240"/>
      <c r="N12" s="240"/>
      <c r="O12" s="56" t="s">
        <v>397</v>
      </c>
      <c r="P12" s="56" t="s">
        <v>494</v>
      </c>
    </row>
    <row r="13" spans="2:38" s="56" customFormat="1" ht="15.75" customHeight="1" x14ac:dyDescent="0.15">
      <c r="G13" s="31"/>
      <c r="H13" s="31"/>
      <c r="I13" s="31"/>
      <c r="J13" s="54"/>
      <c r="K13" s="54"/>
      <c r="L13" s="54"/>
    </row>
    <row r="14" spans="2:38" s="56" customFormat="1" ht="15.75" customHeight="1" x14ac:dyDescent="0.15">
      <c r="E14" s="124" t="s">
        <v>479</v>
      </c>
      <c r="F14" s="124"/>
      <c r="G14" s="124" t="s">
        <v>480</v>
      </c>
      <c r="J14" s="124">
        <v>1.04E-2</v>
      </c>
      <c r="K14" s="124"/>
      <c r="L14" s="124"/>
      <c r="M14" s="124"/>
      <c r="N14" s="31" t="s">
        <v>481</v>
      </c>
      <c r="O14" s="125">
        <f>K12</f>
        <v>7403.05</v>
      </c>
      <c r="P14" s="125"/>
      <c r="Q14" s="125"/>
      <c r="R14" s="125"/>
      <c r="S14" s="31" t="s">
        <v>481</v>
      </c>
      <c r="T14" s="65" t="s">
        <v>482</v>
      </c>
      <c r="U14" s="65"/>
      <c r="W14" s="124" t="s">
        <v>480</v>
      </c>
      <c r="X14" s="119">
        <f>J14*O14*1000/(H15*L15+P15*T15)</f>
        <v>3671.5174058178354</v>
      </c>
      <c r="Y14" s="119"/>
      <c r="Z14" s="119"/>
      <c r="AA14" s="119"/>
      <c r="AB14" s="146" t="s">
        <v>483</v>
      </c>
      <c r="AC14" s="146"/>
    </row>
    <row r="15" spans="2:38" s="56" customFormat="1" ht="15.75" customHeight="1" x14ac:dyDescent="0.15">
      <c r="E15" s="124"/>
      <c r="F15" s="124"/>
      <c r="G15" s="124"/>
      <c r="H15" s="124">
        <v>0.85</v>
      </c>
      <c r="I15" s="124"/>
      <c r="J15" s="124"/>
      <c r="K15" s="31" t="s">
        <v>481</v>
      </c>
      <c r="L15" s="140">
        <v>21</v>
      </c>
      <c r="M15" s="140"/>
      <c r="N15" s="140"/>
      <c r="O15" s="31" t="s">
        <v>484</v>
      </c>
      <c r="P15" s="124">
        <v>8.0000000000000002E-3</v>
      </c>
      <c r="Q15" s="124"/>
      <c r="R15" s="124"/>
      <c r="S15" s="31" t="s">
        <v>481</v>
      </c>
      <c r="T15" s="277">
        <v>390</v>
      </c>
      <c r="U15" s="277"/>
      <c r="V15" s="277"/>
      <c r="W15" s="124"/>
      <c r="X15" s="119"/>
      <c r="Y15" s="119"/>
      <c r="Z15" s="119"/>
      <c r="AA15" s="119"/>
      <c r="AB15" s="146"/>
      <c r="AC15" s="146"/>
    </row>
    <row r="16" spans="2:38" s="56" customFormat="1" ht="15.75" customHeight="1" x14ac:dyDescent="0.15"/>
    <row r="17" spans="3:68" s="56" customFormat="1" ht="15.75" customHeight="1" x14ac:dyDescent="0.15">
      <c r="E17" s="124" t="s">
        <v>485</v>
      </c>
      <c r="F17" s="124"/>
      <c r="G17" s="31" t="s">
        <v>480</v>
      </c>
      <c r="H17" s="278">
        <v>32</v>
      </c>
      <c r="I17" s="278"/>
      <c r="J17" s="31" t="s">
        <v>486</v>
      </c>
      <c r="K17" s="153">
        <v>16</v>
      </c>
      <c r="L17" s="153"/>
      <c r="M17" s="56" t="s">
        <v>378</v>
      </c>
      <c r="N17" s="31" t="s">
        <v>375</v>
      </c>
      <c r="O17" s="119">
        <f>VLOOKUP(H17,AK1:AL10,2,FALSE)*K17</f>
        <v>12707.2</v>
      </c>
      <c r="P17" s="119"/>
      <c r="Q17" s="119"/>
      <c r="R17" s="119"/>
      <c r="S17" s="56" t="s">
        <v>398</v>
      </c>
      <c r="U17" s="31" t="str">
        <f>IF(O17&gt;V17,"＞","＜")</f>
        <v>＞</v>
      </c>
      <c r="V17" s="119">
        <f>X14</f>
        <v>3671.5174058178354</v>
      </c>
      <c r="W17" s="119"/>
      <c r="X17" s="119"/>
      <c r="Y17" s="119"/>
      <c r="Z17" s="56" t="s">
        <v>398</v>
      </c>
    </row>
    <row r="18" spans="3:68" s="56" customFormat="1" ht="15.75" customHeight="1" x14ac:dyDescent="0.15"/>
    <row r="19" spans="3:68" s="56" customFormat="1" ht="15.75" customHeight="1" x14ac:dyDescent="0.15">
      <c r="C19" s="27" t="s">
        <v>487</v>
      </c>
    </row>
    <row r="20" spans="3:68" s="56" customFormat="1" ht="15.75" customHeight="1" x14ac:dyDescent="0.15"/>
    <row r="21" spans="3:68" s="56" customFormat="1" ht="15.75" customHeight="1" x14ac:dyDescent="0.15">
      <c r="D21" s="27" t="s">
        <v>399</v>
      </c>
    </row>
    <row r="22" spans="3:68" s="56" customFormat="1" ht="15.75" customHeight="1" x14ac:dyDescent="0.15">
      <c r="D22" s="27" t="s">
        <v>374</v>
      </c>
    </row>
    <row r="23" spans="3:68" s="56" customFormat="1" ht="15.75" customHeight="1" x14ac:dyDescent="0.15">
      <c r="D23" s="27" t="s">
        <v>400</v>
      </c>
    </row>
    <row r="24" spans="3:68" s="56" customFormat="1" ht="15.75" customHeight="1" x14ac:dyDescent="0.15">
      <c r="D24" s="27" t="s">
        <v>401</v>
      </c>
    </row>
    <row r="25" spans="3:68" s="56" customFormat="1" ht="15.75" customHeight="1" x14ac:dyDescent="0.15"/>
    <row r="26" spans="3:68" s="56" customFormat="1" ht="15.75" customHeight="1" x14ac:dyDescent="0.15">
      <c r="E26" s="124" t="s">
        <v>402</v>
      </c>
      <c r="F26" s="124"/>
      <c r="G26" s="31" t="s">
        <v>403</v>
      </c>
      <c r="H26" s="27" t="s">
        <v>404</v>
      </c>
      <c r="I26" s="27"/>
      <c r="J26" s="27"/>
      <c r="K26" s="27"/>
      <c r="L26" s="27"/>
      <c r="M26" s="27"/>
      <c r="N26" s="27"/>
      <c r="O26" s="27"/>
      <c r="P26" s="27"/>
      <c r="Q26" s="27"/>
      <c r="R26" s="27"/>
      <c r="S26" s="27"/>
      <c r="T26" s="27"/>
    </row>
    <row r="27" spans="3:68" s="56" customFormat="1" ht="15.75" customHeight="1" x14ac:dyDescent="0.15">
      <c r="E27" s="31"/>
      <c r="F27" s="31"/>
      <c r="G27" s="27"/>
      <c r="H27" s="27"/>
      <c r="I27" s="27"/>
      <c r="J27" s="27"/>
      <c r="K27" s="27"/>
      <c r="L27" s="27"/>
      <c r="M27" s="27"/>
      <c r="N27" s="27"/>
      <c r="O27" s="27"/>
      <c r="P27" s="27"/>
      <c r="Q27" s="27"/>
      <c r="R27" s="27"/>
      <c r="S27" s="27"/>
      <c r="T27" s="27"/>
    </row>
    <row r="28" spans="3:68" s="56" customFormat="1" ht="15.75" customHeight="1" x14ac:dyDescent="0.15">
      <c r="F28" s="39" t="s">
        <v>405</v>
      </c>
      <c r="G28" s="124" t="s">
        <v>402</v>
      </c>
      <c r="H28" s="124"/>
      <c r="I28" s="31" t="s">
        <v>406</v>
      </c>
      <c r="J28" s="27" t="s">
        <v>407</v>
      </c>
      <c r="K28" s="27"/>
      <c r="L28" s="27"/>
      <c r="M28" s="27"/>
      <c r="N28" s="27"/>
      <c r="O28" s="27"/>
      <c r="P28" s="27"/>
      <c r="Q28" s="27"/>
      <c r="R28" s="27"/>
      <c r="S28" s="27"/>
      <c r="T28" s="27"/>
      <c r="U28" s="27"/>
      <c r="V28" s="27"/>
      <c r="W28" s="27"/>
      <c r="X28" s="27"/>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row>
    <row r="29" spans="3:68" s="56" customFormat="1" ht="15.75" customHeight="1" x14ac:dyDescent="0.15">
      <c r="G29" s="124" t="s">
        <v>408</v>
      </c>
      <c r="H29" s="124"/>
      <c r="I29" s="31" t="s">
        <v>406</v>
      </c>
      <c r="J29" s="34" t="s">
        <v>409</v>
      </c>
      <c r="K29" s="27"/>
      <c r="L29" s="27"/>
      <c r="M29" s="27"/>
      <c r="N29" s="27"/>
      <c r="O29" s="27"/>
      <c r="P29" s="27"/>
      <c r="R29" s="31" t="s">
        <v>186</v>
      </c>
      <c r="S29" s="119">
        <f>O17</f>
        <v>12707.2</v>
      </c>
      <c r="T29" s="119"/>
      <c r="U29" s="119"/>
      <c r="V29" s="119"/>
      <c r="W29" s="31" t="s">
        <v>410</v>
      </c>
      <c r="X29" s="207" t="s">
        <v>411</v>
      </c>
      <c r="Y29" s="207"/>
      <c r="Z29" s="31" t="s">
        <v>403</v>
      </c>
      <c r="AA29" s="119">
        <f>ROUND((1/4)*S29,1)</f>
        <v>3176.8</v>
      </c>
      <c r="AB29" s="119"/>
      <c r="AC29" s="119"/>
      <c r="AD29" s="119"/>
      <c r="AE29" s="27" t="s">
        <v>412</v>
      </c>
      <c r="AG29" s="31" t="s">
        <v>191</v>
      </c>
      <c r="BI29" s="31"/>
      <c r="BK29" s="27"/>
      <c r="BL29" s="27"/>
      <c r="BM29" s="27"/>
      <c r="BN29" s="27"/>
      <c r="BO29" s="27"/>
      <c r="BP29" s="27"/>
    </row>
    <row r="30" spans="3:68" s="56" customFormat="1" ht="15.75" customHeight="1" x14ac:dyDescent="0.15">
      <c r="G30" s="124" t="s">
        <v>413</v>
      </c>
      <c r="H30" s="124"/>
      <c r="I30" s="31" t="s">
        <v>403</v>
      </c>
      <c r="J30" s="124" t="s">
        <v>414</v>
      </c>
      <c r="K30" s="124"/>
      <c r="L30" s="124"/>
      <c r="M30" s="31" t="s">
        <v>403</v>
      </c>
      <c r="N30" s="124">
        <f>ROUND(2^0.5*O31,1)</f>
        <v>848.5</v>
      </c>
      <c r="O30" s="124"/>
      <c r="P30" s="124"/>
      <c r="Q30" s="27" t="s">
        <v>415</v>
      </c>
      <c r="S30" s="27"/>
      <c r="T30" s="27"/>
      <c r="U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row>
    <row r="31" spans="3:68" s="56" customFormat="1" ht="15.75" customHeight="1" x14ac:dyDescent="0.15">
      <c r="G31" s="124" t="s">
        <v>416</v>
      </c>
      <c r="H31" s="124"/>
      <c r="I31" s="31" t="s">
        <v>406</v>
      </c>
      <c r="J31" s="27" t="s">
        <v>417</v>
      </c>
      <c r="K31" s="27"/>
      <c r="L31" s="27"/>
      <c r="M31" s="31" t="s">
        <v>418</v>
      </c>
      <c r="N31" s="31" t="s">
        <v>375</v>
      </c>
      <c r="O31" s="153">
        <v>600</v>
      </c>
      <c r="P31" s="153"/>
      <c r="Q31" s="27" t="s">
        <v>376</v>
      </c>
      <c r="R31" s="31" t="s">
        <v>419</v>
      </c>
      <c r="W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row>
    <row r="32" spans="3:68" s="56" customFormat="1" ht="15.75" customHeight="1" x14ac:dyDescent="0.15">
      <c r="G32" s="124" t="s">
        <v>420</v>
      </c>
      <c r="H32" s="124"/>
      <c r="I32" s="31" t="s">
        <v>375</v>
      </c>
      <c r="J32" s="124" t="s">
        <v>421</v>
      </c>
      <c r="K32" s="124"/>
      <c r="L32" s="124"/>
      <c r="M32" s="31" t="s">
        <v>375</v>
      </c>
      <c r="N32" s="119">
        <f>ROUND(2*O31-U33,1)</f>
        <v>1044</v>
      </c>
      <c r="O32" s="119"/>
      <c r="P32" s="119"/>
      <c r="Q32" s="27" t="s">
        <v>376</v>
      </c>
      <c r="V32" s="27"/>
      <c r="W32" s="27"/>
      <c r="X32" s="27"/>
      <c r="Y32" s="27"/>
      <c r="Z32" s="27"/>
      <c r="AA32" s="27"/>
      <c r="AB32" s="27"/>
      <c r="AC32" s="27"/>
      <c r="AD32" s="27"/>
      <c r="AE32" s="27"/>
      <c r="AF32" s="27"/>
      <c r="AG32" s="27"/>
      <c r="AH32" s="27"/>
      <c r="AI32" s="27"/>
      <c r="AJ32" s="27"/>
      <c r="AK32" s="27"/>
      <c r="AL32" s="27"/>
      <c r="AM32" s="27"/>
      <c r="AN32" s="27"/>
      <c r="AO32" s="27"/>
      <c r="AP32" s="27"/>
      <c r="AQ32" s="27"/>
      <c r="AR32" s="27"/>
      <c r="AS32" s="27"/>
      <c r="AT32" s="27"/>
      <c r="AU32" s="27"/>
      <c r="AV32" s="27"/>
      <c r="AW32" s="27"/>
      <c r="AX32" s="27"/>
      <c r="AY32" s="27"/>
      <c r="AZ32" s="27"/>
      <c r="BA32" s="27"/>
      <c r="BB32" s="27"/>
      <c r="BC32" s="27"/>
      <c r="BD32" s="27"/>
      <c r="BE32" s="27"/>
      <c r="BF32" s="27"/>
      <c r="BG32" s="27"/>
      <c r="BH32" s="27"/>
      <c r="BI32" s="27"/>
      <c r="BJ32" s="27"/>
      <c r="BK32" s="27"/>
      <c r="BL32" s="27"/>
      <c r="BM32" s="27"/>
      <c r="BN32" s="27"/>
      <c r="BO32" s="27"/>
      <c r="BP32" s="27"/>
    </row>
    <row r="33" spans="5:71" s="56" customFormat="1" ht="15.75" customHeight="1" x14ac:dyDescent="0.15">
      <c r="G33" s="124" t="s">
        <v>422</v>
      </c>
      <c r="H33" s="124"/>
      <c r="I33" s="31" t="s">
        <v>423</v>
      </c>
      <c r="J33" s="27" t="s">
        <v>424</v>
      </c>
      <c r="K33" s="27"/>
      <c r="L33" s="27"/>
      <c r="M33" s="27"/>
      <c r="N33" s="27"/>
      <c r="O33" s="27"/>
      <c r="P33" s="27"/>
      <c r="Q33" s="27"/>
      <c r="S33" s="31" t="s">
        <v>425</v>
      </c>
      <c r="T33" s="31" t="s">
        <v>377</v>
      </c>
      <c r="U33" s="153">
        <v>156</v>
      </c>
      <c r="V33" s="153"/>
      <c r="W33" s="27" t="s">
        <v>426</v>
      </c>
      <c r="X33" s="31" t="s">
        <v>427</v>
      </c>
      <c r="Y33" s="27"/>
      <c r="AK33" s="27"/>
      <c r="AO33" s="27"/>
      <c r="AP33" s="27"/>
      <c r="AQ33" s="27"/>
      <c r="AR33" s="27"/>
      <c r="AS33" s="27"/>
      <c r="AT33" s="27"/>
      <c r="AU33" s="27"/>
      <c r="AV33" s="27"/>
      <c r="AW33" s="27"/>
      <c r="AX33" s="27"/>
      <c r="AY33" s="27"/>
      <c r="AZ33" s="27"/>
      <c r="BA33" s="27"/>
      <c r="BB33" s="27"/>
      <c r="BC33" s="27"/>
      <c r="BD33" s="27"/>
      <c r="BE33" s="27"/>
      <c r="BF33" s="27"/>
      <c r="BG33" s="27"/>
      <c r="BH33" s="27"/>
      <c r="BI33" s="27"/>
      <c r="BJ33" s="27"/>
      <c r="BK33" s="27"/>
      <c r="BL33" s="27"/>
      <c r="BM33" s="27"/>
      <c r="BN33" s="27"/>
      <c r="BO33" s="27"/>
      <c r="BP33" s="27"/>
    </row>
    <row r="34" spans="5:71" s="56" customFormat="1" ht="15.75" customHeight="1" x14ac:dyDescent="0.15"/>
    <row r="35" spans="5:71" s="56" customFormat="1" ht="15.75" customHeight="1" x14ac:dyDescent="0.15">
      <c r="E35" s="124" t="s">
        <v>428</v>
      </c>
      <c r="F35" s="124"/>
      <c r="G35" s="31" t="s">
        <v>377</v>
      </c>
      <c r="H35" s="124">
        <v>100</v>
      </c>
      <c r="I35" s="124"/>
      <c r="J35" s="31" t="s">
        <v>429</v>
      </c>
      <c r="K35" s="119">
        <f>AA29</f>
        <v>3176.8</v>
      </c>
      <c r="L35" s="119"/>
      <c r="M35" s="119"/>
      <c r="N35" s="36" t="s">
        <v>430</v>
      </c>
      <c r="O35" s="53" t="s">
        <v>431</v>
      </c>
      <c r="P35" s="119">
        <f>N30</f>
        <v>848.5</v>
      </c>
      <c r="Q35" s="119"/>
      <c r="R35" s="119"/>
      <c r="S35" s="31" t="s">
        <v>429</v>
      </c>
      <c r="T35" s="119">
        <f>N32</f>
        <v>1044</v>
      </c>
      <c r="U35" s="119"/>
      <c r="V35" s="119"/>
      <c r="W35" s="31" t="s">
        <v>432</v>
      </c>
      <c r="X35" s="31" t="s">
        <v>377</v>
      </c>
      <c r="Y35" s="134">
        <f>ROUND(H35*K35/(P35*T35),3)</f>
        <v>0.35899999999999999</v>
      </c>
      <c r="Z35" s="134"/>
      <c r="AA35" s="134"/>
      <c r="AB35" s="27" t="s">
        <v>433</v>
      </c>
      <c r="AC35" s="31" t="str">
        <f>IF(Y35&gt;AD35,"＞","＜")</f>
        <v>＞</v>
      </c>
      <c r="AD35" s="125">
        <f>IF(Z31&gt;AT31,0.15,0.2)</f>
        <v>0.2</v>
      </c>
      <c r="AE35" s="125"/>
      <c r="AF35" s="27" t="s">
        <v>433</v>
      </c>
      <c r="AG35" s="54"/>
      <c r="AH35" s="54"/>
      <c r="AI35" s="54"/>
      <c r="AJ35" s="54"/>
      <c r="AQ35" s="31"/>
      <c r="AR35" s="31"/>
      <c r="AS35" s="31"/>
      <c r="BF35" s="27"/>
      <c r="BG35" s="27"/>
      <c r="BH35" s="27"/>
      <c r="BI35" s="27"/>
      <c r="BS35" s="27"/>
    </row>
    <row r="36" spans="5:71" s="56" customFormat="1" ht="15.75" customHeight="1" x14ac:dyDescent="0.15"/>
    <row r="37" spans="5:71" s="56" customFormat="1" ht="15.75" customHeight="1" x14ac:dyDescent="0.15"/>
    <row r="38" spans="5:71" s="56" customFormat="1" ht="15.75" customHeight="1" x14ac:dyDescent="0.15"/>
    <row r="39" spans="5:71" s="56" customFormat="1" ht="15.75" customHeight="1" x14ac:dyDescent="0.15"/>
    <row r="40" spans="5:71" s="56" customFormat="1" ht="15.75" customHeight="1" x14ac:dyDescent="0.15"/>
    <row r="41" spans="5:71" s="56" customFormat="1" ht="15.75" customHeight="1" x14ac:dyDescent="0.15"/>
    <row r="42" spans="5:71" s="56" customFormat="1" ht="15.75" customHeight="1" x14ac:dyDescent="0.15"/>
    <row r="43" spans="5:71" s="56" customFormat="1" ht="15.75" customHeight="1" x14ac:dyDescent="0.15"/>
    <row r="44" spans="5:71" s="56" customFormat="1" ht="15.75" customHeight="1" x14ac:dyDescent="0.15"/>
    <row r="45" spans="5:71" s="56" customFormat="1" ht="15.75" customHeight="1" x14ac:dyDescent="0.15"/>
    <row r="46" spans="5:71" s="56" customFormat="1" ht="15.75" customHeight="1" x14ac:dyDescent="0.15"/>
    <row r="47" spans="5:71" s="56" customFormat="1" ht="15.75" customHeight="1" x14ac:dyDescent="0.15"/>
    <row r="48" spans="5:71" s="56" customFormat="1" ht="15.75" customHeight="1" x14ac:dyDescent="0.15"/>
    <row r="49" spans="3:41" s="56" customFormat="1" ht="15.75" customHeight="1" x14ac:dyDescent="0.15"/>
    <row r="50" spans="3:41" s="56" customFormat="1" ht="15.75" customHeight="1" x14ac:dyDescent="0.15"/>
    <row r="51" spans="3:41" s="56" customFormat="1" ht="15.75" customHeight="1" x14ac:dyDescent="0.15"/>
    <row r="52" spans="3:41" s="56" customFormat="1" ht="15.75" customHeight="1" x14ac:dyDescent="0.15"/>
    <row r="53" spans="3:41" s="56" customFormat="1" ht="15.75" customHeight="1" x14ac:dyDescent="0.15">
      <c r="C53" s="27" t="s">
        <v>476</v>
      </c>
    </row>
    <row r="54" spans="3:41" s="56" customFormat="1" ht="15.75" customHeight="1" x14ac:dyDescent="0.15"/>
    <row r="55" spans="3:41" s="56" customFormat="1" ht="15.75" customHeight="1" x14ac:dyDescent="0.15">
      <c r="E55" s="56" t="s">
        <v>434</v>
      </c>
    </row>
    <row r="56" spans="3:41" s="56" customFormat="1" ht="15.75" customHeight="1" x14ac:dyDescent="0.15">
      <c r="E56" s="56" t="s">
        <v>435</v>
      </c>
    </row>
    <row r="57" spans="3:41" s="56" customFormat="1" ht="15.75" customHeight="1" x14ac:dyDescent="0.15">
      <c r="E57" s="56" t="s">
        <v>436</v>
      </c>
    </row>
    <row r="58" spans="3:41" s="56" customFormat="1" ht="15.75" customHeight="1" x14ac:dyDescent="0.15"/>
    <row r="59" spans="3:41" s="56" customFormat="1" ht="15.75" customHeight="1" x14ac:dyDescent="0.15">
      <c r="D59" s="56" t="s">
        <v>437</v>
      </c>
    </row>
    <row r="60" spans="3:41" s="56" customFormat="1" ht="15.75" customHeight="1" x14ac:dyDescent="0.15"/>
    <row r="61" spans="3:41" s="56" customFormat="1" ht="15.75" customHeight="1" x14ac:dyDescent="0.15">
      <c r="E61" s="124" t="s">
        <v>488</v>
      </c>
      <c r="F61" s="124"/>
      <c r="G61" s="31" t="s">
        <v>375</v>
      </c>
      <c r="H61" s="240">
        <v>3.55</v>
      </c>
      <c r="I61" s="240"/>
      <c r="J61" s="240"/>
      <c r="K61" s="56" t="s">
        <v>489</v>
      </c>
      <c r="L61" s="56" t="s">
        <v>477</v>
      </c>
    </row>
    <row r="62" spans="3:41" s="56" customFormat="1" ht="15.75" customHeight="1" x14ac:dyDescent="0.15">
      <c r="E62" s="31"/>
      <c r="F62" s="31"/>
      <c r="G62" s="66"/>
    </row>
    <row r="63" spans="3:41" s="31" customFormat="1" ht="15.75" customHeight="1" x14ac:dyDescent="0.15">
      <c r="E63" s="124" t="s">
        <v>490</v>
      </c>
      <c r="F63" s="124"/>
      <c r="G63" s="124" t="s">
        <v>379</v>
      </c>
      <c r="I63" s="124">
        <v>1</v>
      </c>
      <c r="J63" s="124"/>
      <c r="L63" s="124" t="s">
        <v>379</v>
      </c>
      <c r="N63" s="125">
        <f>H61</f>
        <v>3.55</v>
      </c>
      <c r="O63" s="125"/>
      <c r="P63" s="125"/>
      <c r="R63" s="124" t="s">
        <v>379</v>
      </c>
      <c r="S63" s="125">
        <f>N63/(M64*P64)</f>
        <v>1.8489583333333333</v>
      </c>
      <c r="T63" s="125"/>
      <c r="U63" s="124" t="str">
        <f>IF(S63&lt;V63,"＜","＞")</f>
        <v>＜</v>
      </c>
      <c r="V63" s="124">
        <v>2.5</v>
      </c>
      <c r="W63" s="124"/>
      <c r="AB63" s="56"/>
      <c r="AM63" s="27" t="s">
        <v>438</v>
      </c>
      <c r="AN63" s="27"/>
      <c r="AO63" s="27"/>
    </row>
    <row r="64" spans="3:41" s="31" customFormat="1" ht="15.75" customHeight="1" x14ac:dyDescent="0.15">
      <c r="E64" s="124" t="s">
        <v>439</v>
      </c>
      <c r="F64" s="124"/>
      <c r="G64" s="124"/>
      <c r="H64" s="124" t="s">
        <v>440</v>
      </c>
      <c r="I64" s="124"/>
      <c r="J64" s="124"/>
      <c r="K64" s="124"/>
      <c r="L64" s="124"/>
      <c r="M64" s="124">
        <v>1.6</v>
      </c>
      <c r="N64" s="124"/>
      <c r="O64" s="31" t="s">
        <v>441</v>
      </c>
      <c r="P64" s="125">
        <f>O31*2/1000</f>
        <v>1.2</v>
      </c>
      <c r="Q64" s="125"/>
      <c r="R64" s="124"/>
      <c r="S64" s="125"/>
      <c r="T64" s="125"/>
      <c r="U64" s="124"/>
      <c r="V64" s="124"/>
      <c r="W64" s="124"/>
      <c r="AB64" s="56"/>
      <c r="AM64" s="27" t="s">
        <v>442</v>
      </c>
      <c r="AN64" s="27"/>
      <c r="AO64" s="27"/>
    </row>
    <row r="65" spans="4:40" s="31" customFormat="1" ht="15.75" customHeight="1" x14ac:dyDescent="0.15">
      <c r="N65" s="66"/>
      <c r="R65" s="54"/>
      <c r="S65" s="54"/>
      <c r="U65" s="54"/>
      <c r="V65" s="54"/>
      <c r="AL65" s="27"/>
      <c r="AM65" s="27"/>
      <c r="AN65" s="27"/>
    </row>
    <row r="66" spans="4:40" s="56" customFormat="1" ht="15.75" customHeight="1" x14ac:dyDescent="0.15">
      <c r="E66" s="56" t="str">
        <f>IF(S63&gt;V63,AM63,AM64)</f>
        <v>以上より、靭性の向上を考え帯鉄筋量は杭の側断面積の0.35％以上を配置する。</v>
      </c>
    </row>
    <row r="67" spans="4:40" s="56" customFormat="1" ht="15.75" customHeight="1" x14ac:dyDescent="0.15"/>
    <row r="68" spans="4:40" s="56" customFormat="1" ht="15.75" customHeight="1" x14ac:dyDescent="0.15">
      <c r="D68" s="56" t="s">
        <v>443</v>
      </c>
    </row>
    <row r="69" spans="4:40" s="56" customFormat="1" ht="15.75" customHeight="1" x14ac:dyDescent="0.15"/>
    <row r="70" spans="4:40" s="56" customFormat="1" ht="15.75" customHeight="1" x14ac:dyDescent="0.15">
      <c r="E70" s="56" t="s">
        <v>478</v>
      </c>
      <c r="H70" s="278">
        <v>19</v>
      </c>
      <c r="I70" s="278"/>
      <c r="J70" s="207" t="s">
        <v>491</v>
      </c>
      <c r="K70" s="124"/>
      <c r="L70" s="153">
        <v>125</v>
      </c>
      <c r="M70" s="153"/>
      <c r="N70" s="56" t="s">
        <v>96</v>
      </c>
    </row>
    <row r="71" spans="4:40" s="56" customFormat="1" ht="15.75" customHeight="1" x14ac:dyDescent="0.15">
      <c r="E71" s="67"/>
      <c r="F71" s="67"/>
      <c r="G71" s="36"/>
    </row>
    <row r="72" spans="4:40" s="31" customFormat="1" ht="15.75" customHeight="1" x14ac:dyDescent="0.15">
      <c r="E72" s="124" t="s">
        <v>492</v>
      </c>
      <c r="F72" s="124"/>
      <c r="G72" s="124" t="s">
        <v>380</v>
      </c>
      <c r="H72" s="124">
        <f>VLOOKUP(H70,AK1:AL10,2,FALSE)</f>
        <v>286.5</v>
      </c>
      <c r="I72" s="124"/>
      <c r="J72" s="124"/>
      <c r="K72" s="31" t="s">
        <v>381</v>
      </c>
      <c r="L72" s="31">
        <v>2</v>
      </c>
      <c r="N72" s="124" t="s">
        <v>381</v>
      </c>
      <c r="O72" s="124">
        <v>100</v>
      </c>
      <c r="P72" s="124"/>
      <c r="Q72" s="124" t="s">
        <v>380</v>
      </c>
      <c r="R72" s="134">
        <f>100*H72*L72/(H73*L73)</f>
        <v>0.38200000000000001</v>
      </c>
      <c r="S72" s="134"/>
      <c r="T72" s="134"/>
      <c r="U72" s="134" t="s">
        <v>469</v>
      </c>
      <c r="V72" s="124" t="str">
        <f>IF(R72&lt;W72,"＜","＞")</f>
        <v>＞</v>
      </c>
      <c r="W72" s="125">
        <f>IF(S63&lt;V63,0.35,0.3)</f>
        <v>0.35</v>
      </c>
      <c r="X72" s="125"/>
      <c r="Y72" s="134" t="s">
        <v>469</v>
      </c>
    </row>
    <row r="73" spans="4:40" s="31" customFormat="1" ht="15.75" customHeight="1" x14ac:dyDescent="0.15">
      <c r="E73" s="124"/>
      <c r="F73" s="124"/>
      <c r="G73" s="124"/>
      <c r="H73" s="124">
        <f>O31*2</f>
        <v>1200</v>
      </c>
      <c r="I73" s="124"/>
      <c r="J73" s="124"/>
      <c r="K73" s="31" t="s">
        <v>381</v>
      </c>
      <c r="L73" s="124">
        <f>L70</f>
        <v>125</v>
      </c>
      <c r="M73" s="124"/>
      <c r="N73" s="124"/>
      <c r="O73" s="124"/>
      <c r="P73" s="124"/>
      <c r="Q73" s="124"/>
      <c r="R73" s="134"/>
      <c r="S73" s="134"/>
      <c r="T73" s="134"/>
      <c r="U73" s="134"/>
      <c r="V73" s="124"/>
      <c r="W73" s="125"/>
      <c r="X73" s="125"/>
      <c r="Y73" s="134"/>
    </row>
    <row r="74" spans="4:40" s="56" customFormat="1" ht="15.75" customHeight="1" x14ac:dyDescent="0.15"/>
    <row r="75" spans="4:40" s="56" customFormat="1" ht="15.75" customHeight="1" x14ac:dyDescent="0.15">
      <c r="D75" s="56" t="s">
        <v>493</v>
      </c>
    </row>
    <row r="76" spans="4:40" s="56" customFormat="1" ht="15.75" customHeight="1" x14ac:dyDescent="0.15"/>
    <row r="77" spans="4:40" s="56" customFormat="1" ht="15.75" customHeight="1" x14ac:dyDescent="0.15">
      <c r="E77" s="56" t="s">
        <v>478</v>
      </c>
      <c r="H77" s="278">
        <v>16</v>
      </c>
      <c r="I77" s="278"/>
      <c r="J77" s="207" t="s">
        <v>491</v>
      </c>
      <c r="K77" s="124"/>
      <c r="L77" s="153">
        <v>125</v>
      </c>
      <c r="M77" s="153"/>
      <c r="N77" s="56" t="s">
        <v>96</v>
      </c>
    </row>
    <row r="78" spans="4:40" s="56" customFormat="1" ht="15.75" customHeight="1" x14ac:dyDescent="0.15">
      <c r="E78" s="67"/>
      <c r="F78" s="67"/>
      <c r="G78" s="36"/>
    </row>
    <row r="79" spans="4:40" s="31" customFormat="1" ht="15.75" customHeight="1" x14ac:dyDescent="0.15">
      <c r="E79" s="124" t="s">
        <v>492</v>
      </c>
      <c r="F79" s="124"/>
      <c r="G79" s="124" t="s">
        <v>380</v>
      </c>
      <c r="H79" s="124">
        <f>VLOOKUP(H77,AK1:AL10,2,FALSE)</f>
        <v>198.6</v>
      </c>
      <c r="I79" s="124"/>
      <c r="J79" s="124"/>
      <c r="K79" s="31" t="s">
        <v>381</v>
      </c>
      <c r="L79" s="31">
        <v>2</v>
      </c>
      <c r="N79" s="124" t="s">
        <v>381</v>
      </c>
      <c r="O79" s="124">
        <v>100</v>
      </c>
      <c r="P79" s="124"/>
      <c r="Q79" s="124" t="s">
        <v>380</v>
      </c>
      <c r="R79" s="134">
        <f>100*H79*L79/(H80*L80)</f>
        <v>0.26479999999999998</v>
      </c>
      <c r="S79" s="134"/>
      <c r="T79" s="134"/>
      <c r="U79" s="134" t="s">
        <v>469</v>
      </c>
      <c r="V79" s="124" t="str">
        <f>IF(R79&lt;W79,"＜","＞")</f>
        <v>＞</v>
      </c>
      <c r="W79" s="125">
        <v>0.2</v>
      </c>
      <c r="X79" s="125"/>
      <c r="Y79" s="134" t="s">
        <v>469</v>
      </c>
    </row>
    <row r="80" spans="4:40" s="31" customFormat="1" ht="15.75" customHeight="1" x14ac:dyDescent="0.15">
      <c r="E80" s="124"/>
      <c r="F80" s="124"/>
      <c r="G80" s="124"/>
      <c r="H80" s="124">
        <f>H73</f>
        <v>1200</v>
      </c>
      <c r="I80" s="124"/>
      <c r="J80" s="124"/>
      <c r="K80" s="31" t="s">
        <v>381</v>
      </c>
      <c r="L80" s="124">
        <f>L77</f>
        <v>125</v>
      </c>
      <c r="M80" s="124"/>
      <c r="N80" s="124"/>
      <c r="O80" s="124"/>
      <c r="P80" s="124"/>
      <c r="Q80" s="124"/>
      <c r="R80" s="134"/>
      <c r="S80" s="134"/>
      <c r="T80" s="134"/>
      <c r="U80" s="134"/>
      <c r="V80" s="124"/>
      <c r="W80" s="125"/>
      <c r="X80" s="125"/>
      <c r="Y80" s="134"/>
    </row>
    <row r="81" spans="55:56" s="56" customFormat="1" ht="15.75" customHeight="1" x14ac:dyDescent="0.15">
      <c r="BC81" s="31"/>
      <c r="BD81" s="31"/>
    </row>
    <row r="82" spans="55:56" s="56" customFormat="1" ht="15.75" customHeight="1" x14ac:dyDescent="0.15"/>
    <row r="83" spans="55:56" s="56" customFormat="1" ht="15.75" customHeight="1" x14ac:dyDescent="0.15"/>
    <row r="84" spans="55:56" s="56" customFormat="1" ht="15.75" customHeight="1" x14ac:dyDescent="0.15"/>
    <row r="85" spans="55:56" s="56" customFormat="1" ht="15.75" customHeight="1" x14ac:dyDescent="0.15"/>
    <row r="86" spans="55:56" s="56" customFormat="1" ht="15.75" customHeight="1" x14ac:dyDescent="0.15"/>
    <row r="87" spans="55:56" s="56" customFormat="1" ht="15.75" customHeight="1" x14ac:dyDescent="0.15"/>
    <row r="88" spans="55:56" s="56" customFormat="1" ht="15.75" customHeight="1" x14ac:dyDescent="0.15"/>
    <row r="89" spans="55:56" s="56" customFormat="1" ht="15.75" customHeight="1" x14ac:dyDescent="0.15"/>
    <row r="90" spans="55:56" s="56" customFormat="1" ht="15.75" customHeight="1" x14ac:dyDescent="0.15"/>
    <row r="91" spans="55:56" s="56" customFormat="1" ht="15.75" customHeight="1" x14ac:dyDescent="0.15"/>
    <row r="92" spans="55:56" s="56" customFormat="1" ht="15.75" customHeight="1" x14ac:dyDescent="0.15"/>
    <row r="93" spans="55:56" s="56" customFormat="1" ht="15.75" customHeight="1" x14ac:dyDescent="0.15"/>
    <row r="94" spans="55:56" s="56" customFormat="1" ht="15.75" customHeight="1" x14ac:dyDescent="0.15"/>
    <row r="95" spans="55:56" s="56" customFormat="1" ht="15.75" customHeight="1" x14ac:dyDescent="0.15"/>
    <row r="96" spans="55:56" s="56" customFormat="1" ht="15.75" customHeight="1" x14ac:dyDescent="0.15"/>
    <row r="97" s="56" customFormat="1" ht="15.75" customHeight="1" x14ac:dyDescent="0.15"/>
    <row r="98" s="56" customFormat="1" ht="15.75" customHeight="1" x14ac:dyDescent="0.15"/>
    <row r="99" s="56" customFormat="1" ht="15.75" customHeight="1" x14ac:dyDescent="0.15"/>
    <row r="100" s="56" customFormat="1" ht="15.75" customHeight="1" x14ac:dyDescent="0.15"/>
    <row r="101" s="56" customFormat="1" ht="15.75" customHeight="1" x14ac:dyDescent="0.15"/>
    <row r="102" s="56" customFormat="1" ht="15.75" customHeight="1" x14ac:dyDescent="0.15"/>
    <row r="103" s="56" customFormat="1" ht="15.75" customHeight="1" x14ac:dyDescent="0.15"/>
    <row r="104" s="56" customFormat="1" ht="15.75" customHeight="1" x14ac:dyDescent="0.15"/>
    <row r="105" s="56" customFormat="1" ht="15.75" customHeight="1" x14ac:dyDescent="0.15"/>
    <row r="106" s="56" customFormat="1" ht="15.75" customHeight="1" x14ac:dyDescent="0.15"/>
    <row r="107" s="56" customFormat="1" ht="15.75" customHeight="1" x14ac:dyDescent="0.15"/>
    <row r="108" s="56" customFormat="1" ht="15.75" customHeight="1" x14ac:dyDescent="0.15"/>
    <row r="109" s="56" customFormat="1" ht="15.75" customHeight="1" x14ac:dyDescent="0.15"/>
    <row r="110" s="56" customFormat="1" ht="15.75" customHeight="1" x14ac:dyDescent="0.15"/>
    <row r="111" s="56" customFormat="1" ht="15.75" customHeight="1" x14ac:dyDescent="0.15"/>
    <row r="112" s="56" customFormat="1" ht="15.75" customHeight="1" x14ac:dyDescent="0.15"/>
    <row r="113" s="56" customFormat="1" ht="15.75" customHeight="1" x14ac:dyDescent="0.15"/>
    <row r="114" s="56" customFormat="1" ht="15.75" customHeight="1" x14ac:dyDescent="0.15"/>
    <row r="115" s="56" customFormat="1" ht="15.75" customHeight="1" x14ac:dyDescent="0.15"/>
    <row r="116" s="56" customFormat="1" ht="15.75" customHeight="1" x14ac:dyDescent="0.15"/>
    <row r="117" s="56" customFormat="1" ht="15.75" customHeight="1" x14ac:dyDescent="0.15"/>
    <row r="118" s="56" customFormat="1" ht="15.75" customHeight="1" x14ac:dyDescent="0.15"/>
    <row r="119" s="56" customFormat="1" ht="15.75" customHeight="1" x14ac:dyDescent="0.15"/>
    <row r="120" s="56" customFormat="1" ht="15.75" customHeight="1" x14ac:dyDescent="0.15"/>
    <row r="121" s="56" customFormat="1" ht="15.75" customHeight="1" x14ac:dyDescent="0.15"/>
    <row r="122" s="56" customFormat="1" ht="15.75" customHeight="1" x14ac:dyDescent="0.15"/>
    <row r="123" s="56" customFormat="1" ht="15.75" customHeight="1" x14ac:dyDescent="0.15"/>
    <row r="124" s="56" customFormat="1" ht="15.75" customHeight="1" x14ac:dyDescent="0.15"/>
    <row r="125" s="56" customFormat="1" ht="15.75" customHeight="1" x14ac:dyDescent="0.15"/>
    <row r="126" s="56" customFormat="1" ht="15.75" customHeight="1" x14ac:dyDescent="0.15"/>
    <row r="127" s="56" customFormat="1" ht="15.75" customHeight="1" x14ac:dyDescent="0.15"/>
    <row r="128" s="56" customFormat="1" ht="15.75" customHeight="1" x14ac:dyDescent="0.15"/>
    <row r="129" s="56" customFormat="1" ht="15.75" customHeight="1" x14ac:dyDescent="0.15"/>
    <row r="130" s="56" customFormat="1" ht="15.75" customHeight="1" x14ac:dyDescent="0.15"/>
    <row r="131" s="56" customFormat="1" ht="15.75" customHeight="1" x14ac:dyDescent="0.15"/>
    <row r="132" s="56" customFormat="1" ht="15.75" customHeight="1" x14ac:dyDescent="0.15"/>
    <row r="133" s="56" customFormat="1" ht="15.75" customHeight="1" x14ac:dyDescent="0.15"/>
    <row r="134" s="56" customFormat="1" ht="15.75" customHeight="1" x14ac:dyDescent="0.15"/>
    <row r="135" s="56" customFormat="1" ht="15.75" customHeight="1" x14ac:dyDescent="0.15"/>
    <row r="136" s="56" customFormat="1" ht="15.75" customHeight="1" x14ac:dyDescent="0.15"/>
    <row r="137" s="56" customFormat="1" ht="15.75" customHeight="1" x14ac:dyDescent="0.15"/>
    <row r="138" s="56" customFormat="1" ht="15.75" customHeight="1" x14ac:dyDescent="0.15"/>
    <row r="139" s="56" customFormat="1" ht="15.75" customHeight="1" x14ac:dyDescent="0.15"/>
    <row r="140" s="56" customFormat="1" ht="15.75" customHeight="1" x14ac:dyDescent="0.15"/>
    <row r="141" s="56" customFormat="1" ht="15.75" customHeight="1" x14ac:dyDescent="0.15"/>
    <row r="142" s="56" customFormat="1" ht="15.75" customHeight="1" x14ac:dyDescent="0.15"/>
    <row r="143" s="56" customFormat="1" ht="15.75" customHeight="1" x14ac:dyDescent="0.15"/>
    <row r="144" s="56" customFormat="1" ht="15.75" customHeight="1" x14ac:dyDescent="0.15"/>
    <row r="145" s="56" customFormat="1" ht="15.75" customHeight="1" x14ac:dyDescent="0.15"/>
    <row r="146" s="56" customFormat="1" ht="15.75" customHeight="1" x14ac:dyDescent="0.15"/>
    <row r="147" s="56" customFormat="1" ht="15.75" customHeight="1" x14ac:dyDescent="0.15"/>
    <row r="148" s="56" customFormat="1" ht="15.75" customHeight="1" x14ac:dyDescent="0.15"/>
    <row r="149" s="56" customFormat="1" ht="15.75" customHeight="1" x14ac:dyDescent="0.15"/>
    <row r="150" s="56" customFormat="1" ht="15.75" customHeight="1" x14ac:dyDescent="0.15"/>
    <row r="151" s="56" customFormat="1" ht="15.75" customHeight="1" x14ac:dyDescent="0.15"/>
    <row r="152" s="56" customFormat="1" ht="15.75" customHeight="1" x14ac:dyDescent="0.15"/>
    <row r="153" s="56" customFormat="1" ht="15.75" customHeight="1" x14ac:dyDescent="0.15"/>
    <row r="154" s="56" customFormat="1" ht="15.75" customHeight="1" x14ac:dyDescent="0.15"/>
    <row r="155" s="56" customFormat="1" ht="15.75" customHeight="1" x14ac:dyDescent="0.15"/>
    <row r="156" s="56" customFormat="1" ht="15.75" customHeight="1" x14ac:dyDescent="0.15"/>
    <row r="157" s="56" customFormat="1" ht="15.75" customHeight="1" x14ac:dyDescent="0.15"/>
    <row r="158" s="56" customFormat="1" ht="15.75" customHeight="1" x14ac:dyDescent="0.15"/>
    <row r="159" s="56" customFormat="1" ht="15.75" customHeight="1" x14ac:dyDescent="0.15"/>
    <row r="160" s="56" customFormat="1" ht="15.75" customHeight="1" x14ac:dyDescent="0.15"/>
    <row r="161" s="56" customFormat="1" ht="15.75" customHeight="1" x14ac:dyDescent="0.15"/>
    <row r="162" s="56" customFormat="1" ht="15.75" customHeight="1" x14ac:dyDescent="0.15"/>
    <row r="163" s="56" customFormat="1" ht="15.75" customHeight="1" x14ac:dyDescent="0.15"/>
    <row r="164" s="56" customFormat="1" ht="15.75" customHeight="1" x14ac:dyDescent="0.15"/>
    <row r="165" s="56" customFormat="1" ht="15.75" customHeight="1" x14ac:dyDescent="0.15"/>
    <row r="166" s="56" customFormat="1" ht="15.75" customHeight="1" x14ac:dyDescent="0.15"/>
    <row r="167" s="56" customFormat="1" ht="15.75" customHeight="1" x14ac:dyDescent="0.15"/>
    <row r="168" s="56" customFormat="1" ht="15.75" customHeight="1" x14ac:dyDescent="0.15"/>
    <row r="169" s="56" customFormat="1" ht="15.75" customHeight="1" x14ac:dyDescent="0.15"/>
    <row r="170" s="56" customFormat="1" ht="15.75" customHeight="1" x14ac:dyDescent="0.15"/>
    <row r="171" s="56" customFormat="1" ht="15.75" customHeight="1" x14ac:dyDescent="0.15"/>
    <row r="172" s="56" customFormat="1" ht="15.75" customHeight="1" x14ac:dyDescent="0.15"/>
    <row r="173" s="56" customFormat="1" ht="15.75" customHeight="1" x14ac:dyDescent="0.15"/>
    <row r="174" s="56" customFormat="1" ht="15.75" customHeight="1" x14ac:dyDescent="0.15"/>
    <row r="175" s="56" customFormat="1" ht="15.75" customHeight="1" x14ac:dyDescent="0.15"/>
    <row r="176" s="56" customFormat="1" ht="15.75" customHeight="1" x14ac:dyDescent="0.15"/>
    <row r="177" s="56" customFormat="1" ht="15.75" customHeight="1" x14ac:dyDescent="0.15"/>
    <row r="178" s="56" customFormat="1" ht="15.75" customHeight="1" x14ac:dyDescent="0.15"/>
    <row r="179" s="56" customFormat="1" ht="15.75" customHeight="1" x14ac:dyDescent="0.15"/>
    <row r="180" s="56" customFormat="1" ht="15.75" customHeight="1" x14ac:dyDescent="0.15"/>
    <row r="181" s="56" customFormat="1" ht="15.75" customHeight="1" x14ac:dyDescent="0.15"/>
    <row r="182" s="56" customFormat="1" ht="15.75" customHeight="1" x14ac:dyDescent="0.15"/>
    <row r="183" s="56" customFormat="1" ht="15.75" customHeight="1" x14ac:dyDescent="0.15"/>
    <row r="184" s="56" customFormat="1" ht="15.75" customHeight="1" x14ac:dyDescent="0.15"/>
    <row r="185" s="56" customFormat="1" ht="15.75" customHeight="1" x14ac:dyDescent="0.15"/>
    <row r="186" s="56" customFormat="1" ht="15.75" customHeight="1" x14ac:dyDescent="0.15"/>
    <row r="187" s="56" customFormat="1" ht="15.75" customHeight="1" x14ac:dyDescent="0.15"/>
    <row r="188" s="56" customFormat="1" ht="15.75" customHeight="1" x14ac:dyDescent="0.15"/>
    <row r="189" s="56" customFormat="1" ht="15.75" customHeight="1" x14ac:dyDescent="0.15"/>
    <row r="190" s="56" customFormat="1" ht="15.75" customHeight="1" x14ac:dyDescent="0.15"/>
    <row r="191" s="56" customFormat="1" ht="15.75" customHeight="1" x14ac:dyDescent="0.15"/>
    <row r="192" s="56" customFormat="1" ht="15.75" customHeight="1" x14ac:dyDescent="0.15"/>
    <row r="193" s="56" customFormat="1" ht="15.75" customHeight="1" x14ac:dyDescent="0.15"/>
    <row r="194" s="56" customFormat="1" ht="15.75" customHeight="1" x14ac:dyDescent="0.15"/>
    <row r="195" s="56" customFormat="1" ht="15.75" customHeight="1" x14ac:dyDescent="0.15"/>
    <row r="196" s="56" customFormat="1" ht="15.75" customHeight="1" x14ac:dyDescent="0.15"/>
    <row r="197" s="56" customFormat="1" ht="15.75" customHeight="1" x14ac:dyDescent="0.15"/>
    <row r="198" s="56" customFormat="1" ht="15.75" customHeight="1" x14ac:dyDescent="0.15"/>
    <row r="199" s="56" customFormat="1" ht="15.75" customHeight="1" x14ac:dyDescent="0.15"/>
    <row r="200" s="56" customFormat="1" ht="15.75" customHeight="1" x14ac:dyDescent="0.15"/>
    <row r="201" s="56" customFormat="1" ht="15.75" customHeight="1" x14ac:dyDescent="0.15"/>
    <row r="202" s="56" customFormat="1" ht="15.75" customHeight="1" x14ac:dyDescent="0.15"/>
    <row r="203" s="56" customFormat="1" ht="15.75" customHeight="1" x14ac:dyDescent="0.15"/>
    <row r="204" s="56" customFormat="1" ht="15.75" customHeight="1" x14ac:dyDescent="0.15"/>
    <row r="205" s="56" customFormat="1" ht="15.75" customHeight="1" x14ac:dyDescent="0.15"/>
    <row r="206" s="56" customFormat="1" ht="15.75" customHeight="1" x14ac:dyDescent="0.15"/>
    <row r="207" s="56" customFormat="1" ht="15.75" customHeight="1" x14ac:dyDescent="0.15"/>
    <row r="208" s="56" customFormat="1" ht="15.75" customHeight="1" x14ac:dyDescent="0.15"/>
    <row r="209" s="56" customFormat="1" ht="15.75" customHeight="1" x14ac:dyDescent="0.15"/>
    <row r="210" s="56" customFormat="1" ht="15.75" customHeight="1" x14ac:dyDescent="0.15"/>
    <row r="211" s="56" customFormat="1" ht="15.75" customHeight="1" x14ac:dyDescent="0.15"/>
    <row r="212" s="56" customFormat="1" ht="15.75" customHeight="1" x14ac:dyDescent="0.15"/>
    <row r="213" s="56" customFormat="1" ht="15.75" customHeight="1" x14ac:dyDescent="0.15"/>
    <row r="214" s="56" customFormat="1" ht="15.75" customHeight="1" x14ac:dyDescent="0.15"/>
    <row r="215" s="56" customFormat="1" ht="15.75" customHeight="1" x14ac:dyDescent="0.15"/>
    <row r="216" s="56" customFormat="1" ht="15.75" customHeight="1" x14ac:dyDescent="0.15"/>
    <row r="217" s="56" customFormat="1" ht="15.75" customHeight="1" x14ac:dyDescent="0.15"/>
    <row r="218" s="56" customFormat="1" ht="15.75" customHeight="1" x14ac:dyDescent="0.15"/>
    <row r="219" s="56" customFormat="1" ht="15.75" customHeight="1" x14ac:dyDescent="0.15"/>
    <row r="220" s="56" customFormat="1" ht="15.75" customHeight="1" x14ac:dyDescent="0.15"/>
    <row r="221" s="56" customFormat="1" ht="15.75" customHeight="1" x14ac:dyDescent="0.15"/>
    <row r="222" s="56" customFormat="1" ht="15.75" customHeight="1" x14ac:dyDescent="0.15"/>
    <row r="223" s="56" customFormat="1" ht="15.75" customHeight="1" x14ac:dyDescent="0.15"/>
    <row r="224" s="56" customFormat="1" ht="15.75" customHeight="1" x14ac:dyDescent="0.15"/>
    <row r="225" s="56" customFormat="1" ht="15.75" customHeight="1" x14ac:dyDescent="0.15"/>
    <row r="226" s="56" customFormat="1" ht="15.75" customHeight="1" x14ac:dyDescent="0.15"/>
    <row r="227" s="56" customFormat="1" ht="15.75" customHeight="1" x14ac:dyDescent="0.15"/>
    <row r="228" s="56" customFormat="1" ht="15.75" customHeight="1" x14ac:dyDescent="0.15"/>
    <row r="229" s="56" customFormat="1" ht="15.75" customHeight="1" x14ac:dyDescent="0.15"/>
    <row r="230" s="56" customFormat="1" ht="15.75" customHeight="1" x14ac:dyDescent="0.15"/>
    <row r="231" s="56" customFormat="1" ht="15.75" customHeight="1" x14ac:dyDescent="0.15"/>
    <row r="232" s="56" customFormat="1" ht="15.75" customHeight="1" x14ac:dyDescent="0.15"/>
    <row r="233" s="56" customFormat="1" ht="15.75" customHeight="1" x14ac:dyDescent="0.15"/>
    <row r="234" s="56" customFormat="1" ht="15.75" customHeight="1" x14ac:dyDescent="0.15"/>
    <row r="235" s="56" customFormat="1" ht="15.75" customHeight="1" x14ac:dyDescent="0.15"/>
    <row r="236" s="56" customFormat="1" ht="15.75" customHeight="1" x14ac:dyDescent="0.15"/>
    <row r="237" s="56" customFormat="1" ht="15.75" customHeight="1" x14ac:dyDescent="0.15"/>
    <row r="238" s="56" customFormat="1" ht="15.75" customHeight="1" x14ac:dyDescent="0.15"/>
    <row r="239" s="56" customFormat="1" ht="15.75" customHeight="1" x14ac:dyDescent="0.15"/>
    <row r="240" s="56" customFormat="1" ht="15.75" customHeight="1" x14ac:dyDescent="0.15"/>
    <row r="241" s="56" customFormat="1" ht="15.75" customHeight="1" x14ac:dyDescent="0.15"/>
    <row r="242" s="56" customFormat="1" ht="15.75" customHeight="1" x14ac:dyDescent="0.15"/>
    <row r="243" s="56" customFormat="1" ht="15.75" customHeight="1" x14ac:dyDescent="0.15"/>
    <row r="244" s="56" customFormat="1" ht="15.75" customHeight="1" x14ac:dyDescent="0.15"/>
    <row r="245" s="56" customFormat="1" ht="15.75" customHeight="1" x14ac:dyDescent="0.15"/>
    <row r="246" s="56" customFormat="1" ht="15.75" customHeight="1" x14ac:dyDescent="0.15"/>
    <row r="247" s="56" customFormat="1" ht="15.75" customHeight="1" x14ac:dyDescent="0.15"/>
    <row r="248" s="56" customFormat="1" ht="15.75" customHeight="1" x14ac:dyDescent="0.15"/>
    <row r="249" s="56" customFormat="1" ht="15.75" customHeight="1" x14ac:dyDescent="0.15"/>
    <row r="250" s="56" customFormat="1" ht="15.75" customHeight="1" x14ac:dyDescent="0.15"/>
    <row r="251" s="56" customFormat="1" ht="15.75" customHeight="1" x14ac:dyDescent="0.15"/>
    <row r="252" s="56" customFormat="1" ht="15.75" customHeight="1" x14ac:dyDescent="0.15"/>
    <row r="253" s="56" customFormat="1" ht="15.75" customHeight="1" x14ac:dyDescent="0.15"/>
    <row r="254" s="56" customFormat="1" ht="15.75" customHeight="1" x14ac:dyDescent="0.15"/>
    <row r="255" s="56" customFormat="1" ht="15.75" customHeight="1" x14ac:dyDescent="0.15"/>
    <row r="256" s="56" customFormat="1" ht="15.75" customHeight="1" x14ac:dyDescent="0.15"/>
    <row r="257" s="56" customFormat="1" ht="15.75" customHeight="1" x14ac:dyDescent="0.15"/>
    <row r="258" s="56" customFormat="1" ht="15.75" customHeight="1" x14ac:dyDescent="0.15"/>
    <row r="259" s="56" customFormat="1" ht="15.75" customHeight="1" x14ac:dyDescent="0.15"/>
    <row r="260" s="56" customFormat="1" ht="15.75" customHeight="1" x14ac:dyDescent="0.15"/>
    <row r="261" s="56" customFormat="1" ht="15.75" customHeight="1" x14ac:dyDescent="0.15"/>
    <row r="262" s="56" customFormat="1" ht="15.75" customHeight="1" x14ac:dyDescent="0.15"/>
    <row r="263" s="56" customFormat="1" ht="15.75" customHeight="1" x14ac:dyDescent="0.15"/>
    <row r="264" s="56" customFormat="1" ht="15.75" customHeight="1" x14ac:dyDescent="0.15"/>
    <row r="265" s="56" customFormat="1" ht="15.75" customHeight="1" x14ac:dyDescent="0.15"/>
    <row r="266" s="56" customFormat="1" ht="15.75" customHeight="1" x14ac:dyDescent="0.15"/>
    <row r="267" s="56" customFormat="1" ht="15.75" customHeight="1" x14ac:dyDescent="0.15"/>
    <row r="268" s="56" customFormat="1" ht="15.75" customHeight="1" x14ac:dyDescent="0.15"/>
    <row r="269" s="56" customFormat="1" ht="15.75" customHeight="1" x14ac:dyDescent="0.15"/>
    <row r="270" s="56" customFormat="1" ht="15.75" customHeight="1" x14ac:dyDescent="0.15"/>
    <row r="271" s="56" customFormat="1" ht="15.75" customHeight="1" x14ac:dyDescent="0.15"/>
    <row r="272" s="56" customFormat="1" ht="15.75" customHeight="1" x14ac:dyDescent="0.15"/>
    <row r="273" s="56" customFormat="1" ht="15.75" customHeight="1" x14ac:dyDescent="0.15"/>
    <row r="274" s="56" customFormat="1" ht="15.75" customHeight="1" x14ac:dyDescent="0.15"/>
    <row r="275" s="56" customFormat="1" ht="15.75" customHeight="1" x14ac:dyDescent="0.15"/>
    <row r="276" s="56" customFormat="1" ht="15.75" customHeight="1" x14ac:dyDescent="0.15"/>
    <row r="277" s="56" customFormat="1" ht="15.75" customHeight="1" x14ac:dyDescent="0.15"/>
    <row r="278" s="56" customFormat="1" ht="15.75" customHeight="1" x14ac:dyDescent="0.15"/>
    <row r="279" s="56" customFormat="1" ht="15.75" customHeight="1" x14ac:dyDescent="0.15"/>
    <row r="280" s="56" customFormat="1" ht="15.75" customHeight="1" x14ac:dyDescent="0.15"/>
    <row r="281" s="56" customFormat="1" ht="15.75" customHeight="1" x14ac:dyDescent="0.15"/>
    <row r="282" s="56" customFormat="1" ht="15.75" customHeight="1" x14ac:dyDescent="0.15"/>
    <row r="283" s="56" customFormat="1" ht="15.75" customHeight="1" x14ac:dyDescent="0.15"/>
    <row r="284" s="56" customFormat="1" ht="15.75" customHeight="1" x14ac:dyDescent="0.15"/>
    <row r="285" s="56" customFormat="1" ht="15.75" customHeight="1" x14ac:dyDescent="0.15"/>
    <row r="286" s="56" customFormat="1" ht="15.75" customHeight="1" x14ac:dyDescent="0.15"/>
    <row r="287" s="56" customFormat="1" ht="15.75" customHeight="1" x14ac:dyDescent="0.15"/>
    <row r="288" s="56" customFormat="1" ht="15.75" customHeight="1" x14ac:dyDescent="0.15"/>
    <row r="289" s="56" customFormat="1" ht="15.75" customHeight="1" x14ac:dyDescent="0.15"/>
    <row r="290" s="56" customFormat="1" ht="15.75" customHeight="1" x14ac:dyDescent="0.15"/>
    <row r="291" s="56" customFormat="1" ht="15.75" customHeight="1" x14ac:dyDescent="0.15"/>
    <row r="292" s="56" customFormat="1" ht="15.75" customHeight="1" x14ac:dyDescent="0.15"/>
    <row r="293" s="56" customFormat="1" ht="15.75" customHeight="1" x14ac:dyDescent="0.15"/>
    <row r="294" s="56" customFormat="1" ht="15.75" customHeight="1" x14ac:dyDescent="0.15"/>
    <row r="295" s="56" customFormat="1" ht="15.75" customHeight="1" x14ac:dyDescent="0.15"/>
    <row r="296" s="56" customFormat="1" ht="15.75" customHeight="1" x14ac:dyDescent="0.15"/>
    <row r="297" s="56" customFormat="1" ht="15.75" customHeight="1" x14ac:dyDescent="0.15"/>
    <row r="298" s="56" customFormat="1" ht="15.75" customHeight="1" x14ac:dyDescent="0.15"/>
    <row r="299" s="56" customFormat="1" ht="15.75" customHeight="1" x14ac:dyDescent="0.15"/>
    <row r="300" s="56" customFormat="1" ht="15.75" customHeight="1" x14ac:dyDescent="0.15"/>
    <row r="301" s="56" customFormat="1" ht="15.75" customHeight="1" x14ac:dyDescent="0.15"/>
    <row r="302" s="56" customFormat="1" ht="15.75" customHeight="1" x14ac:dyDescent="0.15"/>
    <row r="303" s="56" customFormat="1" ht="15.75" customHeight="1" x14ac:dyDescent="0.15"/>
    <row r="304" s="56" customFormat="1" ht="15.75" customHeight="1" x14ac:dyDescent="0.15"/>
    <row r="305" s="56" customFormat="1" ht="15.75" customHeight="1" x14ac:dyDescent="0.15"/>
    <row r="306" s="56" customFormat="1" ht="15.75" customHeight="1" x14ac:dyDescent="0.15"/>
    <row r="307" s="56" customFormat="1" ht="15.75" customHeight="1" x14ac:dyDescent="0.15"/>
    <row r="308" s="56" customFormat="1" ht="15.75" customHeight="1" x14ac:dyDescent="0.15"/>
    <row r="309" s="56" customFormat="1" ht="15.75" customHeight="1" x14ac:dyDescent="0.15"/>
    <row r="310" s="56" customFormat="1" ht="15.75" customHeight="1" x14ac:dyDescent="0.15"/>
    <row r="311" s="56" customFormat="1" ht="15.75" customHeight="1" x14ac:dyDescent="0.15"/>
    <row r="312" s="56" customFormat="1" ht="15.75" customHeight="1" x14ac:dyDescent="0.15"/>
    <row r="313" s="56" customFormat="1" ht="15.75" customHeight="1" x14ac:dyDescent="0.15"/>
    <row r="314" s="56" customFormat="1" ht="15.75" customHeight="1" x14ac:dyDescent="0.15"/>
    <row r="315" s="56" customFormat="1" ht="15.75" customHeight="1" x14ac:dyDescent="0.15"/>
    <row r="316" s="56" customFormat="1" ht="15.75" customHeight="1" x14ac:dyDescent="0.15"/>
    <row r="317" s="56" customFormat="1" ht="15.75" customHeight="1" x14ac:dyDescent="0.15"/>
    <row r="318" s="56" customFormat="1" ht="15.75" customHeight="1" x14ac:dyDescent="0.15"/>
    <row r="319" s="56" customFormat="1" ht="15.75" customHeight="1" x14ac:dyDescent="0.15"/>
    <row r="320" s="56" customFormat="1" ht="15.75" customHeight="1" x14ac:dyDescent="0.15"/>
    <row r="321" s="56" customFormat="1" ht="15.75" customHeight="1" x14ac:dyDescent="0.15"/>
    <row r="322" s="56" customFormat="1" ht="15.75" customHeight="1" x14ac:dyDescent="0.15"/>
    <row r="323" s="56" customFormat="1" ht="15.75" customHeight="1" x14ac:dyDescent="0.15"/>
    <row r="324" s="56" customFormat="1" ht="15.75" customHeight="1" x14ac:dyDescent="0.15"/>
    <row r="325" s="56" customFormat="1" ht="15.75" customHeight="1" x14ac:dyDescent="0.15"/>
    <row r="326" s="56" customFormat="1" ht="15.75" customHeight="1" x14ac:dyDescent="0.15"/>
    <row r="327" s="56" customFormat="1" ht="15.75" customHeight="1" x14ac:dyDescent="0.15"/>
    <row r="328" s="56" customFormat="1" ht="15.75" customHeight="1" x14ac:dyDescent="0.15"/>
    <row r="329" s="56" customFormat="1" ht="15.75" customHeight="1" x14ac:dyDescent="0.15"/>
    <row r="330" s="56" customFormat="1" ht="15.75" customHeight="1" x14ac:dyDescent="0.15"/>
    <row r="331" s="56" customFormat="1" ht="15.75" customHeight="1" x14ac:dyDescent="0.15"/>
    <row r="332" s="56" customFormat="1" ht="15.75" customHeight="1" x14ac:dyDescent="0.15"/>
    <row r="333" s="56" customFormat="1" ht="15.75" customHeight="1" x14ac:dyDescent="0.15"/>
    <row r="334" s="56" customFormat="1" ht="15.75" customHeight="1" x14ac:dyDescent="0.15"/>
    <row r="335" s="56" customFormat="1" ht="15.75" customHeight="1" x14ac:dyDescent="0.15"/>
    <row r="336" s="56" customFormat="1" ht="15.75" customHeight="1" x14ac:dyDescent="0.15"/>
    <row r="337" s="56" customFormat="1" ht="15.75" customHeight="1" x14ac:dyDescent="0.15"/>
    <row r="338" s="56" customFormat="1" ht="15.75" customHeight="1" x14ac:dyDescent="0.15"/>
    <row r="339" s="56" customFormat="1" ht="15.75" customHeight="1" x14ac:dyDescent="0.15"/>
    <row r="340" s="56" customFormat="1" ht="15.75" customHeight="1" x14ac:dyDescent="0.15"/>
    <row r="341" s="56" customFormat="1" ht="15.75" customHeight="1" x14ac:dyDescent="0.15"/>
    <row r="342" s="56" customFormat="1" ht="15.75" customHeight="1" x14ac:dyDescent="0.15"/>
    <row r="343" s="56" customFormat="1" ht="15.75" customHeight="1" x14ac:dyDescent="0.15"/>
    <row r="344" s="56" customFormat="1" ht="15.75" customHeight="1" x14ac:dyDescent="0.15"/>
    <row r="345" s="56" customFormat="1" ht="15.75" customHeight="1" x14ac:dyDescent="0.15"/>
    <row r="346" s="56" customFormat="1" ht="15.75" customHeight="1" x14ac:dyDescent="0.15"/>
    <row r="347" s="56" customFormat="1" ht="15.75" customHeight="1" x14ac:dyDescent="0.15"/>
    <row r="348" s="56" customFormat="1" ht="15.75" customHeight="1" x14ac:dyDescent="0.15"/>
    <row r="349" s="56" customFormat="1" ht="15.75" customHeight="1" x14ac:dyDescent="0.15"/>
    <row r="350" s="56" customFormat="1" ht="15.75" customHeight="1" x14ac:dyDescent="0.15"/>
    <row r="351" s="56" customFormat="1" ht="15.75" customHeight="1" x14ac:dyDescent="0.15"/>
    <row r="352" s="56" customFormat="1" ht="15.75" customHeight="1" x14ac:dyDescent="0.15"/>
    <row r="353" s="56" customFormat="1" ht="15.75" customHeight="1" x14ac:dyDescent="0.15"/>
    <row r="354" s="56" customFormat="1" ht="15.75" customHeight="1" x14ac:dyDescent="0.15"/>
    <row r="355" s="56" customFormat="1" ht="15.75" customHeight="1" x14ac:dyDescent="0.15"/>
    <row r="356" s="56" customFormat="1" ht="15.75" customHeight="1" x14ac:dyDescent="0.15"/>
    <row r="357" s="56" customFormat="1" ht="15.75" customHeight="1" x14ac:dyDescent="0.15"/>
    <row r="358" s="56" customFormat="1" ht="15.75" customHeight="1" x14ac:dyDescent="0.15"/>
    <row r="359" s="56" customFormat="1" ht="15.75" customHeight="1" x14ac:dyDescent="0.15"/>
    <row r="360" s="56" customFormat="1" ht="15.75" customHeight="1" x14ac:dyDescent="0.15"/>
    <row r="361" s="56" customFormat="1" ht="15.75" customHeight="1" x14ac:dyDescent="0.15"/>
    <row r="362" s="56" customFormat="1" ht="15.75" customHeight="1" x14ac:dyDescent="0.15"/>
    <row r="363" s="56" customFormat="1" ht="15.75" customHeight="1" x14ac:dyDescent="0.15"/>
    <row r="364" s="56" customFormat="1" ht="15.75" customHeight="1" x14ac:dyDescent="0.15"/>
    <row r="365" s="56" customFormat="1" ht="15.75" customHeight="1" x14ac:dyDescent="0.15"/>
    <row r="366" s="56" customFormat="1" ht="15.75" customHeight="1" x14ac:dyDescent="0.15"/>
    <row r="367" s="56" customFormat="1" ht="15.75" customHeight="1" x14ac:dyDescent="0.15"/>
    <row r="368" s="56" customFormat="1" ht="15.75" customHeight="1" x14ac:dyDescent="0.15"/>
    <row r="369" s="56" customFormat="1" ht="15.75" customHeight="1" x14ac:dyDescent="0.15"/>
    <row r="370" s="56" customFormat="1" ht="15.75" customHeight="1" x14ac:dyDescent="0.15"/>
    <row r="371" s="56" customFormat="1" ht="15.75" customHeight="1" x14ac:dyDescent="0.15"/>
    <row r="372" s="56" customFormat="1" ht="15.75" customHeight="1" x14ac:dyDescent="0.15"/>
    <row r="373" s="56" customFormat="1" ht="15.75" customHeight="1" x14ac:dyDescent="0.15"/>
    <row r="374" s="56" customFormat="1" ht="15.75" customHeight="1" x14ac:dyDescent="0.15"/>
    <row r="375" s="56" customFormat="1" ht="15.75" customHeight="1" x14ac:dyDescent="0.15"/>
    <row r="376" s="56" customFormat="1" ht="15.75" customHeight="1" x14ac:dyDescent="0.15"/>
    <row r="377" s="56" customFormat="1" ht="15.75" customHeight="1" x14ac:dyDescent="0.15"/>
    <row r="378" s="56" customFormat="1" ht="15.75" customHeight="1" x14ac:dyDescent="0.15"/>
    <row r="379" s="56" customFormat="1" ht="15.75" customHeight="1" x14ac:dyDescent="0.15"/>
    <row r="380" s="56" customFormat="1" ht="15.75" customHeight="1" x14ac:dyDescent="0.15"/>
    <row r="381" s="56" customFormat="1" ht="15.75" customHeight="1" x14ac:dyDescent="0.15"/>
    <row r="382" s="56" customFormat="1" ht="15.75" customHeight="1" x14ac:dyDescent="0.15"/>
    <row r="383" s="56" customFormat="1" ht="15.75" customHeight="1" x14ac:dyDescent="0.15"/>
    <row r="384" s="56" customFormat="1" ht="15.75" customHeight="1" x14ac:dyDescent="0.15"/>
    <row r="385" s="56" customFormat="1" ht="15.75" customHeight="1" x14ac:dyDescent="0.15"/>
    <row r="386" s="56" customFormat="1" ht="15.75" customHeight="1" x14ac:dyDescent="0.15"/>
    <row r="387" s="56" customFormat="1" ht="15.75" customHeight="1" x14ac:dyDescent="0.15"/>
    <row r="388" s="56" customFormat="1" ht="15.75" customHeight="1" x14ac:dyDescent="0.15"/>
    <row r="389" s="56" customFormat="1" ht="15.75" customHeight="1" x14ac:dyDescent="0.15"/>
    <row r="390" s="56" customFormat="1" ht="15.75" customHeight="1" x14ac:dyDescent="0.15"/>
    <row r="391" s="56" customFormat="1" ht="15.75" customHeight="1" x14ac:dyDescent="0.15"/>
    <row r="392" s="56" customFormat="1" ht="15.75" customHeight="1" x14ac:dyDescent="0.15"/>
    <row r="393" s="56" customFormat="1" ht="15.75" customHeight="1" x14ac:dyDescent="0.15"/>
    <row r="394" s="56" customFormat="1" ht="15.75" customHeight="1" x14ac:dyDescent="0.15"/>
    <row r="395" s="56" customFormat="1" ht="15.75" customHeight="1" x14ac:dyDescent="0.15"/>
    <row r="396" s="56" customFormat="1" ht="15.75" customHeight="1" x14ac:dyDescent="0.15"/>
    <row r="397" s="56" customFormat="1" ht="15.75" customHeight="1" x14ac:dyDescent="0.15"/>
    <row r="398" s="56" customFormat="1" ht="15.75" customHeight="1" x14ac:dyDescent="0.15"/>
    <row r="399" s="56" customFormat="1" ht="15.75" customHeight="1" x14ac:dyDescent="0.15"/>
    <row r="400" s="56" customFormat="1" ht="15.75" customHeight="1" x14ac:dyDescent="0.15"/>
    <row r="401" s="56" customFormat="1" ht="15.75" customHeight="1" x14ac:dyDescent="0.15"/>
    <row r="402" s="56" customFormat="1" ht="15.75" customHeight="1" x14ac:dyDescent="0.15"/>
    <row r="403" s="56" customFormat="1" ht="15.75" customHeight="1" x14ac:dyDescent="0.15"/>
    <row r="404" s="56" customFormat="1" ht="15.75" customHeight="1" x14ac:dyDescent="0.15"/>
    <row r="405" s="56" customFormat="1" ht="15.75" customHeight="1" x14ac:dyDescent="0.15"/>
    <row r="406" s="56" customFormat="1" ht="15.75" customHeight="1" x14ac:dyDescent="0.15"/>
    <row r="407" s="56" customFormat="1" ht="15.75" customHeight="1" x14ac:dyDescent="0.15"/>
    <row r="408" s="56" customFormat="1" ht="15.75" customHeight="1" x14ac:dyDescent="0.15"/>
    <row r="409" s="56" customFormat="1" ht="15.75" customHeight="1" x14ac:dyDescent="0.15"/>
    <row r="410" s="56" customFormat="1" ht="15.75" customHeight="1" x14ac:dyDescent="0.15"/>
    <row r="411" s="56" customFormat="1" ht="15.75" customHeight="1" x14ac:dyDescent="0.15"/>
    <row r="412" s="56" customFormat="1" ht="15.75" customHeight="1" x14ac:dyDescent="0.15"/>
    <row r="413" s="56" customFormat="1" ht="15.75" customHeight="1" x14ac:dyDescent="0.15"/>
    <row r="414" s="56" customFormat="1" ht="15.75" customHeight="1" x14ac:dyDescent="0.15"/>
    <row r="415" s="56" customFormat="1" ht="15.75" customHeight="1" x14ac:dyDescent="0.15"/>
    <row r="416" s="56" customFormat="1" ht="15.75" customHeight="1" x14ac:dyDescent="0.15"/>
    <row r="417" s="56" customFormat="1" ht="15.75" customHeight="1" x14ac:dyDescent="0.15"/>
    <row r="418" s="56" customFormat="1" ht="15.75" customHeight="1" x14ac:dyDescent="0.15"/>
    <row r="419" s="56" customFormat="1" ht="15.75" customHeight="1" x14ac:dyDescent="0.15"/>
    <row r="420" s="56" customFormat="1" ht="15.75" customHeight="1" x14ac:dyDescent="0.15"/>
    <row r="421" s="56" customFormat="1" ht="15.75" customHeight="1" x14ac:dyDescent="0.15"/>
    <row r="422" s="56" customFormat="1" ht="15.75" customHeight="1" x14ac:dyDescent="0.15"/>
    <row r="423" s="56" customFormat="1" ht="15.75" customHeight="1" x14ac:dyDescent="0.15"/>
    <row r="424" s="56" customFormat="1" ht="15.75" customHeight="1" x14ac:dyDescent="0.15"/>
    <row r="425" s="56" customFormat="1" ht="15.75" customHeight="1" x14ac:dyDescent="0.15"/>
    <row r="426" s="56" customFormat="1" ht="15.75" customHeight="1" x14ac:dyDescent="0.15"/>
    <row r="427" s="56" customFormat="1" ht="15.75" customHeight="1" x14ac:dyDescent="0.15"/>
    <row r="428" s="56" customFormat="1" ht="15.75" customHeight="1" x14ac:dyDescent="0.15"/>
    <row r="429" s="56" customFormat="1" ht="15.75" customHeight="1" x14ac:dyDescent="0.15"/>
    <row r="430" s="56" customFormat="1" ht="15.75" customHeight="1" x14ac:dyDescent="0.15"/>
    <row r="431" s="56" customFormat="1" ht="15.75" customHeight="1" x14ac:dyDescent="0.15"/>
    <row r="432" s="56" customFormat="1" ht="15.75" customHeight="1" x14ac:dyDescent="0.15"/>
    <row r="433" s="56" customFormat="1" ht="15.75" customHeight="1" x14ac:dyDescent="0.15"/>
    <row r="434" s="56" customFormat="1" ht="15.75" customHeight="1" x14ac:dyDescent="0.15"/>
    <row r="435" s="56" customFormat="1" ht="15.75" customHeight="1" x14ac:dyDescent="0.15"/>
    <row r="436" s="56" customFormat="1" ht="15.75" customHeight="1" x14ac:dyDescent="0.15"/>
    <row r="437" s="56" customFormat="1" ht="15.75" customHeight="1" x14ac:dyDescent="0.15"/>
    <row r="438" s="56" customFormat="1" ht="15.75" customHeight="1" x14ac:dyDescent="0.15"/>
    <row r="439" s="56" customFormat="1" ht="15.75" customHeight="1" x14ac:dyDescent="0.15"/>
    <row r="440" s="56" customFormat="1" ht="15.75" customHeight="1" x14ac:dyDescent="0.15"/>
    <row r="441" s="56" customFormat="1" ht="15.75" customHeight="1" x14ac:dyDescent="0.15"/>
    <row r="442" s="56" customFormat="1" ht="15.75" customHeight="1" x14ac:dyDescent="0.15"/>
    <row r="443" s="56" customFormat="1" ht="15.75" customHeight="1" x14ac:dyDescent="0.15"/>
    <row r="444" s="56" customFormat="1" ht="15.75" customHeight="1" x14ac:dyDescent="0.15"/>
    <row r="445" s="56" customFormat="1" ht="15.75" customHeight="1" x14ac:dyDescent="0.15"/>
    <row r="446" s="56" customFormat="1" ht="15.75" customHeight="1" x14ac:dyDescent="0.15"/>
    <row r="447" s="56" customFormat="1" ht="15.75" customHeight="1" x14ac:dyDescent="0.15"/>
    <row r="448" s="56" customFormat="1" ht="15.75" customHeight="1" x14ac:dyDescent="0.15"/>
    <row r="449" s="56" customFormat="1" ht="15.75" customHeight="1" x14ac:dyDescent="0.15"/>
    <row r="450" s="56" customFormat="1" ht="15.75" customHeight="1" x14ac:dyDescent="0.15"/>
    <row r="451" s="56" customFormat="1" ht="15.75" customHeight="1" x14ac:dyDescent="0.15"/>
    <row r="452" s="56" customFormat="1" ht="15.75" customHeight="1" x14ac:dyDescent="0.15"/>
    <row r="453" s="56" customFormat="1" ht="15.75" customHeight="1" x14ac:dyDescent="0.15"/>
    <row r="454" s="56" customFormat="1" ht="15.75" customHeight="1" x14ac:dyDescent="0.15"/>
    <row r="455" s="56" customFormat="1" ht="15.75" customHeight="1" x14ac:dyDescent="0.15"/>
    <row r="456" s="56" customFormat="1" ht="15.75" customHeight="1" x14ac:dyDescent="0.15"/>
    <row r="457" s="56" customFormat="1" ht="15.75" customHeight="1" x14ac:dyDescent="0.15"/>
    <row r="458" s="56" customFormat="1" ht="15.75" customHeight="1" x14ac:dyDescent="0.15"/>
    <row r="459" s="56" customFormat="1" ht="15.75" customHeight="1" x14ac:dyDescent="0.15"/>
    <row r="460" s="56" customFormat="1" ht="15.75" customHeight="1" x14ac:dyDescent="0.15"/>
    <row r="461" s="56" customFormat="1" ht="15.75" customHeight="1" x14ac:dyDescent="0.15"/>
    <row r="462" s="56" customFormat="1" ht="15.75" customHeight="1" x14ac:dyDescent="0.15"/>
    <row r="463" s="56" customFormat="1" ht="15.75" customHeight="1" x14ac:dyDescent="0.15"/>
    <row r="464" s="56" customFormat="1" ht="15.75" customHeight="1" x14ac:dyDescent="0.15"/>
    <row r="465" s="56" customFormat="1" ht="15.75" customHeight="1" x14ac:dyDescent="0.15"/>
    <row r="466" s="56" customFormat="1" ht="15.75" customHeight="1" x14ac:dyDescent="0.15"/>
    <row r="467" s="56" customFormat="1" ht="15.75" customHeight="1" x14ac:dyDescent="0.15"/>
    <row r="468" s="56" customFormat="1" ht="15.75" customHeight="1" x14ac:dyDescent="0.15"/>
    <row r="469" s="56" customFormat="1" ht="15.75" customHeight="1" x14ac:dyDescent="0.15"/>
    <row r="470" s="56" customFormat="1" ht="15.75" customHeight="1" x14ac:dyDescent="0.15"/>
    <row r="471" s="56" customFormat="1" ht="15.75" customHeight="1" x14ac:dyDescent="0.15"/>
    <row r="472" s="56" customFormat="1" ht="15.75" customHeight="1" x14ac:dyDescent="0.15"/>
    <row r="473" s="56" customFormat="1" ht="15.75" customHeight="1" x14ac:dyDescent="0.15"/>
    <row r="474" s="56" customFormat="1" ht="15.75" customHeight="1" x14ac:dyDescent="0.15"/>
    <row r="475" s="56" customFormat="1" ht="15.75" customHeight="1" x14ac:dyDescent="0.15"/>
    <row r="476" s="56" customFormat="1" ht="15.75" customHeight="1" x14ac:dyDescent="0.15"/>
    <row r="477" s="56" customFormat="1" ht="15.75" customHeight="1" x14ac:dyDescent="0.15"/>
    <row r="478" s="56" customFormat="1" ht="15.75" customHeight="1" x14ac:dyDescent="0.15"/>
    <row r="479" s="56" customFormat="1" ht="15.75" customHeight="1" x14ac:dyDescent="0.15"/>
    <row r="480" s="56" customFormat="1" ht="15.75" customHeight="1" x14ac:dyDescent="0.15"/>
    <row r="481" s="56" customFormat="1" ht="15.75" customHeight="1" x14ac:dyDescent="0.15"/>
    <row r="482" s="56" customFormat="1" ht="15.75" customHeight="1" x14ac:dyDescent="0.15"/>
    <row r="483" s="56" customFormat="1" ht="15.75" customHeight="1" x14ac:dyDescent="0.15"/>
    <row r="484" s="56" customFormat="1" ht="15.75" customHeight="1" x14ac:dyDescent="0.15"/>
    <row r="485" s="56" customFormat="1" ht="15.75" customHeight="1" x14ac:dyDescent="0.15"/>
    <row r="486" s="56" customFormat="1" ht="15.75" customHeight="1" x14ac:dyDescent="0.15"/>
    <row r="487" s="56" customFormat="1" ht="15.75" customHeight="1" x14ac:dyDescent="0.15"/>
    <row r="488" s="56" customFormat="1" ht="15.75" customHeight="1" x14ac:dyDescent="0.15"/>
    <row r="489" s="56" customFormat="1" ht="15.75" customHeight="1" x14ac:dyDescent="0.15"/>
    <row r="490" s="56" customFormat="1" ht="15.75" customHeight="1" x14ac:dyDescent="0.15"/>
    <row r="491" s="56" customFormat="1" ht="15.75" customHeight="1" x14ac:dyDescent="0.15"/>
    <row r="492" s="56" customFormat="1" ht="15.75" customHeight="1" x14ac:dyDescent="0.15"/>
    <row r="493" s="56" customFormat="1" ht="15.75" customHeight="1" x14ac:dyDescent="0.15"/>
    <row r="494" s="56" customFormat="1" ht="15.75" customHeight="1" x14ac:dyDescent="0.15"/>
    <row r="495" s="56" customFormat="1" ht="15.75" customHeight="1" x14ac:dyDescent="0.15"/>
    <row r="496" s="56" customFormat="1" ht="15.75" customHeight="1" x14ac:dyDescent="0.15"/>
    <row r="497" s="56" customFormat="1" ht="15.75" customHeight="1" x14ac:dyDescent="0.15"/>
    <row r="498" s="56" customFormat="1" ht="15.75" customHeight="1" x14ac:dyDescent="0.15"/>
    <row r="499" s="56" customFormat="1" ht="15.75" customHeight="1" x14ac:dyDescent="0.15"/>
    <row r="500" s="56" customFormat="1" ht="15.75" customHeight="1" x14ac:dyDescent="0.15"/>
    <row r="501" s="56" customFormat="1" ht="15.75" customHeight="1" x14ac:dyDescent="0.15"/>
    <row r="502" s="56" customFormat="1" ht="15.75" customHeight="1" x14ac:dyDescent="0.15"/>
    <row r="503" s="56" customFormat="1" ht="15.75" customHeight="1" x14ac:dyDescent="0.15"/>
    <row r="504" s="56" customFormat="1" ht="15.75" customHeight="1" x14ac:dyDescent="0.15"/>
    <row r="505" s="56" customFormat="1" ht="15.75" customHeight="1" x14ac:dyDescent="0.15"/>
    <row r="506" s="56" customFormat="1" ht="15.75" customHeight="1" x14ac:dyDescent="0.15"/>
    <row r="507" s="56" customFormat="1" ht="15.75" customHeight="1" x14ac:dyDescent="0.15"/>
    <row r="508" s="56" customFormat="1" ht="15.75" customHeight="1" x14ac:dyDescent="0.15"/>
    <row r="509" s="56" customFormat="1" ht="15.75" customHeight="1" x14ac:dyDescent="0.15"/>
    <row r="510" s="56" customFormat="1" ht="15.75" customHeight="1" x14ac:dyDescent="0.15"/>
    <row r="511" s="56" customFormat="1" ht="15.75" customHeight="1" x14ac:dyDescent="0.15"/>
    <row r="512" s="56" customFormat="1" ht="15.75" customHeight="1" x14ac:dyDescent="0.15"/>
    <row r="513" s="56" customFormat="1" ht="15.75" customHeight="1" x14ac:dyDescent="0.15"/>
    <row r="514" s="56" customFormat="1" ht="15.75" customHeight="1" x14ac:dyDescent="0.15"/>
    <row r="515" s="56" customFormat="1" ht="15.75" customHeight="1" x14ac:dyDescent="0.15"/>
    <row r="516" s="56" customFormat="1" ht="15.75" customHeight="1" x14ac:dyDescent="0.15"/>
    <row r="517" s="56" customFormat="1" ht="15.75" customHeight="1" x14ac:dyDescent="0.15"/>
    <row r="518" s="56" customFormat="1" ht="15.75" customHeight="1" x14ac:dyDescent="0.15"/>
    <row r="519" s="56" customFormat="1" ht="15.75" customHeight="1" x14ac:dyDescent="0.15"/>
    <row r="520" s="56" customFormat="1" ht="15.75" customHeight="1" x14ac:dyDescent="0.15"/>
    <row r="521" s="56" customFormat="1" ht="15.75" customHeight="1" x14ac:dyDescent="0.15"/>
    <row r="522" s="56" customFormat="1" ht="15.75" customHeight="1" x14ac:dyDescent="0.15"/>
    <row r="523" s="56" customFormat="1" ht="15.75" customHeight="1" x14ac:dyDescent="0.15"/>
    <row r="524" s="56" customFormat="1" ht="15.75" customHeight="1" x14ac:dyDescent="0.15"/>
    <row r="525" s="56" customFormat="1" ht="15.75" customHeight="1" x14ac:dyDescent="0.15"/>
    <row r="526" s="56" customFormat="1" ht="15.75" customHeight="1" x14ac:dyDescent="0.15"/>
    <row r="527" s="56" customFormat="1" ht="15.75" customHeight="1" x14ac:dyDescent="0.15"/>
    <row r="528" s="56" customFormat="1" ht="15.75" customHeight="1" x14ac:dyDescent="0.15"/>
    <row r="529" s="56" customFormat="1" ht="15.75" customHeight="1" x14ac:dyDescent="0.15"/>
    <row r="530" s="56" customFormat="1" ht="15.75" customHeight="1" x14ac:dyDescent="0.15"/>
    <row r="531" s="56" customFormat="1" ht="15.75" customHeight="1" x14ac:dyDescent="0.15"/>
    <row r="532" s="56" customFormat="1" ht="15.75" customHeight="1" x14ac:dyDescent="0.15"/>
    <row r="533" s="56" customFormat="1" ht="15.75" customHeight="1" x14ac:dyDescent="0.15"/>
    <row r="534" s="56" customFormat="1" ht="15.75" customHeight="1" x14ac:dyDescent="0.15"/>
    <row r="535" s="56" customFormat="1" ht="15.75" customHeight="1" x14ac:dyDescent="0.15"/>
    <row r="536" s="56" customFormat="1" ht="15.75" customHeight="1" x14ac:dyDescent="0.15"/>
    <row r="537" s="56" customFormat="1" ht="15.75" customHeight="1" x14ac:dyDescent="0.15"/>
    <row r="538" s="56" customFormat="1" ht="15.75" customHeight="1" x14ac:dyDescent="0.15"/>
    <row r="539" s="56" customFormat="1" ht="15.75" customHeight="1" x14ac:dyDescent="0.15"/>
    <row r="540" s="56" customFormat="1" ht="15.75" customHeight="1" x14ac:dyDescent="0.15"/>
    <row r="541" s="56" customFormat="1" ht="15.75" customHeight="1" x14ac:dyDescent="0.15"/>
    <row r="542" s="56" customFormat="1" ht="15.75" customHeight="1" x14ac:dyDescent="0.15"/>
    <row r="543" s="56" customFormat="1" ht="15.75" customHeight="1" x14ac:dyDescent="0.15"/>
    <row r="544" s="56" customFormat="1" ht="15.75" customHeight="1" x14ac:dyDescent="0.15"/>
    <row r="545" s="56" customFormat="1" ht="15.75" customHeight="1" x14ac:dyDescent="0.15"/>
    <row r="546" s="56" customFormat="1" ht="15.75" customHeight="1" x14ac:dyDescent="0.15"/>
    <row r="547" s="56" customFormat="1" ht="15.75" customHeight="1" x14ac:dyDescent="0.15"/>
    <row r="548" s="56" customFormat="1" ht="15.75" customHeight="1" x14ac:dyDescent="0.15"/>
    <row r="549" s="56" customFormat="1" ht="15.75" customHeight="1" x14ac:dyDescent="0.15"/>
    <row r="550" s="56" customFormat="1" ht="15.75" customHeight="1" x14ac:dyDescent="0.15"/>
    <row r="551" s="56" customFormat="1" ht="15.75" customHeight="1" x14ac:dyDescent="0.15"/>
    <row r="552" s="56" customFormat="1" ht="15.75" customHeight="1" x14ac:dyDescent="0.15"/>
    <row r="553" s="56" customFormat="1" ht="15.75" customHeight="1" x14ac:dyDescent="0.15"/>
    <row r="554" s="56" customFormat="1" ht="15.75" customHeight="1" x14ac:dyDescent="0.15"/>
    <row r="555" s="56" customFormat="1" ht="15.75" customHeight="1" x14ac:dyDescent="0.15"/>
    <row r="556" s="56" customFormat="1" ht="15.75" customHeight="1" x14ac:dyDescent="0.15"/>
    <row r="557" s="56" customFormat="1" ht="15.75" customHeight="1" x14ac:dyDescent="0.15"/>
    <row r="558" s="56" customFormat="1" ht="15.75" customHeight="1" x14ac:dyDescent="0.15"/>
    <row r="559" s="56" customFormat="1" ht="15.75" customHeight="1" x14ac:dyDescent="0.15"/>
    <row r="560" s="56" customFormat="1" ht="15.75" customHeight="1" x14ac:dyDescent="0.15"/>
    <row r="561" s="56" customFormat="1" ht="15.75" customHeight="1" x14ac:dyDescent="0.15"/>
    <row r="562" s="56" customFormat="1" ht="15.75" customHeight="1" x14ac:dyDescent="0.15"/>
    <row r="563" s="56" customFormat="1" ht="15.75" customHeight="1" x14ac:dyDescent="0.15"/>
    <row r="564" s="56" customFormat="1" ht="15.75" customHeight="1" x14ac:dyDescent="0.15"/>
    <row r="565" s="56" customFormat="1" ht="15.75" customHeight="1" x14ac:dyDescent="0.15"/>
    <row r="566" s="56" customFormat="1" ht="15.75" customHeight="1" x14ac:dyDescent="0.15"/>
    <row r="567" s="56" customFormat="1" ht="15.75" customHeight="1" x14ac:dyDescent="0.15"/>
    <row r="568" s="56" customFormat="1" ht="15.75" customHeight="1" x14ac:dyDescent="0.15"/>
    <row r="569" s="56" customFormat="1" ht="15.75" customHeight="1" x14ac:dyDescent="0.15"/>
    <row r="570" s="56" customFormat="1" ht="15.75" customHeight="1" x14ac:dyDescent="0.15"/>
    <row r="571" s="56" customFormat="1" ht="15.75" customHeight="1" x14ac:dyDescent="0.15"/>
    <row r="572" s="56" customFormat="1" ht="15.75" customHeight="1" x14ac:dyDescent="0.15"/>
    <row r="573" s="56" customFormat="1" ht="15.75" customHeight="1" x14ac:dyDescent="0.15"/>
    <row r="574" s="56" customFormat="1" ht="15.75" customHeight="1" x14ac:dyDescent="0.15"/>
    <row r="575" s="56" customFormat="1" ht="15.75" customHeight="1" x14ac:dyDescent="0.15"/>
    <row r="576" s="56" customFormat="1" ht="15.75" customHeight="1" x14ac:dyDescent="0.15"/>
    <row r="577" s="56" customFormat="1" ht="15.75" customHeight="1" x14ac:dyDescent="0.15"/>
    <row r="578" s="56" customFormat="1" ht="15.75" customHeight="1" x14ac:dyDescent="0.15"/>
    <row r="579" s="56" customFormat="1" ht="15.75" customHeight="1" x14ac:dyDescent="0.15"/>
    <row r="580" s="56" customFormat="1" ht="15.75" customHeight="1" x14ac:dyDescent="0.15"/>
    <row r="581" s="56" customFormat="1" ht="15.75" customHeight="1" x14ac:dyDescent="0.15"/>
    <row r="582" s="56" customFormat="1" ht="15.75" customHeight="1" x14ac:dyDescent="0.15"/>
    <row r="583" s="56" customFormat="1" ht="15.75" customHeight="1" x14ac:dyDescent="0.15"/>
    <row r="584" s="56" customFormat="1" ht="15.75" customHeight="1" x14ac:dyDescent="0.15"/>
    <row r="585" s="56" customFormat="1" ht="15.75" customHeight="1" x14ac:dyDescent="0.15"/>
    <row r="586" s="56" customFormat="1" ht="15.75" customHeight="1" x14ac:dyDescent="0.15"/>
    <row r="587" s="56" customFormat="1" ht="15.75" customHeight="1" x14ac:dyDescent="0.15"/>
    <row r="588" s="56" customFormat="1" ht="15.75" customHeight="1" x14ac:dyDescent="0.15"/>
    <row r="589" s="56" customFormat="1" ht="15.75" customHeight="1" x14ac:dyDescent="0.15"/>
    <row r="590" s="56" customFormat="1" ht="15.75" customHeight="1" x14ac:dyDescent="0.15"/>
    <row r="591" s="56" customFormat="1" ht="15.75" customHeight="1" x14ac:dyDescent="0.15"/>
    <row r="592" s="56" customFormat="1" ht="15.75" customHeight="1" x14ac:dyDescent="0.15"/>
    <row r="593" s="56" customFormat="1" ht="15.75" customHeight="1" x14ac:dyDescent="0.15"/>
    <row r="594" s="56" customFormat="1" ht="15.75" customHeight="1" x14ac:dyDescent="0.15"/>
    <row r="595" s="56" customFormat="1" ht="15.75" customHeight="1" x14ac:dyDescent="0.15"/>
    <row r="596" s="56" customFormat="1" ht="15.75" customHeight="1" x14ac:dyDescent="0.15"/>
    <row r="597" s="56" customFormat="1" ht="15.75" customHeight="1" x14ac:dyDescent="0.15"/>
    <row r="598" s="56" customFormat="1" ht="15.75" customHeight="1" x14ac:dyDescent="0.15"/>
    <row r="599" s="56" customFormat="1" ht="15.75" customHeight="1" x14ac:dyDescent="0.15"/>
    <row r="600" s="56" customFormat="1" ht="15.75" customHeight="1" x14ac:dyDescent="0.15"/>
    <row r="601" s="56" customFormat="1" ht="15.75" customHeight="1" x14ac:dyDescent="0.15"/>
    <row r="602" s="56" customFormat="1" ht="15.75" customHeight="1" x14ac:dyDescent="0.15"/>
    <row r="603" s="56" customFormat="1" ht="15.75" customHeight="1" x14ac:dyDescent="0.15"/>
    <row r="604" s="56" customFormat="1" ht="15.75" customHeight="1" x14ac:dyDescent="0.15"/>
    <row r="605" s="56" customFormat="1" ht="15.75" customHeight="1" x14ac:dyDescent="0.15"/>
    <row r="606" s="56" customFormat="1" ht="15.75" customHeight="1" x14ac:dyDescent="0.15"/>
    <row r="607" s="56" customFormat="1" ht="15.75" customHeight="1" x14ac:dyDescent="0.15"/>
    <row r="608" s="56" customFormat="1" ht="15.75" customHeight="1" x14ac:dyDescent="0.15"/>
    <row r="609" s="56" customFormat="1" ht="15.75" customHeight="1" x14ac:dyDescent="0.15"/>
    <row r="610" s="56" customFormat="1" ht="15.75" customHeight="1" x14ac:dyDescent="0.15"/>
    <row r="611" s="56" customFormat="1" ht="15.75" customHeight="1" x14ac:dyDescent="0.15"/>
    <row r="612" s="56" customFormat="1" ht="15.75" customHeight="1" x14ac:dyDescent="0.15"/>
    <row r="613" s="56" customFormat="1" ht="15.75" customHeight="1" x14ac:dyDescent="0.15"/>
    <row r="614" s="56" customFormat="1" ht="15.75" customHeight="1" x14ac:dyDescent="0.15"/>
    <row r="615" s="56" customFormat="1" ht="15.75" customHeight="1" x14ac:dyDescent="0.15"/>
    <row r="616" s="56" customFormat="1" ht="15.75" customHeight="1" x14ac:dyDescent="0.15"/>
    <row r="617" s="56" customFormat="1" ht="15.75" customHeight="1" x14ac:dyDescent="0.15"/>
    <row r="618" s="56" customFormat="1" ht="15.75" customHeight="1" x14ac:dyDescent="0.15"/>
    <row r="619" s="56" customFormat="1" ht="15.75" customHeight="1" x14ac:dyDescent="0.15"/>
    <row r="620" s="56" customFormat="1" ht="15.75" customHeight="1" x14ac:dyDescent="0.15"/>
    <row r="621" s="56" customFormat="1" ht="15.75" customHeight="1" x14ac:dyDescent="0.15"/>
    <row r="622" s="56" customFormat="1" ht="15.75" customHeight="1" x14ac:dyDescent="0.15"/>
    <row r="623" s="56" customFormat="1" ht="15.75" customHeight="1" x14ac:dyDescent="0.15"/>
    <row r="624" s="56" customFormat="1" ht="15.75" customHeight="1" x14ac:dyDescent="0.15"/>
    <row r="625" s="56" customFormat="1" ht="15.75" customHeight="1" x14ac:dyDescent="0.15"/>
    <row r="626" s="56" customFormat="1" ht="15.75" customHeight="1" x14ac:dyDescent="0.15"/>
    <row r="627" s="56" customFormat="1" ht="15.75" customHeight="1" x14ac:dyDescent="0.15"/>
    <row r="628" s="56" customFormat="1" ht="15.75" customHeight="1" x14ac:dyDescent="0.15"/>
    <row r="629" s="56" customFormat="1" ht="15.75" customHeight="1" x14ac:dyDescent="0.15"/>
    <row r="630" s="56" customFormat="1" ht="15.75" customHeight="1" x14ac:dyDescent="0.15"/>
    <row r="631" s="56" customFormat="1" ht="15.75" customHeight="1" x14ac:dyDescent="0.15"/>
    <row r="632" s="56" customFormat="1" ht="15.75" customHeight="1" x14ac:dyDescent="0.15"/>
    <row r="633" s="56" customFormat="1" ht="15.75" customHeight="1" x14ac:dyDescent="0.15"/>
    <row r="634" s="56" customFormat="1" ht="15.75" customHeight="1" x14ac:dyDescent="0.15"/>
    <row r="635" s="56" customFormat="1" ht="15.75" customHeight="1" x14ac:dyDescent="0.15"/>
    <row r="636" s="56" customFormat="1" ht="15.75" customHeight="1" x14ac:dyDescent="0.15"/>
    <row r="637" s="56" customFormat="1" ht="15.75" customHeight="1" x14ac:dyDescent="0.15"/>
    <row r="638" s="56" customFormat="1" ht="15.75" customHeight="1" x14ac:dyDescent="0.15"/>
    <row r="639" s="56" customFormat="1" ht="15.75" customHeight="1" x14ac:dyDescent="0.15"/>
    <row r="640" s="56" customFormat="1" ht="15.75" customHeight="1" x14ac:dyDescent="0.15"/>
    <row r="641" s="56" customFormat="1" ht="15.75" customHeight="1" x14ac:dyDescent="0.15"/>
    <row r="642" s="56" customFormat="1" ht="15.75" customHeight="1" x14ac:dyDescent="0.15"/>
    <row r="643" s="56" customFormat="1" ht="15.75" customHeight="1" x14ac:dyDescent="0.15"/>
    <row r="644" s="56" customFormat="1" ht="15.75" customHeight="1" x14ac:dyDescent="0.15"/>
    <row r="645" s="56" customFormat="1" ht="15.75" customHeight="1" x14ac:dyDescent="0.15"/>
    <row r="646" s="56" customFormat="1" ht="15.75" customHeight="1" x14ac:dyDescent="0.15"/>
    <row r="647" s="56" customFormat="1" ht="15.75" customHeight="1" x14ac:dyDescent="0.15"/>
    <row r="648" s="56" customFormat="1" ht="15.75" customHeight="1" x14ac:dyDescent="0.15"/>
    <row r="649" s="56" customFormat="1" ht="15.75" customHeight="1" x14ac:dyDescent="0.15"/>
    <row r="650" s="56" customFormat="1" ht="15.75" customHeight="1" x14ac:dyDescent="0.15"/>
    <row r="651" s="56" customFormat="1" ht="15.75" customHeight="1" x14ac:dyDescent="0.15"/>
    <row r="652" s="56" customFormat="1" ht="15.75" customHeight="1" x14ac:dyDescent="0.15"/>
    <row r="653" s="56" customFormat="1" ht="15.75" customHeight="1" x14ac:dyDescent="0.15"/>
    <row r="654" s="56" customFormat="1" ht="15.75" customHeight="1" x14ac:dyDescent="0.15"/>
    <row r="655" s="56" customFormat="1" ht="15.75" customHeight="1" x14ac:dyDescent="0.15"/>
    <row r="656" s="56" customFormat="1" ht="15.75" customHeight="1" x14ac:dyDescent="0.15"/>
    <row r="657" s="56" customFormat="1" ht="15.75" customHeight="1" x14ac:dyDescent="0.15"/>
    <row r="658" s="56" customFormat="1" ht="15.75" customHeight="1" x14ac:dyDescent="0.15"/>
    <row r="659" s="56" customFormat="1" ht="15.75" customHeight="1" x14ac:dyDescent="0.15"/>
    <row r="660" s="56" customFormat="1" ht="15.75" customHeight="1" x14ac:dyDescent="0.15"/>
    <row r="661" s="56" customFormat="1" ht="15.75" customHeight="1" x14ac:dyDescent="0.15"/>
    <row r="662" s="56" customFormat="1" ht="15.75" customHeight="1" x14ac:dyDescent="0.15"/>
    <row r="663" s="56" customFormat="1" ht="15.75" customHeight="1" x14ac:dyDescent="0.15"/>
    <row r="664" s="56" customFormat="1" ht="15.75" customHeight="1" x14ac:dyDescent="0.15"/>
    <row r="665" s="56" customFormat="1" ht="15.75" customHeight="1" x14ac:dyDescent="0.15"/>
    <row r="666" s="56" customFormat="1" ht="15.75" customHeight="1" x14ac:dyDescent="0.15"/>
    <row r="667" s="56" customFormat="1" ht="15.75" customHeight="1" x14ac:dyDescent="0.15"/>
    <row r="668" s="56" customFormat="1" ht="15.75" customHeight="1" x14ac:dyDescent="0.15"/>
    <row r="669" s="56" customFormat="1" ht="15.75" customHeight="1" x14ac:dyDescent="0.15"/>
    <row r="670" s="56" customFormat="1" ht="15.75" customHeight="1" x14ac:dyDescent="0.15"/>
    <row r="671" s="56" customFormat="1" ht="15.75" customHeight="1" x14ac:dyDescent="0.15"/>
    <row r="672" s="56" customFormat="1" ht="15.75" customHeight="1" x14ac:dyDescent="0.15"/>
    <row r="673" s="56" customFormat="1" ht="15.75" customHeight="1" x14ac:dyDescent="0.15"/>
    <row r="674" s="56" customFormat="1" ht="15.75" customHeight="1" x14ac:dyDescent="0.15"/>
    <row r="675" s="56" customFormat="1" ht="15.75" customHeight="1" x14ac:dyDescent="0.15"/>
    <row r="676" s="56" customFormat="1" ht="15.75" customHeight="1" x14ac:dyDescent="0.15"/>
    <row r="677" s="56" customFormat="1" ht="15.75" customHeight="1" x14ac:dyDescent="0.15"/>
    <row r="678" s="56" customFormat="1" ht="15.75" customHeight="1" x14ac:dyDescent="0.15"/>
    <row r="679" s="56" customFormat="1" ht="15.75" customHeight="1" x14ac:dyDescent="0.15"/>
    <row r="680" s="56" customFormat="1" ht="15.75" customHeight="1" x14ac:dyDescent="0.15"/>
    <row r="681" s="56" customFormat="1" ht="15.75" customHeight="1" x14ac:dyDescent="0.15"/>
    <row r="682" s="56" customFormat="1" ht="15.75" customHeight="1" x14ac:dyDescent="0.15"/>
    <row r="683" s="56" customFormat="1" ht="15.75" customHeight="1" x14ac:dyDescent="0.15"/>
    <row r="684" s="56" customFormat="1" ht="15.75" customHeight="1" x14ac:dyDescent="0.15"/>
    <row r="685" s="56" customFormat="1" ht="15.75" customHeight="1" x14ac:dyDescent="0.15"/>
    <row r="686" s="56" customFormat="1" ht="15.75" customHeight="1" x14ac:dyDescent="0.15"/>
    <row r="687" s="56" customFormat="1" ht="15.75" customHeight="1" x14ac:dyDescent="0.15"/>
    <row r="688" s="56" customFormat="1" ht="15.75" customHeight="1" x14ac:dyDescent="0.15"/>
    <row r="689" s="56" customFormat="1" ht="15.75" customHeight="1" x14ac:dyDescent="0.15"/>
    <row r="690" s="56" customFormat="1" ht="15.75" customHeight="1" x14ac:dyDescent="0.15"/>
    <row r="691" s="56" customFormat="1" ht="15.75" customHeight="1" x14ac:dyDescent="0.15"/>
    <row r="692" s="56" customFormat="1" ht="15.75" customHeight="1" x14ac:dyDescent="0.15"/>
    <row r="693" s="56" customFormat="1" ht="15.75" customHeight="1" x14ac:dyDescent="0.15"/>
    <row r="694" s="56" customFormat="1" ht="15.75" customHeight="1" x14ac:dyDescent="0.15"/>
    <row r="695" s="56" customFormat="1" ht="15.75" customHeight="1" x14ac:dyDescent="0.15"/>
    <row r="696" s="56" customFormat="1" ht="15.75" customHeight="1" x14ac:dyDescent="0.15"/>
    <row r="697" s="56" customFormat="1" ht="15.75" customHeight="1" x14ac:dyDescent="0.15"/>
    <row r="698" s="56" customFormat="1" ht="15.75" customHeight="1" x14ac:dyDescent="0.15"/>
    <row r="699" s="56" customFormat="1" ht="15.75" customHeight="1" x14ac:dyDescent="0.15"/>
    <row r="700" s="56" customFormat="1" ht="15.75" customHeight="1" x14ac:dyDescent="0.15"/>
    <row r="701" s="56" customFormat="1" ht="15.75" customHeight="1" x14ac:dyDescent="0.15"/>
    <row r="702" s="56" customFormat="1" ht="15.75" customHeight="1" x14ac:dyDescent="0.15"/>
    <row r="703" s="56" customFormat="1" ht="15.75" customHeight="1" x14ac:dyDescent="0.15"/>
    <row r="704" s="56" customFormat="1" ht="15.75" customHeight="1" x14ac:dyDescent="0.15"/>
    <row r="705" s="56" customFormat="1" ht="15.75" customHeight="1" x14ac:dyDescent="0.15"/>
    <row r="706" s="56" customFormat="1" ht="15.75" customHeight="1" x14ac:dyDescent="0.15"/>
    <row r="707" s="56" customFormat="1" ht="15.75" customHeight="1" x14ac:dyDescent="0.15"/>
    <row r="708" s="56" customFormat="1" ht="15.75" customHeight="1" x14ac:dyDescent="0.15"/>
    <row r="709" s="56" customFormat="1" ht="15.75" customHeight="1" x14ac:dyDescent="0.15"/>
    <row r="710" s="56" customFormat="1" ht="15.75" customHeight="1" x14ac:dyDescent="0.15"/>
    <row r="711" s="56" customFormat="1" ht="15.75" customHeight="1" x14ac:dyDescent="0.15"/>
    <row r="712" s="56" customFormat="1" ht="15.75" customHeight="1" x14ac:dyDescent="0.15"/>
    <row r="713" s="56" customFormat="1" ht="15.75" customHeight="1" x14ac:dyDescent="0.15"/>
    <row r="714" s="56" customFormat="1" ht="15.75" customHeight="1" x14ac:dyDescent="0.15"/>
    <row r="715" s="56" customFormat="1" ht="15.75" customHeight="1" x14ac:dyDescent="0.15"/>
    <row r="716" s="56" customFormat="1" ht="15.75" customHeight="1" x14ac:dyDescent="0.15"/>
    <row r="717" s="56" customFormat="1" ht="15.75" customHeight="1" x14ac:dyDescent="0.15"/>
    <row r="718" s="56" customFormat="1" ht="15.75" customHeight="1" x14ac:dyDescent="0.15"/>
    <row r="719" s="56" customFormat="1" ht="15.75" customHeight="1" x14ac:dyDescent="0.15"/>
    <row r="720" s="56" customFormat="1" ht="15.75" customHeight="1" x14ac:dyDescent="0.15"/>
    <row r="721" s="56" customFormat="1" ht="15.75" customHeight="1" x14ac:dyDescent="0.15"/>
    <row r="722" s="56" customFormat="1" ht="15.75" customHeight="1" x14ac:dyDescent="0.15"/>
    <row r="723" s="56" customFormat="1" ht="15.75" customHeight="1" x14ac:dyDescent="0.15"/>
    <row r="724" s="56" customFormat="1" ht="15.75" customHeight="1" x14ac:dyDescent="0.15"/>
    <row r="725" s="56" customFormat="1" ht="15.75" customHeight="1" x14ac:dyDescent="0.15"/>
    <row r="726" s="56" customFormat="1" ht="15.75" customHeight="1" x14ac:dyDescent="0.15"/>
    <row r="727" s="56" customFormat="1" ht="15.75" customHeight="1" x14ac:dyDescent="0.15"/>
    <row r="728" s="56" customFormat="1" ht="15.75" customHeight="1" x14ac:dyDescent="0.15"/>
    <row r="729" s="56" customFormat="1" ht="15.75" customHeight="1" x14ac:dyDescent="0.15"/>
    <row r="730" s="56" customFormat="1" ht="15.75" customHeight="1" x14ac:dyDescent="0.15"/>
    <row r="731" s="56" customFormat="1" ht="15.75" customHeight="1" x14ac:dyDescent="0.15"/>
    <row r="732" s="56" customFormat="1" ht="15.75" customHeight="1" x14ac:dyDescent="0.15"/>
    <row r="733" s="56" customFormat="1" ht="15.75" customHeight="1" x14ac:dyDescent="0.15"/>
    <row r="734" s="56" customFormat="1" ht="15.75" customHeight="1" x14ac:dyDescent="0.15"/>
    <row r="735" s="56" customFormat="1" ht="15.75" customHeight="1" x14ac:dyDescent="0.15"/>
    <row r="736" s="56" customFormat="1" ht="15.75" customHeight="1" x14ac:dyDescent="0.15"/>
    <row r="737" s="56" customFormat="1" ht="15.75" customHeight="1" x14ac:dyDescent="0.15"/>
    <row r="738" s="56" customFormat="1" ht="15.75" customHeight="1" x14ac:dyDescent="0.15"/>
    <row r="739" s="56" customFormat="1" ht="15.75" customHeight="1" x14ac:dyDescent="0.15"/>
    <row r="740" s="56" customFormat="1" ht="15.75" customHeight="1" x14ac:dyDescent="0.15"/>
    <row r="741" s="56" customFormat="1" ht="15.75" customHeight="1" x14ac:dyDescent="0.15"/>
    <row r="742" s="56" customFormat="1" ht="15.75" customHeight="1" x14ac:dyDescent="0.15"/>
    <row r="743" s="56" customFormat="1" ht="15.75" customHeight="1" x14ac:dyDescent="0.15"/>
    <row r="744" s="56" customFormat="1" ht="15.75" customHeight="1" x14ac:dyDescent="0.15"/>
    <row r="745" s="56" customFormat="1" ht="15.75" customHeight="1" x14ac:dyDescent="0.15"/>
    <row r="746" s="56" customFormat="1" ht="15.75" customHeight="1" x14ac:dyDescent="0.15"/>
    <row r="747" s="56" customFormat="1" ht="15.75" customHeight="1" x14ac:dyDescent="0.15"/>
    <row r="748" s="56" customFormat="1" ht="15.75" customHeight="1" x14ac:dyDescent="0.15"/>
    <row r="749" s="56" customFormat="1" ht="15.75" customHeight="1" x14ac:dyDescent="0.15"/>
    <row r="750" s="56" customFormat="1" ht="15.75" customHeight="1" x14ac:dyDescent="0.15"/>
    <row r="751" s="56" customFormat="1" ht="15.75" customHeight="1" x14ac:dyDescent="0.15"/>
    <row r="752" s="56" customFormat="1" ht="15.75" customHeight="1" x14ac:dyDescent="0.15"/>
    <row r="753" s="56" customFormat="1" ht="15.75" customHeight="1" x14ac:dyDescent="0.15"/>
    <row r="754" s="56" customFormat="1" ht="15.75" customHeight="1" x14ac:dyDescent="0.15"/>
    <row r="755" s="56" customFormat="1" ht="15.75" customHeight="1" x14ac:dyDescent="0.15"/>
    <row r="756" s="56" customFormat="1" ht="15.75" customHeight="1" x14ac:dyDescent="0.15"/>
    <row r="757" s="56" customFormat="1" ht="15.75" customHeight="1" x14ac:dyDescent="0.15"/>
    <row r="758" s="56" customFormat="1" ht="15.75" customHeight="1" x14ac:dyDescent="0.15"/>
    <row r="759" s="56" customFormat="1" ht="15.75" customHeight="1" x14ac:dyDescent="0.15"/>
    <row r="760" s="56" customFormat="1" ht="15.75" customHeight="1" x14ac:dyDescent="0.15"/>
    <row r="761" s="56" customFormat="1" ht="15.75" customHeight="1" x14ac:dyDescent="0.15"/>
    <row r="762" s="56" customFormat="1" ht="15.75" customHeight="1" x14ac:dyDescent="0.15"/>
    <row r="763" s="56" customFormat="1" ht="15.75" customHeight="1" x14ac:dyDescent="0.15"/>
    <row r="764" s="56" customFormat="1" ht="15.75" customHeight="1" x14ac:dyDescent="0.15"/>
    <row r="765" s="56" customFormat="1" ht="15.75" customHeight="1" x14ac:dyDescent="0.15"/>
    <row r="766" s="56" customFormat="1" ht="15.75" customHeight="1" x14ac:dyDescent="0.15"/>
    <row r="767" s="56" customFormat="1" ht="15.75" customHeight="1" x14ac:dyDescent="0.15"/>
    <row r="768" s="56" customFormat="1" ht="15.75" customHeight="1" x14ac:dyDescent="0.15"/>
    <row r="769" s="56" customFormat="1" ht="15.75" customHeight="1" x14ac:dyDescent="0.15"/>
    <row r="770" s="56" customFormat="1" ht="15.75" customHeight="1" x14ac:dyDescent="0.15"/>
    <row r="771" s="56" customFormat="1" ht="15.75" customHeight="1" x14ac:dyDescent="0.15"/>
    <row r="772" s="56" customFormat="1" ht="15.75" customHeight="1" x14ac:dyDescent="0.15"/>
    <row r="773" s="56" customFormat="1" ht="15.75" customHeight="1" x14ac:dyDescent="0.15"/>
    <row r="774" s="56" customFormat="1" ht="15.75" customHeight="1" x14ac:dyDescent="0.15"/>
    <row r="775" s="56" customFormat="1" ht="15.75" customHeight="1" x14ac:dyDescent="0.15"/>
    <row r="776" s="56" customFormat="1" ht="15.75" customHeight="1" x14ac:dyDescent="0.15"/>
    <row r="777" s="56" customFormat="1" ht="15.75" customHeight="1" x14ac:dyDescent="0.15"/>
    <row r="778" s="56" customFormat="1" ht="15.75" customHeight="1" x14ac:dyDescent="0.15"/>
    <row r="779" s="56" customFormat="1" ht="15.75" customHeight="1" x14ac:dyDescent="0.15"/>
    <row r="780" s="56" customFormat="1" ht="15.75" customHeight="1" x14ac:dyDescent="0.15"/>
    <row r="781" s="56" customFormat="1" ht="15.75" customHeight="1" x14ac:dyDescent="0.15"/>
    <row r="782" s="56" customFormat="1" ht="15.75" customHeight="1" x14ac:dyDescent="0.15"/>
    <row r="783" s="56" customFormat="1" ht="15.75" customHeight="1" x14ac:dyDescent="0.15"/>
    <row r="784" s="56" customFormat="1" ht="15.75" customHeight="1" x14ac:dyDescent="0.15"/>
    <row r="785" s="56" customFormat="1" ht="15.75" customHeight="1" x14ac:dyDescent="0.15"/>
    <row r="786" s="56" customFormat="1" ht="15.75" customHeight="1" x14ac:dyDescent="0.15"/>
    <row r="787" s="56" customFormat="1" ht="15.75" customHeight="1" x14ac:dyDescent="0.15"/>
    <row r="788" s="56" customFormat="1" ht="15.75" customHeight="1" x14ac:dyDescent="0.15"/>
    <row r="789" s="56" customFormat="1" ht="15.75" customHeight="1" x14ac:dyDescent="0.15"/>
    <row r="790" s="56" customFormat="1" ht="15.75" customHeight="1" x14ac:dyDescent="0.15"/>
    <row r="791" s="56" customFormat="1" ht="15.75" customHeight="1" x14ac:dyDescent="0.15"/>
    <row r="792" s="56" customFormat="1" ht="15.75" customHeight="1" x14ac:dyDescent="0.15"/>
    <row r="793" s="56" customFormat="1" ht="15.75" customHeight="1" x14ac:dyDescent="0.15"/>
    <row r="794" s="56" customFormat="1" ht="15.75" customHeight="1" x14ac:dyDescent="0.15"/>
    <row r="795" s="56" customFormat="1" ht="15.75" customHeight="1" x14ac:dyDescent="0.15"/>
    <row r="796" s="56" customFormat="1" ht="15.75" customHeight="1" x14ac:dyDescent="0.15"/>
    <row r="797" s="56" customFormat="1" ht="15.75" customHeight="1" x14ac:dyDescent="0.15"/>
    <row r="798" s="56" customFormat="1" ht="15.75" customHeight="1" x14ac:dyDescent="0.15"/>
    <row r="799" s="56" customFormat="1" ht="15.75" customHeight="1" x14ac:dyDescent="0.15"/>
    <row r="800" s="56" customFormat="1" ht="15.75" customHeight="1" x14ac:dyDescent="0.15"/>
    <row r="801" s="56" customFormat="1" ht="15.75" customHeight="1" x14ac:dyDescent="0.15"/>
    <row r="802" s="56" customFormat="1" ht="15.75" customHeight="1" x14ac:dyDescent="0.15"/>
    <row r="803" s="56" customFormat="1" ht="15.75" customHeight="1" x14ac:dyDescent="0.15"/>
    <row r="804" s="56" customFormat="1" ht="15.75" customHeight="1" x14ac:dyDescent="0.15"/>
    <row r="805" s="56" customFormat="1" ht="15.75" customHeight="1" x14ac:dyDescent="0.15"/>
    <row r="806" s="56" customFormat="1" ht="15.75" customHeight="1" x14ac:dyDescent="0.15"/>
    <row r="807" s="56" customFormat="1" ht="15.75" customHeight="1" x14ac:dyDescent="0.15"/>
    <row r="808" s="56" customFormat="1" ht="15.75" customHeight="1" x14ac:dyDescent="0.15"/>
    <row r="809" s="56" customFormat="1" ht="15.75" customHeight="1" x14ac:dyDescent="0.15"/>
    <row r="810" s="56" customFormat="1" ht="15.75" customHeight="1" x14ac:dyDescent="0.15"/>
    <row r="811" s="56" customFormat="1" ht="15.75" customHeight="1" x14ac:dyDescent="0.15"/>
    <row r="812" s="56" customFormat="1" ht="15.75" customHeight="1" x14ac:dyDescent="0.15"/>
    <row r="813" s="56" customFormat="1" ht="15.75" customHeight="1" x14ac:dyDescent="0.15"/>
    <row r="814" s="56" customFormat="1" ht="15.75" customHeight="1" x14ac:dyDescent="0.15"/>
    <row r="815" s="56" customFormat="1" ht="15.75" customHeight="1" x14ac:dyDescent="0.15"/>
    <row r="816" s="56" customFormat="1" ht="15.75" customHeight="1" x14ac:dyDescent="0.15"/>
    <row r="817" s="56" customFormat="1" ht="15.75" customHeight="1" x14ac:dyDescent="0.15"/>
    <row r="818" s="56" customFormat="1" ht="15.75" customHeight="1" x14ac:dyDescent="0.15"/>
    <row r="819" s="56" customFormat="1" ht="15.75" customHeight="1" x14ac:dyDescent="0.15"/>
    <row r="820" s="56" customFormat="1" ht="15.75" customHeight="1" x14ac:dyDescent="0.15"/>
    <row r="821" s="56" customFormat="1" ht="15.75" customHeight="1" x14ac:dyDescent="0.15"/>
    <row r="822" s="56" customFormat="1" ht="15.75" customHeight="1" x14ac:dyDescent="0.15"/>
    <row r="823" s="56" customFormat="1" ht="15.75" customHeight="1" x14ac:dyDescent="0.15"/>
    <row r="824" s="56" customFormat="1" ht="15.75" customHeight="1" x14ac:dyDescent="0.15"/>
    <row r="825" s="56" customFormat="1" ht="15.75" customHeight="1" x14ac:dyDescent="0.15"/>
    <row r="826" s="56" customFormat="1" ht="15.75" customHeight="1" x14ac:dyDescent="0.15"/>
    <row r="827" s="56" customFormat="1" ht="15.75" customHeight="1" x14ac:dyDescent="0.15"/>
    <row r="828" s="56" customFormat="1" ht="15.75" customHeight="1" x14ac:dyDescent="0.15"/>
    <row r="829" s="56" customFormat="1" ht="15.75" customHeight="1" x14ac:dyDescent="0.15"/>
    <row r="830" s="56" customFormat="1" ht="15.75" customHeight="1" x14ac:dyDescent="0.15"/>
    <row r="831" s="56" customFormat="1" ht="15.75" customHeight="1" x14ac:dyDescent="0.15"/>
    <row r="832" s="56" customFormat="1" ht="15.75" customHeight="1" x14ac:dyDescent="0.15"/>
    <row r="833" s="56" customFormat="1" ht="15.75" customHeight="1" x14ac:dyDescent="0.15"/>
    <row r="834" s="56" customFormat="1" ht="15.75" customHeight="1" x14ac:dyDescent="0.15"/>
    <row r="835" s="56" customFormat="1" ht="15.75" customHeight="1" x14ac:dyDescent="0.15"/>
    <row r="836" s="56" customFormat="1" ht="15.75" customHeight="1" x14ac:dyDescent="0.15"/>
    <row r="837" s="56" customFormat="1" ht="15.75" customHeight="1" x14ac:dyDescent="0.15"/>
    <row r="838" s="56" customFormat="1" ht="15.75" customHeight="1" x14ac:dyDescent="0.15"/>
    <row r="839" s="56" customFormat="1" ht="15.75" customHeight="1" x14ac:dyDescent="0.15"/>
    <row r="840" s="56" customFormat="1" ht="15.75" customHeight="1" x14ac:dyDescent="0.15"/>
    <row r="841" s="56" customFormat="1" ht="15.75" customHeight="1" x14ac:dyDescent="0.15"/>
    <row r="842" s="56" customFormat="1" ht="15.75" customHeight="1" x14ac:dyDescent="0.15"/>
    <row r="843" s="56" customFormat="1" ht="15.75" customHeight="1" x14ac:dyDescent="0.15"/>
    <row r="844" s="56" customFormat="1" ht="15.75" customHeight="1" x14ac:dyDescent="0.15"/>
    <row r="845" s="56" customFormat="1" ht="15.75" customHeight="1" x14ac:dyDescent="0.15"/>
    <row r="846" s="56" customFormat="1" ht="15.75" customHeight="1" x14ac:dyDescent="0.15"/>
    <row r="847" s="56" customFormat="1" ht="15.75" customHeight="1" x14ac:dyDescent="0.15"/>
    <row r="848" s="56" customFormat="1" ht="15.75" customHeight="1" x14ac:dyDescent="0.15"/>
    <row r="849" s="56" customFormat="1" ht="15.75" customHeight="1" x14ac:dyDescent="0.15"/>
    <row r="850" s="56" customFormat="1" ht="15.75" customHeight="1" x14ac:dyDescent="0.15"/>
    <row r="851" s="56" customFormat="1" ht="15.75" customHeight="1" x14ac:dyDescent="0.15"/>
    <row r="852" s="56" customFormat="1" ht="15.75" customHeight="1" x14ac:dyDescent="0.15"/>
    <row r="853" s="56" customFormat="1" ht="15.75" customHeight="1" x14ac:dyDescent="0.15"/>
    <row r="854" s="56" customFormat="1" ht="15.75" customHeight="1" x14ac:dyDescent="0.15"/>
    <row r="855" s="56" customFormat="1" ht="15.75" customHeight="1" x14ac:dyDescent="0.15"/>
    <row r="856" s="56" customFormat="1" ht="15.75" customHeight="1" x14ac:dyDescent="0.15"/>
    <row r="857" s="56" customFormat="1" ht="15.75" customHeight="1" x14ac:dyDescent="0.15"/>
    <row r="858" s="56" customFormat="1" ht="15.75" customHeight="1" x14ac:dyDescent="0.15"/>
    <row r="859" s="56" customFormat="1" ht="15.75" customHeight="1" x14ac:dyDescent="0.15"/>
    <row r="860" s="56" customFormat="1" ht="15.75" customHeight="1" x14ac:dyDescent="0.15"/>
    <row r="861" s="56" customFormat="1" ht="15.75" customHeight="1" x14ac:dyDescent="0.15"/>
    <row r="862" s="56" customFormat="1" ht="15.75" customHeight="1" x14ac:dyDescent="0.15"/>
    <row r="863" s="56" customFormat="1" ht="15.75" customHeight="1" x14ac:dyDescent="0.15"/>
    <row r="864" s="56" customFormat="1" ht="15.75" customHeight="1" x14ac:dyDescent="0.15"/>
    <row r="865" s="56" customFormat="1" ht="15.75" customHeight="1" x14ac:dyDescent="0.15"/>
    <row r="866" s="56" customFormat="1" ht="15.75" customHeight="1" x14ac:dyDescent="0.15"/>
    <row r="867" s="56" customFormat="1" ht="15.75" customHeight="1" x14ac:dyDescent="0.15"/>
    <row r="868" s="56" customFormat="1" ht="15.75" customHeight="1" x14ac:dyDescent="0.15"/>
    <row r="869" s="56" customFormat="1" ht="15.75" customHeight="1" x14ac:dyDescent="0.15"/>
    <row r="870" s="56" customFormat="1" ht="15.75" customHeight="1" x14ac:dyDescent="0.15"/>
    <row r="871" s="56" customFormat="1" ht="15.75" customHeight="1" x14ac:dyDescent="0.15"/>
    <row r="872" s="56" customFormat="1" ht="15.75" customHeight="1" x14ac:dyDescent="0.15"/>
    <row r="873" s="56" customFormat="1" ht="15.75" customHeight="1" x14ac:dyDescent="0.15"/>
    <row r="874" s="56" customFormat="1" ht="15.75" customHeight="1" x14ac:dyDescent="0.15"/>
    <row r="875" s="56" customFormat="1" ht="15.75" customHeight="1" x14ac:dyDescent="0.15"/>
    <row r="876" s="56" customFormat="1" ht="15.75" customHeight="1" x14ac:dyDescent="0.15"/>
    <row r="877" s="56" customFormat="1" ht="15.75" customHeight="1" x14ac:dyDescent="0.15"/>
    <row r="878" s="56" customFormat="1" ht="15.75" customHeight="1" x14ac:dyDescent="0.15"/>
    <row r="879" s="56" customFormat="1" ht="15.75" customHeight="1" x14ac:dyDescent="0.15"/>
    <row r="880" s="56" customFormat="1" ht="15.75" customHeight="1" x14ac:dyDescent="0.15"/>
    <row r="881" s="56" customFormat="1" ht="15.75" customHeight="1" x14ac:dyDescent="0.15"/>
    <row r="882" s="56" customFormat="1" ht="15.75" customHeight="1" x14ac:dyDescent="0.15"/>
    <row r="883" s="56" customFormat="1" ht="15.75" customHeight="1" x14ac:dyDescent="0.15"/>
    <row r="884" s="56" customFormat="1" ht="15.75" customHeight="1" x14ac:dyDescent="0.15"/>
    <row r="885" s="56" customFormat="1" ht="15.75" customHeight="1" x14ac:dyDescent="0.15"/>
    <row r="886" s="56" customFormat="1" ht="15.75" customHeight="1" x14ac:dyDescent="0.15"/>
    <row r="887" s="56" customFormat="1" ht="15.75" customHeight="1" x14ac:dyDescent="0.15"/>
    <row r="888" s="56" customFormat="1" ht="15.75" customHeight="1" x14ac:dyDescent="0.15"/>
    <row r="889" s="56" customFormat="1" ht="15.75" customHeight="1" x14ac:dyDescent="0.15"/>
    <row r="890" s="56" customFormat="1" ht="15.75" customHeight="1" x14ac:dyDescent="0.15"/>
    <row r="891" s="56" customFormat="1" ht="15.75" customHeight="1" x14ac:dyDescent="0.15"/>
    <row r="892" s="56" customFormat="1" ht="15.75" customHeight="1" x14ac:dyDescent="0.15"/>
    <row r="893" s="56" customFormat="1" ht="15.75" customHeight="1" x14ac:dyDescent="0.15"/>
    <row r="894" s="56" customFormat="1" ht="15.75" customHeight="1" x14ac:dyDescent="0.15"/>
    <row r="895" s="56" customFormat="1" ht="15.75" customHeight="1" x14ac:dyDescent="0.15"/>
    <row r="896" s="56" customFormat="1" ht="15.75" customHeight="1" x14ac:dyDescent="0.15"/>
    <row r="897" s="56" customFormat="1" ht="15.75" customHeight="1" x14ac:dyDescent="0.15"/>
    <row r="898" s="56" customFormat="1" ht="15.75" customHeight="1" x14ac:dyDescent="0.15"/>
    <row r="899" s="56" customFormat="1" ht="15.75" customHeight="1" x14ac:dyDescent="0.15"/>
    <row r="900" s="56" customFormat="1" ht="15.75" customHeight="1" x14ac:dyDescent="0.15"/>
    <row r="901" s="56" customFormat="1" ht="15.75" customHeight="1" x14ac:dyDescent="0.15"/>
    <row r="902" s="56" customFormat="1" ht="15.75" customHeight="1" x14ac:dyDescent="0.15"/>
    <row r="903" s="56" customFormat="1" ht="15.75" customHeight="1" x14ac:dyDescent="0.15"/>
    <row r="904" s="56" customFormat="1" ht="15.75" customHeight="1" x14ac:dyDescent="0.15"/>
    <row r="905" s="56" customFormat="1" ht="15.75" customHeight="1" x14ac:dyDescent="0.15"/>
    <row r="906" s="56" customFormat="1" ht="15.75" customHeight="1" x14ac:dyDescent="0.15"/>
    <row r="907" s="56" customFormat="1" ht="15.75" customHeight="1" x14ac:dyDescent="0.15"/>
    <row r="908" s="56" customFormat="1" ht="15.75" customHeight="1" x14ac:dyDescent="0.15"/>
    <row r="909" s="56" customFormat="1" ht="15.75" customHeight="1" x14ac:dyDescent="0.15"/>
    <row r="910" s="56" customFormat="1" ht="15.75" customHeight="1" x14ac:dyDescent="0.15"/>
    <row r="911" s="56" customFormat="1" ht="15.75" customHeight="1" x14ac:dyDescent="0.15"/>
    <row r="912" s="56" customFormat="1" ht="15.75" customHeight="1" x14ac:dyDescent="0.15"/>
    <row r="913" s="56" customFormat="1" ht="15.75" customHeight="1" x14ac:dyDescent="0.15"/>
    <row r="914" s="56" customFormat="1" ht="15.75" customHeight="1" x14ac:dyDescent="0.15"/>
    <row r="915" s="56" customFormat="1" ht="15.75" customHeight="1" x14ac:dyDescent="0.15"/>
    <row r="916" s="56" customFormat="1" ht="15.75" customHeight="1" x14ac:dyDescent="0.15"/>
    <row r="917" s="56" customFormat="1" ht="15.75" customHeight="1" x14ac:dyDescent="0.15"/>
    <row r="918" s="56" customFormat="1" ht="15.75" customHeight="1" x14ac:dyDescent="0.15"/>
    <row r="919" s="56" customFormat="1" ht="15.75" customHeight="1" x14ac:dyDescent="0.15"/>
    <row r="920" s="56" customFormat="1" ht="15.75" customHeight="1" x14ac:dyDescent="0.15"/>
    <row r="921" s="56" customFormat="1" ht="15.75" customHeight="1" x14ac:dyDescent="0.15"/>
    <row r="922" s="56" customFormat="1" ht="15.75" customHeight="1" x14ac:dyDescent="0.15"/>
    <row r="923" s="56" customFormat="1" ht="15.75" customHeight="1" x14ac:dyDescent="0.15"/>
    <row r="924" s="56" customFormat="1" ht="15.75" customHeight="1" x14ac:dyDescent="0.15"/>
    <row r="925" s="56" customFormat="1" ht="15.75" customHeight="1" x14ac:dyDescent="0.15"/>
    <row r="926" s="56" customFormat="1" ht="15.75" customHeight="1" x14ac:dyDescent="0.15"/>
    <row r="927" s="56" customFormat="1" ht="15.75" customHeight="1" x14ac:dyDescent="0.15"/>
    <row r="928" s="56" customFormat="1" ht="15.75" customHeight="1" x14ac:dyDescent="0.15"/>
    <row r="929" s="56" customFormat="1" ht="15.75" customHeight="1" x14ac:dyDescent="0.15"/>
    <row r="930" s="56" customFormat="1" ht="15.75" customHeight="1" x14ac:dyDescent="0.15"/>
    <row r="931" s="56" customFormat="1" ht="15.75" customHeight="1" x14ac:dyDescent="0.15"/>
    <row r="932" s="56" customFormat="1" ht="15.75" customHeight="1" x14ac:dyDescent="0.15"/>
    <row r="933" s="56" customFormat="1" ht="15.75" customHeight="1" x14ac:dyDescent="0.15"/>
    <row r="934" s="56" customFormat="1" ht="15.75" customHeight="1" x14ac:dyDescent="0.15"/>
    <row r="935" s="56" customFormat="1" ht="15.75" customHeight="1" x14ac:dyDescent="0.15"/>
    <row r="936" s="56" customFormat="1" ht="15.75" customHeight="1" x14ac:dyDescent="0.15"/>
    <row r="937" s="56" customFormat="1" ht="15.75" customHeight="1" x14ac:dyDescent="0.15"/>
    <row r="938" s="56" customFormat="1" ht="15.75" customHeight="1" x14ac:dyDescent="0.15"/>
    <row r="939" s="56" customFormat="1" ht="15.75" customHeight="1" x14ac:dyDescent="0.15"/>
    <row r="940" s="56" customFormat="1" ht="15.75" customHeight="1" x14ac:dyDescent="0.15"/>
    <row r="941" s="56" customFormat="1" ht="15.75" customHeight="1" x14ac:dyDescent="0.15"/>
    <row r="942" s="56" customFormat="1" ht="15.75" customHeight="1" x14ac:dyDescent="0.15"/>
    <row r="943" s="56" customFormat="1" ht="15.75" customHeight="1" x14ac:dyDescent="0.15"/>
    <row r="944" s="56" customFormat="1" ht="15.75" customHeight="1" x14ac:dyDescent="0.15"/>
    <row r="945" s="56" customFormat="1" ht="15.75" customHeight="1" x14ac:dyDescent="0.15"/>
    <row r="946" s="56" customFormat="1" ht="15.75" customHeight="1" x14ac:dyDescent="0.15"/>
    <row r="947" s="56" customFormat="1" ht="15.75" customHeight="1" x14ac:dyDescent="0.15"/>
    <row r="948" s="56" customFormat="1" ht="15.75" customHeight="1" x14ac:dyDescent="0.15"/>
    <row r="949" s="56" customFormat="1" ht="15.75" customHeight="1" x14ac:dyDescent="0.15"/>
    <row r="950" s="56" customFormat="1" ht="15.75" customHeight="1" x14ac:dyDescent="0.15"/>
    <row r="951" s="56" customFormat="1" ht="15.75" customHeight="1" x14ac:dyDescent="0.15"/>
    <row r="952" s="56" customFormat="1" ht="15.75" customHeight="1" x14ac:dyDescent="0.15"/>
    <row r="953" s="56" customFormat="1" ht="15.75" customHeight="1" x14ac:dyDescent="0.15"/>
    <row r="954" s="56" customFormat="1" ht="15.75" customHeight="1" x14ac:dyDescent="0.15"/>
    <row r="955" s="56" customFormat="1" ht="15.75" customHeight="1" x14ac:dyDescent="0.15"/>
    <row r="956" s="56" customFormat="1" ht="15.75" customHeight="1" x14ac:dyDescent="0.15"/>
    <row r="957" s="56" customFormat="1" ht="15.75" customHeight="1" x14ac:dyDescent="0.15"/>
    <row r="958" s="56" customFormat="1" ht="15.75" customHeight="1" x14ac:dyDescent="0.15"/>
    <row r="959" s="56" customFormat="1" ht="15.75" customHeight="1" x14ac:dyDescent="0.15"/>
    <row r="960" s="56" customFormat="1" ht="15.75" customHeight="1" x14ac:dyDescent="0.15"/>
    <row r="961" s="56" customFormat="1" ht="15.75" customHeight="1" x14ac:dyDescent="0.15"/>
    <row r="962" s="56" customFormat="1" ht="15.75" customHeight="1" x14ac:dyDescent="0.15"/>
    <row r="963" s="56" customFormat="1" ht="15.75" customHeight="1" x14ac:dyDescent="0.15"/>
    <row r="964" s="56" customFormat="1" ht="15.75" customHeight="1" x14ac:dyDescent="0.15"/>
    <row r="965" s="56" customFormat="1" ht="15.75" customHeight="1" x14ac:dyDescent="0.15"/>
    <row r="966" s="56" customFormat="1" ht="15.75" customHeight="1" x14ac:dyDescent="0.15"/>
    <row r="967" s="56" customFormat="1" ht="15.75" customHeight="1" x14ac:dyDescent="0.15"/>
    <row r="968" s="56" customFormat="1" ht="15.75" customHeight="1" x14ac:dyDescent="0.15"/>
    <row r="969" s="56" customFormat="1" ht="15.75" customHeight="1" x14ac:dyDescent="0.15"/>
    <row r="970" s="56" customFormat="1" ht="15.75" customHeight="1" x14ac:dyDescent="0.15"/>
    <row r="971" s="56" customFormat="1" ht="15.75" customHeight="1" x14ac:dyDescent="0.15"/>
    <row r="972" s="56" customFormat="1" ht="15.75" customHeight="1" x14ac:dyDescent="0.15"/>
    <row r="973" s="56" customFormat="1" ht="15.75" customHeight="1" x14ac:dyDescent="0.15"/>
    <row r="974" s="56" customFormat="1" ht="15.75" customHeight="1" x14ac:dyDescent="0.15"/>
    <row r="975" s="56" customFormat="1" ht="15.75" customHeight="1" x14ac:dyDescent="0.15"/>
    <row r="976" s="56" customFormat="1" ht="15.75" customHeight="1" x14ac:dyDescent="0.15"/>
    <row r="977" s="56" customFormat="1" ht="15.75" customHeight="1" x14ac:dyDescent="0.15"/>
    <row r="978" s="56" customFormat="1" ht="15.75" customHeight="1" x14ac:dyDescent="0.15"/>
    <row r="979" s="56" customFormat="1" ht="15.75" customHeight="1" x14ac:dyDescent="0.15"/>
    <row r="980" s="56" customFormat="1" ht="15.75" customHeight="1" x14ac:dyDescent="0.15"/>
    <row r="981" s="56" customFormat="1" ht="15.75" customHeight="1" x14ac:dyDescent="0.15"/>
    <row r="982" s="56" customFormat="1" ht="15.75" customHeight="1" x14ac:dyDescent="0.15"/>
    <row r="983" s="56" customFormat="1" ht="15.75" customHeight="1" x14ac:dyDescent="0.15"/>
    <row r="984" s="56" customFormat="1" ht="15.75" customHeight="1" x14ac:dyDescent="0.15"/>
    <row r="985" s="56" customFormat="1" ht="15.75" customHeight="1" x14ac:dyDescent="0.15"/>
    <row r="986" s="56" customFormat="1" ht="15.75" customHeight="1" x14ac:dyDescent="0.15"/>
    <row r="987" s="56" customFormat="1" ht="15.75" customHeight="1" x14ac:dyDescent="0.15"/>
    <row r="988" s="56" customFormat="1" ht="15.75" customHeight="1" x14ac:dyDescent="0.15"/>
    <row r="989" s="56" customFormat="1" ht="15.75" customHeight="1" x14ac:dyDescent="0.15"/>
    <row r="990" s="56" customFormat="1" ht="15.75" customHeight="1" x14ac:dyDescent="0.15"/>
    <row r="991" s="56" customFormat="1" ht="15.75" customHeight="1" x14ac:dyDescent="0.15"/>
    <row r="992" s="56" customFormat="1" ht="15.75" customHeight="1" x14ac:dyDescent="0.15"/>
    <row r="993" s="56" customFormat="1" ht="15.75" customHeight="1" x14ac:dyDescent="0.15"/>
    <row r="994" s="56" customFormat="1" ht="15.75" customHeight="1" x14ac:dyDescent="0.15"/>
    <row r="995" s="56" customFormat="1" ht="15.75" customHeight="1" x14ac:dyDescent="0.15"/>
    <row r="996" s="56" customFormat="1" ht="15.75" customHeight="1" x14ac:dyDescent="0.15"/>
    <row r="997" s="56" customFormat="1" ht="15.75" customHeight="1" x14ac:dyDescent="0.15"/>
    <row r="998" s="56" customFormat="1" ht="15.75" customHeight="1" x14ac:dyDescent="0.15"/>
    <row r="999" s="56" customFormat="1" ht="15.75" customHeight="1" x14ac:dyDescent="0.15"/>
    <row r="1000" s="56" customFormat="1" ht="15.75" customHeight="1" x14ac:dyDescent="0.15"/>
    <row r="1001" s="56" customFormat="1" ht="15.75" customHeight="1" x14ac:dyDescent="0.15"/>
    <row r="1002" s="56" customFormat="1" ht="15.75" customHeight="1" x14ac:dyDescent="0.15"/>
    <row r="1003" s="56" customFormat="1" ht="15.75" customHeight="1" x14ac:dyDescent="0.15"/>
    <row r="1004" s="56" customFormat="1" ht="15.75" customHeight="1" x14ac:dyDescent="0.15"/>
    <row r="1005" s="56" customFormat="1" ht="15.75" customHeight="1" x14ac:dyDescent="0.15"/>
    <row r="1006" s="56" customFormat="1" ht="15.75" customHeight="1" x14ac:dyDescent="0.15"/>
    <row r="1007" s="56" customFormat="1" ht="15.75" customHeight="1" x14ac:dyDescent="0.15"/>
    <row r="1008" s="56" customFormat="1" ht="15.75" customHeight="1" x14ac:dyDescent="0.15"/>
    <row r="1009" s="56" customFormat="1" ht="15.75" customHeight="1" x14ac:dyDescent="0.15"/>
    <row r="1010" s="56" customFormat="1" ht="15.75" customHeight="1" x14ac:dyDescent="0.15"/>
    <row r="1011" s="56" customFormat="1" ht="15.75" customHeight="1" x14ac:dyDescent="0.15"/>
    <row r="1012" s="56" customFormat="1" ht="15.75" customHeight="1" x14ac:dyDescent="0.15"/>
    <row r="1013" s="56" customFormat="1" ht="15.75" customHeight="1" x14ac:dyDescent="0.15"/>
    <row r="1014" s="56" customFormat="1" ht="15.75" customHeight="1" x14ac:dyDescent="0.15"/>
    <row r="1015" s="56" customFormat="1" ht="15.75" customHeight="1" x14ac:dyDescent="0.15"/>
    <row r="1016" s="56" customFormat="1" ht="15.75" customHeight="1" x14ac:dyDescent="0.15"/>
    <row r="1017" s="56" customFormat="1" ht="15.75" customHeight="1" x14ac:dyDescent="0.15"/>
    <row r="1018" s="56" customFormat="1" ht="15.75" customHeight="1" x14ac:dyDescent="0.15"/>
    <row r="1019" s="56" customFormat="1" ht="15.75" customHeight="1" x14ac:dyDescent="0.15"/>
    <row r="1020" s="56" customFormat="1" ht="15.75" customHeight="1" x14ac:dyDescent="0.15"/>
    <row r="1021" s="56" customFormat="1" ht="15.75" customHeight="1" x14ac:dyDescent="0.15"/>
    <row r="1022" s="56" customFormat="1" ht="15.75" customHeight="1" x14ac:dyDescent="0.15"/>
    <row r="1023" s="56" customFormat="1" ht="15.75" customHeight="1" x14ac:dyDescent="0.15"/>
    <row r="1024" s="56" customFormat="1" ht="15.75" customHeight="1" x14ac:dyDescent="0.15"/>
    <row r="1025" s="56" customFormat="1" ht="15.75" customHeight="1" x14ac:dyDescent="0.15"/>
    <row r="1026" s="56" customFormat="1" ht="15.75" customHeight="1" x14ac:dyDescent="0.15"/>
    <row r="1027" s="56" customFormat="1" ht="15.75" customHeight="1" x14ac:dyDescent="0.15"/>
    <row r="1028" s="56" customFormat="1" ht="15.75" customHeight="1" x14ac:dyDescent="0.15"/>
    <row r="1029" s="56" customFormat="1" ht="15.75" customHeight="1" x14ac:dyDescent="0.15"/>
    <row r="1030" s="56" customFormat="1" ht="15.75" customHeight="1" x14ac:dyDescent="0.15"/>
    <row r="1031" s="56" customFormat="1" ht="15.75" customHeight="1" x14ac:dyDescent="0.15"/>
    <row r="1032" s="56" customFormat="1" ht="15.75" customHeight="1" x14ac:dyDescent="0.15"/>
    <row r="1033" s="56" customFormat="1" ht="15.75" customHeight="1" x14ac:dyDescent="0.15"/>
    <row r="1034" s="56" customFormat="1" ht="15.75" customHeight="1" x14ac:dyDescent="0.15"/>
    <row r="1035" s="56" customFormat="1" ht="15.75" customHeight="1" x14ac:dyDescent="0.15"/>
    <row r="1036" s="56" customFormat="1" ht="15.75" customHeight="1" x14ac:dyDescent="0.15"/>
    <row r="1037" s="56" customFormat="1" ht="15.75" customHeight="1" x14ac:dyDescent="0.15"/>
    <row r="1038" s="56" customFormat="1" ht="15.75" customHeight="1" x14ac:dyDescent="0.15"/>
    <row r="1039" s="56" customFormat="1" ht="15.75" customHeight="1" x14ac:dyDescent="0.15"/>
    <row r="1040" s="56" customFormat="1" ht="15.75" customHeight="1" x14ac:dyDescent="0.15"/>
    <row r="1041" s="56" customFormat="1" ht="15.75" customHeight="1" x14ac:dyDescent="0.15"/>
    <row r="1042" s="56" customFormat="1" ht="15.75" customHeight="1" x14ac:dyDescent="0.15"/>
    <row r="1043" s="56" customFormat="1" ht="15.75" customHeight="1" x14ac:dyDescent="0.15"/>
    <row r="1044" s="56" customFormat="1" ht="15.75" customHeight="1" x14ac:dyDescent="0.15"/>
    <row r="1045" s="56" customFormat="1" ht="15.75" customHeight="1" x14ac:dyDescent="0.15"/>
    <row r="1046" s="56" customFormat="1" ht="15.75" customHeight="1" x14ac:dyDescent="0.15"/>
    <row r="1047" s="56" customFormat="1" ht="15.75" customHeight="1" x14ac:dyDescent="0.15"/>
    <row r="1048" s="56" customFormat="1" ht="15.75" customHeight="1" x14ac:dyDescent="0.15"/>
    <row r="1049" s="56" customFormat="1" ht="15.75" customHeight="1" x14ac:dyDescent="0.15"/>
    <row r="1050" s="56" customFormat="1" ht="15.75" customHeight="1" x14ac:dyDescent="0.15"/>
    <row r="1051" s="56" customFormat="1" ht="15.75" customHeight="1" x14ac:dyDescent="0.15"/>
    <row r="1052" s="56" customFormat="1" ht="15.75" customHeight="1" x14ac:dyDescent="0.15"/>
    <row r="1053" s="56" customFormat="1" ht="15.75" customHeight="1" x14ac:dyDescent="0.15"/>
    <row r="1054" s="56" customFormat="1" ht="15.75" customHeight="1" x14ac:dyDescent="0.15"/>
    <row r="1055" s="56" customFormat="1" ht="15.75" customHeight="1" x14ac:dyDescent="0.15"/>
    <row r="1056" s="56" customFormat="1" ht="15.75" customHeight="1" x14ac:dyDescent="0.15"/>
    <row r="1057" s="56" customFormat="1" ht="15.75" customHeight="1" x14ac:dyDescent="0.15"/>
    <row r="1058" s="56" customFormat="1" ht="15.75" customHeight="1" x14ac:dyDescent="0.15"/>
    <row r="1059" s="56" customFormat="1" ht="15.75" customHeight="1" x14ac:dyDescent="0.15"/>
    <row r="1060" s="56" customFormat="1" ht="15.75" customHeight="1" x14ac:dyDescent="0.15"/>
    <row r="1061" s="56" customFormat="1" ht="15.75" customHeight="1" x14ac:dyDescent="0.15"/>
    <row r="1062" s="56" customFormat="1" ht="15.75" customHeight="1" x14ac:dyDescent="0.15"/>
    <row r="1063" s="56" customFormat="1" ht="15.75" customHeight="1" x14ac:dyDescent="0.15"/>
    <row r="1064" s="56" customFormat="1" ht="15.75" customHeight="1" x14ac:dyDescent="0.15"/>
    <row r="1065" s="56" customFormat="1" ht="15.75" customHeight="1" x14ac:dyDescent="0.15"/>
    <row r="1066" s="56" customFormat="1" ht="15.75" customHeight="1" x14ac:dyDescent="0.15"/>
    <row r="1067" s="56" customFormat="1" ht="15.75" customHeight="1" x14ac:dyDescent="0.15"/>
    <row r="1068" s="56" customFormat="1" ht="15.75" customHeight="1" x14ac:dyDescent="0.15"/>
    <row r="1069" s="56" customFormat="1" ht="15.75" customHeight="1" x14ac:dyDescent="0.15"/>
    <row r="1070" s="56" customFormat="1" ht="15.75" customHeight="1" x14ac:dyDescent="0.15"/>
    <row r="1071" s="56" customFormat="1" ht="15.75" customHeight="1" x14ac:dyDescent="0.15"/>
    <row r="1072" s="56" customFormat="1" ht="15.75" customHeight="1" x14ac:dyDescent="0.15"/>
    <row r="1073" s="56" customFormat="1" ht="15.75" customHeight="1" x14ac:dyDescent="0.15"/>
    <row r="1074" s="56" customFormat="1" ht="15.75" customHeight="1" x14ac:dyDescent="0.15"/>
    <row r="1075" s="56" customFormat="1" ht="15.75" customHeight="1" x14ac:dyDescent="0.15"/>
    <row r="1076" s="56" customFormat="1" ht="15.75" customHeight="1" x14ac:dyDescent="0.15"/>
    <row r="1077" s="56" customFormat="1" ht="15.75" customHeight="1" x14ac:dyDescent="0.15"/>
    <row r="1078" s="56" customFormat="1" ht="15.75" customHeight="1" x14ac:dyDescent="0.15"/>
    <row r="1079" s="56" customFormat="1" ht="15.75" customHeight="1" x14ac:dyDescent="0.15"/>
    <row r="1080" s="56" customFormat="1" ht="15.75" customHeight="1" x14ac:dyDescent="0.15"/>
    <row r="1081" s="56" customFormat="1" ht="15.75" customHeight="1" x14ac:dyDescent="0.15"/>
    <row r="1082" s="56" customFormat="1" ht="15.75" customHeight="1" x14ac:dyDescent="0.15"/>
    <row r="1083" s="56" customFormat="1" ht="15.75" customHeight="1" x14ac:dyDescent="0.15"/>
    <row r="1084" s="56" customFormat="1" ht="15.75" customHeight="1" x14ac:dyDescent="0.15"/>
    <row r="1085" s="56" customFormat="1" ht="15.75" customHeight="1" x14ac:dyDescent="0.15"/>
    <row r="1086" s="56" customFormat="1" ht="15.75" customHeight="1" x14ac:dyDescent="0.15"/>
    <row r="1087" s="56" customFormat="1" ht="15.75" customHeight="1" x14ac:dyDescent="0.15"/>
    <row r="1088" s="56" customFormat="1" ht="15.75" customHeight="1" x14ac:dyDescent="0.15"/>
    <row r="1089" s="56" customFormat="1" ht="15.75" customHeight="1" x14ac:dyDescent="0.15"/>
    <row r="1090" s="56" customFormat="1" ht="15.75" customHeight="1" x14ac:dyDescent="0.15"/>
    <row r="1091" s="56" customFormat="1" ht="15.75" customHeight="1" x14ac:dyDescent="0.15"/>
    <row r="1092" s="56" customFormat="1" ht="15.75" customHeight="1" x14ac:dyDescent="0.15"/>
    <row r="1093" s="56" customFormat="1" ht="15.75" customHeight="1" x14ac:dyDescent="0.15"/>
    <row r="1094" s="56" customFormat="1" ht="15.75" customHeight="1" x14ac:dyDescent="0.15"/>
    <row r="1095" s="56" customFormat="1" ht="15.75" customHeight="1" x14ac:dyDescent="0.15"/>
    <row r="1096" s="56" customFormat="1" ht="15.75" customHeight="1" x14ac:dyDescent="0.15"/>
    <row r="1097" s="56" customFormat="1" ht="15.75" customHeight="1" x14ac:dyDescent="0.15"/>
    <row r="1098" s="56" customFormat="1" ht="15.75" customHeight="1" x14ac:dyDescent="0.15"/>
    <row r="1099" s="56" customFormat="1" ht="15.75" customHeight="1" x14ac:dyDescent="0.15"/>
    <row r="1100" s="56" customFormat="1" ht="15.75" customHeight="1" x14ac:dyDescent="0.15"/>
    <row r="1101" s="56" customFormat="1" ht="15.75" customHeight="1" x14ac:dyDescent="0.15"/>
    <row r="1102" s="56" customFormat="1" ht="15.75" customHeight="1" x14ac:dyDescent="0.15"/>
    <row r="1103" s="56" customFormat="1" ht="15.75" customHeight="1" x14ac:dyDescent="0.15"/>
    <row r="1104" s="56" customFormat="1" ht="15.75" customHeight="1" x14ac:dyDescent="0.15"/>
    <row r="1105" s="56" customFormat="1" ht="15.75" customHeight="1" x14ac:dyDescent="0.15"/>
    <row r="1106" s="56" customFormat="1" ht="15.75" customHeight="1" x14ac:dyDescent="0.15"/>
    <row r="1107" s="56" customFormat="1" ht="15.75" customHeight="1" x14ac:dyDescent="0.15"/>
    <row r="1108" s="56" customFormat="1" ht="15.75" customHeight="1" x14ac:dyDescent="0.15"/>
    <row r="1109" s="56" customFormat="1" ht="15.75" customHeight="1" x14ac:dyDescent="0.15"/>
    <row r="1110" s="56" customFormat="1" ht="15.75" customHeight="1" x14ac:dyDescent="0.15"/>
    <row r="1111" s="56" customFormat="1" ht="15.75" customHeight="1" x14ac:dyDescent="0.15"/>
    <row r="1112" s="56" customFormat="1" ht="15.75" customHeight="1" x14ac:dyDescent="0.15"/>
    <row r="1113" s="56" customFormat="1" ht="15.75" customHeight="1" x14ac:dyDescent="0.15"/>
    <row r="1114" s="56" customFormat="1" ht="15.75" customHeight="1" x14ac:dyDescent="0.15"/>
    <row r="1115" s="56" customFormat="1" ht="15.75" customHeight="1" x14ac:dyDescent="0.15"/>
    <row r="1116" s="56" customFormat="1" ht="15.75" customHeight="1" x14ac:dyDescent="0.15"/>
    <row r="1117" s="56" customFormat="1" ht="15.75" customHeight="1" x14ac:dyDescent="0.15"/>
    <row r="1118" s="56" customFormat="1" ht="15.75" customHeight="1" x14ac:dyDescent="0.15"/>
    <row r="1119" s="56" customFormat="1" ht="15.75" customHeight="1" x14ac:dyDescent="0.15"/>
    <row r="1120" s="56" customFormat="1" ht="15.75" customHeight="1" x14ac:dyDescent="0.15"/>
    <row r="1121" s="56" customFormat="1" ht="15.75" customHeight="1" x14ac:dyDescent="0.15"/>
    <row r="1122" s="56" customFormat="1" ht="15.75" customHeight="1" x14ac:dyDescent="0.15"/>
    <row r="1123" s="56" customFormat="1" ht="15.75" customHeight="1" x14ac:dyDescent="0.15"/>
    <row r="1124" s="56" customFormat="1" ht="15.75" customHeight="1" x14ac:dyDescent="0.15"/>
    <row r="1125" s="56" customFormat="1" ht="15.75" customHeight="1" x14ac:dyDescent="0.15"/>
    <row r="1126" s="56" customFormat="1" ht="15.75" customHeight="1" x14ac:dyDescent="0.15"/>
    <row r="1127" s="56" customFormat="1" ht="15.75" customHeight="1" x14ac:dyDescent="0.15"/>
    <row r="1128" s="56" customFormat="1" ht="15.75" customHeight="1" x14ac:dyDescent="0.15"/>
    <row r="1129" s="56" customFormat="1" ht="15.75" customHeight="1" x14ac:dyDescent="0.15"/>
    <row r="1130" s="56" customFormat="1" ht="15.75" customHeight="1" x14ac:dyDescent="0.15"/>
    <row r="1131" s="56" customFormat="1" ht="15.75" customHeight="1" x14ac:dyDescent="0.15"/>
    <row r="1132" s="56" customFormat="1" ht="15.75" customHeight="1" x14ac:dyDescent="0.15"/>
    <row r="1133" s="56" customFormat="1" ht="15.75" customHeight="1" x14ac:dyDescent="0.15"/>
    <row r="1134" s="56" customFormat="1" ht="15.75" customHeight="1" x14ac:dyDescent="0.15"/>
    <row r="1135" s="56" customFormat="1" ht="15.75" customHeight="1" x14ac:dyDescent="0.15"/>
    <row r="1136" s="56" customFormat="1" ht="15.75" customHeight="1" x14ac:dyDescent="0.15"/>
    <row r="1137" s="56" customFormat="1" ht="15.75" customHeight="1" x14ac:dyDescent="0.15"/>
    <row r="1138" s="56" customFormat="1" ht="15.75" customHeight="1" x14ac:dyDescent="0.15"/>
    <row r="1139" s="56" customFormat="1" ht="15.75" customHeight="1" x14ac:dyDescent="0.15"/>
    <row r="1140" s="56" customFormat="1" ht="15.75" customHeight="1" x14ac:dyDescent="0.15"/>
    <row r="1141" s="56" customFormat="1" ht="15.75" customHeight="1" x14ac:dyDescent="0.15"/>
    <row r="1142" s="56" customFormat="1" ht="15.75" customHeight="1" x14ac:dyDescent="0.15"/>
    <row r="1143" s="56" customFormat="1" ht="15.75" customHeight="1" x14ac:dyDescent="0.15"/>
    <row r="1144" s="56" customFormat="1" ht="15.75" customHeight="1" x14ac:dyDescent="0.15"/>
    <row r="1145" s="56" customFormat="1" ht="15.75" customHeight="1" x14ac:dyDescent="0.15"/>
    <row r="1146" s="56" customFormat="1" ht="15.75" customHeight="1" x14ac:dyDescent="0.15"/>
    <row r="1147" s="56" customFormat="1" ht="15.75" customHeight="1" x14ac:dyDescent="0.15"/>
    <row r="1148" s="56" customFormat="1" ht="15.75" customHeight="1" x14ac:dyDescent="0.15"/>
    <row r="1149" s="56" customFormat="1" ht="15.75" customHeight="1" x14ac:dyDescent="0.15"/>
    <row r="1150" s="56" customFormat="1" ht="15.75" customHeight="1" x14ac:dyDescent="0.15"/>
    <row r="1151" s="56" customFormat="1" ht="15.75" customHeight="1" x14ac:dyDescent="0.15"/>
    <row r="1152" s="56" customFormat="1" ht="15.75" customHeight="1" x14ac:dyDescent="0.15"/>
    <row r="1153" s="56" customFormat="1" ht="15.75" customHeight="1" x14ac:dyDescent="0.15"/>
    <row r="1154" s="56" customFormat="1" ht="15.75" customHeight="1" x14ac:dyDescent="0.15"/>
    <row r="1155" s="56" customFormat="1" ht="15.75" customHeight="1" x14ac:dyDescent="0.15"/>
    <row r="1156" s="56" customFormat="1" ht="15.75" customHeight="1" x14ac:dyDescent="0.15"/>
    <row r="1157" s="56" customFormat="1" ht="15.75" customHeight="1" x14ac:dyDescent="0.15"/>
    <row r="1158" s="56" customFormat="1" ht="15.75" customHeight="1" x14ac:dyDescent="0.15"/>
    <row r="1159" s="56" customFormat="1" ht="15.75" customHeight="1" x14ac:dyDescent="0.15"/>
    <row r="1160" s="56" customFormat="1" ht="15.75" customHeight="1" x14ac:dyDescent="0.15"/>
    <row r="1161" s="56" customFormat="1" ht="15.75" customHeight="1" x14ac:dyDescent="0.15"/>
    <row r="1162" s="56" customFormat="1" ht="15.75" customHeight="1" x14ac:dyDescent="0.15"/>
    <row r="1163" s="56" customFormat="1" ht="15.75" customHeight="1" x14ac:dyDescent="0.15"/>
    <row r="1164" s="56" customFormat="1" ht="15.75" customHeight="1" x14ac:dyDescent="0.15"/>
    <row r="1165" s="56" customFormat="1" ht="15.75" customHeight="1" x14ac:dyDescent="0.15"/>
    <row r="1166" s="56" customFormat="1" ht="15.75" customHeight="1" x14ac:dyDescent="0.15"/>
    <row r="1167" s="56" customFormat="1" ht="15.75" customHeight="1" x14ac:dyDescent="0.15"/>
    <row r="1168" s="56" customFormat="1" ht="15.75" customHeight="1" x14ac:dyDescent="0.15"/>
    <row r="1169" s="56" customFormat="1" ht="15.75" customHeight="1" x14ac:dyDescent="0.15"/>
    <row r="1170" s="56" customFormat="1" ht="15.75" customHeight="1" x14ac:dyDescent="0.15"/>
    <row r="1171" s="56" customFormat="1" ht="15.75" customHeight="1" x14ac:dyDescent="0.15"/>
    <row r="1172" s="56" customFormat="1" ht="15.75" customHeight="1" x14ac:dyDescent="0.15"/>
    <row r="1173" s="56" customFormat="1" ht="15.75" customHeight="1" x14ac:dyDescent="0.15"/>
    <row r="1174" s="56" customFormat="1" ht="15.75" customHeight="1" x14ac:dyDescent="0.15"/>
    <row r="1175" s="56" customFormat="1" ht="15.75" customHeight="1" x14ac:dyDescent="0.15"/>
    <row r="1176" s="56" customFormat="1" ht="15.75" customHeight="1" x14ac:dyDescent="0.15"/>
    <row r="1177" s="56" customFormat="1" ht="15.75" customHeight="1" x14ac:dyDescent="0.15"/>
    <row r="1178" s="56" customFormat="1" ht="15.75" customHeight="1" x14ac:dyDescent="0.15"/>
    <row r="1179" s="56" customFormat="1" ht="15.75" customHeight="1" x14ac:dyDescent="0.15"/>
    <row r="1180" s="56" customFormat="1" ht="15.75" customHeight="1" x14ac:dyDescent="0.15"/>
    <row r="1181" s="56" customFormat="1" ht="15.75" customHeight="1" x14ac:dyDescent="0.15"/>
    <row r="1182" s="56" customFormat="1" ht="15.75" customHeight="1" x14ac:dyDescent="0.15"/>
    <row r="1183" s="56" customFormat="1" ht="15.75" customHeight="1" x14ac:dyDescent="0.15"/>
    <row r="1184" s="56" customFormat="1" ht="15.75" customHeight="1" x14ac:dyDescent="0.15"/>
    <row r="1185" s="56" customFormat="1" ht="15.75" customHeight="1" x14ac:dyDescent="0.15"/>
    <row r="1186" s="56" customFormat="1" ht="15.75" customHeight="1" x14ac:dyDescent="0.15"/>
    <row r="1187" s="56" customFormat="1" ht="15.75" customHeight="1" x14ac:dyDescent="0.15"/>
    <row r="1188" s="56" customFormat="1" ht="15.75" customHeight="1" x14ac:dyDescent="0.15"/>
    <row r="1189" s="56" customFormat="1" ht="15.75" customHeight="1" x14ac:dyDescent="0.15"/>
    <row r="1190" s="56" customFormat="1" ht="15.75" customHeight="1" x14ac:dyDescent="0.15"/>
    <row r="1191" s="56" customFormat="1" ht="15.75" customHeight="1" x14ac:dyDescent="0.15"/>
    <row r="1192" s="56" customFormat="1" ht="15.75" customHeight="1" x14ac:dyDescent="0.15"/>
    <row r="1193" s="56" customFormat="1" ht="15.75" customHeight="1" x14ac:dyDescent="0.15"/>
    <row r="1194" s="56" customFormat="1" ht="15.75" customHeight="1" x14ac:dyDescent="0.15"/>
    <row r="1195" s="56" customFormat="1" ht="15.75" customHeight="1" x14ac:dyDescent="0.15"/>
    <row r="1196" s="56" customFormat="1" ht="15.75" customHeight="1" x14ac:dyDescent="0.15"/>
    <row r="1197" s="56" customFormat="1" ht="15.75" customHeight="1" x14ac:dyDescent="0.15"/>
    <row r="1198" s="56" customFormat="1" ht="15.75" customHeight="1" x14ac:dyDescent="0.15"/>
    <row r="1199" s="56" customFormat="1" ht="15.75" customHeight="1" x14ac:dyDescent="0.15"/>
    <row r="1200" s="56" customFormat="1" ht="15.75" customHeight="1" x14ac:dyDescent="0.15"/>
    <row r="1201" s="56" customFormat="1" ht="15.75" customHeight="1" x14ac:dyDescent="0.15"/>
    <row r="1202" s="56" customFormat="1" ht="15.75" customHeight="1" x14ac:dyDescent="0.15"/>
    <row r="1203" s="56" customFormat="1" ht="15.75" customHeight="1" x14ac:dyDescent="0.15"/>
    <row r="1204" s="56" customFormat="1" ht="15.75" customHeight="1" x14ac:dyDescent="0.15"/>
    <row r="1205" s="56" customFormat="1" ht="15.75" customHeight="1" x14ac:dyDescent="0.15"/>
    <row r="1206" s="56" customFormat="1" ht="15.75" customHeight="1" x14ac:dyDescent="0.15"/>
    <row r="1207" s="56" customFormat="1" ht="15.75" customHeight="1" x14ac:dyDescent="0.15"/>
    <row r="1208" s="56" customFormat="1" ht="15.75" customHeight="1" x14ac:dyDescent="0.15"/>
    <row r="1209" s="56" customFormat="1" ht="15.75" customHeight="1" x14ac:dyDescent="0.15"/>
    <row r="1210" s="56" customFormat="1" ht="15.75" customHeight="1" x14ac:dyDescent="0.15"/>
    <row r="1211" s="56" customFormat="1" ht="15.75" customHeight="1" x14ac:dyDescent="0.15"/>
    <row r="1212" s="56" customFormat="1" ht="15.75" customHeight="1" x14ac:dyDescent="0.15"/>
    <row r="1213" s="56" customFormat="1" ht="15.75" customHeight="1" x14ac:dyDescent="0.15"/>
    <row r="1214" s="56" customFormat="1" ht="15.75" customHeight="1" x14ac:dyDescent="0.15"/>
    <row r="1215" s="56" customFormat="1" ht="15.75" customHeight="1" x14ac:dyDescent="0.15"/>
    <row r="1216" s="56" customFormat="1" ht="15.75" customHeight="1" x14ac:dyDescent="0.15"/>
    <row r="1217" s="56" customFormat="1" ht="15.75" customHeight="1" x14ac:dyDescent="0.15"/>
    <row r="1218" s="56" customFormat="1" ht="15.75" customHeight="1" x14ac:dyDescent="0.15"/>
    <row r="1219" s="56" customFormat="1" ht="15.75" customHeight="1" x14ac:dyDescent="0.15"/>
    <row r="1220" s="56" customFormat="1" ht="15.75" customHeight="1" x14ac:dyDescent="0.15"/>
    <row r="1221" s="56" customFormat="1" ht="15.75" customHeight="1" x14ac:dyDescent="0.15"/>
    <row r="1222" s="56" customFormat="1" ht="15.75" customHeight="1" x14ac:dyDescent="0.15"/>
    <row r="1223" s="56" customFormat="1" ht="15.75" customHeight="1" x14ac:dyDescent="0.15"/>
    <row r="1224" s="56" customFormat="1" ht="15.75" customHeight="1" x14ac:dyDescent="0.15"/>
    <row r="1225" s="56" customFormat="1" ht="15.75" customHeight="1" x14ac:dyDescent="0.15"/>
    <row r="1226" s="56" customFormat="1" ht="15.75" customHeight="1" x14ac:dyDescent="0.15"/>
    <row r="1227" s="56" customFormat="1" ht="15.75" customHeight="1" x14ac:dyDescent="0.15"/>
    <row r="1228" s="56" customFormat="1" ht="15.75" customHeight="1" x14ac:dyDescent="0.15"/>
    <row r="1229" s="56" customFormat="1" ht="15.75" customHeight="1" x14ac:dyDescent="0.15"/>
    <row r="1230" s="56" customFormat="1" ht="15.75" customHeight="1" x14ac:dyDescent="0.15"/>
    <row r="1231" s="56" customFormat="1" ht="15.75" customHeight="1" x14ac:dyDescent="0.15"/>
    <row r="1232" s="56" customFormat="1" ht="15.75" customHeight="1" x14ac:dyDescent="0.15"/>
    <row r="1233" s="56" customFormat="1" ht="15.75" customHeight="1" x14ac:dyDescent="0.15"/>
    <row r="1234" s="56" customFormat="1" ht="15.75" customHeight="1" x14ac:dyDescent="0.15"/>
    <row r="1235" s="56" customFormat="1" ht="15.75" customHeight="1" x14ac:dyDescent="0.15"/>
    <row r="1236" s="56" customFormat="1" ht="15.75" customHeight="1" x14ac:dyDescent="0.15"/>
    <row r="1237" s="56" customFormat="1" ht="15.75" customHeight="1" x14ac:dyDescent="0.15"/>
    <row r="1238" s="56" customFormat="1" ht="15.75" customHeight="1" x14ac:dyDescent="0.15"/>
    <row r="1239" s="56" customFormat="1" ht="15.75" customHeight="1" x14ac:dyDescent="0.15"/>
    <row r="1240" s="56" customFormat="1" ht="15.75" customHeight="1" x14ac:dyDescent="0.15"/>
    <row r="1241" s="56" customFormat="1" ht="15.75" customHeight="1" x14ac:dyDescent="0.15"/>
    <row r="1242" s="56" customFormat="1" ht="15.75" customHeight="1" x14ac:dyDescent="0.15"/>
    <row r="1243" s="56" customFormat="1" ht="15.75" customHeight="1" x14ac:dyDescent="0.15"/>
    <row r="1244" s="56" customFormat="1" ht="15.75" customHeight="1" x14ac:dyDescent="0.15"/>
    <row r="1245" s="56" customFormat="1" ht="15.75" customHeight="1" x14ac:dyDescent="0.15"/>
    <row r="1246" s="56" customFormat="1" ht="15.75" customHeight="1" x14ac:dyDescent="0.15"/>
    <row r="1247" s="56" customFormat="1" ht="15.75" customHeight="1" x14ac:dyDescent="0.15"/>
    <row r="1248" s="56" customFormat="1" ht="15.75" customHeight="1" x14ac:dyDescent="0.15"/>
    <row r="1249" s="56" customFormat="1" ht="15.75" customHeight="1" x14ac:dyDescent="0.15"/>
    <row r="1250" s="56" customFormat="1" ht="15.75" customHeight="1" x14ac:dyDescent="0.15"/>
    <row r="1251" s="56" customFormat="1" ht="15.75" customHeight="1" x14ac:dyDescent="0.15"/>
    <row r="1252" s="56" customFormat="1" ht="15.75" customHeight="1" x14ac:dyDescent="0.15"/>
    <row r="1253" s="56" customFormat="1" ht="15.75" customHeight="1" x14ac:dyDescent="0.15"/>
    <row r="1254" s="56" customFormat="1" ht="15.75" customHeight="1" x14ac:dyDescent="0.15"/>
    <row r="1255" s="56" customFormat="1" ht="15.75" customHeight="1" x14ac:dyDescent="0.15"/>
    <row r="1256" s="56" customFormat="1" ht="15.75" customHeight="1" x14ac:dyDescent="0.15"/>
    <row r="1257" s="56" customFormat="1" ht="15.75" customHeight="1" x14ac:dyDescent="0.15"/>
    <row r="1258" s="56" customFormat="1" ht="15.75" customHeight="1" x14ac:dyDescent="0.15"/>
    <row r="1259" s="56" customFormat="1" ht="15.75" customHeight="1" x14ac:dyDescent="0.15"/>
    <row r="1260" s="56" customFormat="1" ht="15.75" customHeight="1" x14ac:dyDescent="0.15"/>
    <row r="1261" s="56" customFormat="1" ht="15.75" customHeight="1" x14ac:dyDescent="0.15"/>
    <row r="1262" s="56" customFormat="1" ht="15.75" customHeight="1" x14ac:dyDescent="0.15"/>
    <row r="1263" s="56" customFormat="1" ht="15.75" customHeight="1" x14ac:dyDescent="0.15"/>
    <row r="1264" s="56" customFormat="1" ht="15.75" customHeight="1" x14ac:dyDescent="0.15"/>
    <row r="1265" s="56" customFormat="1" ht="15.75" customHeight="1" x14ac:dyDescent="0.15"/>
    <row r="1266" s="56" customFormat="1" ht="15.75" customHeight="1" x14ac:dyDescent="0.15"/>
    <row r="1267" s="56" customFormat="1" ht="15.75" customHeight="1" x14ac:dyDescent="0.15"/>
    <row r="1268" s="56" customFormat="1" ht="15.75" customHeight="1" x14ac:dyDescent="0.15"/>
    <row r="1269" s="56" customFormat="1" ht="15.75" customHeight="1" x14ac:dyDescent="0.15"/>
    <row r="1270" s="56" customFormat="1" ht="15.75" customHeight="1" x14ac:dyDescent="0.15"/>
    <row r="1271" s="56" customFormat="1" ht="15.75" customHeight="1" x14ac:dyDescent="0.15"/>
    <row r="1272" s="56" customFormat="1" ht="15.75" customHeight="1" x14ac:dyDescent="0.15"/>
    <row r="1273" s="56" customFormat="1" ht="15.75" customHeight="1" x14ac:dyDescent="0.15"/>
    <row r="1274" s="56" customFormat="1" ht="15.75" customHeight="1" x14ac:dyDescent="0.15"/>
    <row r="1275" s="56" customFormat="1" ht="15.75" customHeight="1" x14ac:dyDescent="0.15"/>
    <row r="1276" s="56" customFormat="1" ht="15.75" customHeight="1" x14ac:dyDescent="0.15"/>
    <row r="1277" s="56" customFormat="1" ht="15.75" customHeight="1" x14ac:dyDescent="0.15"/>
    <row r="1278" s="56" customFormat="1" ht="15.75" customHeight="1" x14ac:dyDescent="0.15"/>
    <row r="1279" s="56" customFormat="1" ht="15.75" customHeight="1" x14ac:dyDescent="0.15"/>
    <row r="1280" s="56" customFormat="1" ht="15.75" customHeight="1" x14ac:dyDescent="0.15"/>
    <row r="1281" s="56" customFormat="1" ht="15.75" customHeight="1" x14ac:dyDescent="0.15"/>
    <row r="1282" s="56" customFormat="1" ht="15.75" customHeight="1" x14ac:dyDescent="0.15"/>
    <row r="1283" s="56" customFormat="1" ht="15.75" customHeight="1" x14ac:dyDescent="0.15"/>
    <row r="1284" s="56" customFormat="1" ht="15.75" customHeight="1" x14ac:dyDescent="0.15"/>
    <row r="1285" s="56" customFormat="1" ht="15.75" customHeight="1" x14ac:dyDescent="0.15"/>
    <row r="1286" s="56" customFormat="1" ht="15.75" customHeight="1" x14ac:dyDescent="0.15"/>
    <row r="1287" s="56" customFormat="1" ht="15.75" customHeight="1" x14ac:dyDescent="0.15"/>
    <row r="1288" s="56" customFormat="1" ht="15.75" customHeight="1" x14ac:dyDescent="0.15"/>
    <row r="1289" s="56" customFormat="1" ht="15.75" customHeight="1" x14ac:dyDescent="0.15"/>
    <row r="1290" s="56" customFormat="1" ht="15.75" customHeight="1" x14ac:dyDescent="0.15"/>
    <row r="1291" s="56" customFormat="1" ht="15.75" customHeight="1" x14ac:dyDescent="0.15"/>
    <row r="1292" s="56" customFormat="1" ht="15.75" customHeight="1" x14ac:dyDescent="0.15"/>
    <row r="1293" s="56" customFormat="1" ht="15.75" customHeight="1" x14ac:dyDescent="0.15"/>
    <row r="1294" s="56" customFormat="1" ht="15.75" customHeight="1" x14ac:dyDescent="0.15"/>
    <row r="1295" s="56" customFormat="1" ht="15.75" customHeight="1" x14ac:dyDescent="0.15"/>
    <row r="1296" s="56" customFormat="1" ht="15.75" customHeight="1" x14ac:dyDescent="0.15"/>
    <row r="1297" s="56" customFormat="1" ht="15.75" customHeight="1" x14ac:dyDescent="0.15"/>
    <row r="1298" s="56" customFormat="1" ht="15.75" customHeight="1" x14ac:dyDescent="0.15"/>
    <row r="1299" s="56" customFormat="1" ht="15.75" customHeight="1" x14ac:dyDescent="0.15"/>
    <row r="1300" s="56" customFormat="1" ht="15.75" customHeight="1" x14ac:dyDescent="0.15"/>
    <row r="1301" s="56" customFormat="1" ht="15.75" customHeight="1" x14ac:dyDescent="0.15"/>
    <row r="1302" s="56" customFormat="1" ht="15.75" customHeight="1" x14ac:dyDescent="0.15"/>
    <row r="1303" s="56" customFormat="1" ht="15.75" customHeight="1" x14ac:dyDescent="0.15"/>
    <row r="1304" s="56" customFormat="1" ht="15.75" customHeight="1" x14ac:dyDescent="0.15"/>
    <row r="1305" s="56" customFormat="1" ht="15.75" customHeight="1" x14ac:dyDescent="0.15"/>
    <row r="1306" s="56" customFormat="1" ht="15.75" customHeight="1" x14ac:dyDescent="0.15"/>
    <row r="1307" s="56" customFormat="1" ht="15.75" customHeight="1" x14ac:dyDescent="0.15"/>
    <row r="1308" s="56" customFormat="1" ht="15.75" customHeight="1" x14ac:dyDescent="0.15"/>
    <row r="1309" s="56" customFormat="1" ht="15.75" customHeight="1" x14ac:dyDescent="0.15"/>
    <row r="1310" s="56" customFormat="1" ht="15.75" customHeight="1" x14ac:dyDescent="0.15"/>
    <row r="1311" s="56" customFormat="1" ht="15.75" customHeight="1" x14ac:dyDescent="0.15"/>
    <row r="1312" s="56" customFormat="1" ht="15.75" customHeight="1" x14ac:dyDescent="0.15"/>
    <row r="1313" s="56" customFormat="1" ht="15.75" customHeight="1" x14ac:dyDescent="0.15"/>
    <row r="1314" s="56" customFormat="1" ht="15.75" customHeight="1" x14ac:dyDescent="0.15"/>
    <row r="1315" s="56" customFormat="1" ht="15.75" customHeight="1" x14ac:dyDescent="0.15"/>
    <row r="1316" s="56" customFormat="1" ht="15.75" customHeight="1" x14ac:dyDescent="0.15"/>
    <row r="1317" s="56" customFormat="1" ht="15.75" customHeight="1" x14ac:dyDescent="0.15"/>
    <row r="1318" s="56" customFormat="1" ht="15.75" customHeight="1" x14ac:dyDescent="0.15"/>
    <row r="1319" s="56" customFormat="1" ht="15.75" customHeight="1" x14ac:dyDescent="0.15"/>
    <row r="1320" s="56" customFormat="1" ht="15.75" customHeight="1" x14ac:dyDescent="0.15"/>
    <row r="1321" s="56" customFormat="1" ht="15.75" customHeight="1" x14ac:dyDescent="0.15"/>
    <row r="1322" s="56" customFormat="1" ht="15.75" customHeight="1" x14ac:dyDescent="0.15"/>
    <row r="1323" s="56" customFormat="1" ht="15.75" customHeight="1" x14ac:dyDescent="0.15"/>
    <row r="1324" s="56" customFormat="1" ht="15.75" customHeight="1" x14ac:dyDescent="0.15"/>
    <row r="1325" s="56" customFormat="1" ht="15.75" customHeight="1" x14ac:dyDescent="0.15"/>
    <row r="1326" s="56" customFormat="1" ht="15.75" customHeight="1" x14ac:dyDescent="0.15"/>
    <row r="1327" s="56" customFormat="1" ht="15.75" customHeight="1" x14ac:dyDescent="0.15"/>
    <row r="1328" s="56" customFormat="1" ht="15.75" customHeight="1" x14ac:dyDescent="0.15"/>
    <row r="1329" s="56" customFormat="1" ht="15.75" customHeight="1" x14ac:dyDescent="0.15"/>
    <row r="1330" s="56" customFormat="1" ht="15.75" customHeight="1" x14ac:dyDescent="0.15"/>
    <row r="1331" s="56" customFormat="1" ht="15.75" customHeight="1" x14ac:dyDescent="0.15"/>
    <row r="1332" s="56" customFormat="1" ht="15.75" customHeight="1" x14ac:dyDescent="0.15"/>
    <row r="1333" s="56" customFormat="1" ht="15.75" customHeight="1" x14ac:dyDescent="0.15"/>
    <row r="1334" s="56" customFormat="1" ht="15.75" customHeight="1" x14ac:dyDescent="0.15"/>
    <row r="1335" s="56" customFormat="1" ht="15.75" customHeight="1" x14ac:dyDescent="0.15"/>
    <row r="1336" s="56" customFormat="1" ht="15.75" customHeight="1" x14ac:dyDescent="0.15"/>
    <row r="1337" s="56" customFormat="1" ht="15.75" customHeight="1" x14ac:dyDescent="0.15"/>
    <row r="1338" s="56" customFormat="1" ht="15.75" customHeight="1" x14ac:dyDescent="0.15"/>
    <row r="1339" s="56" customFormat="1" ht="15.75" customHeight="1" x14ac:dyDescent="0.15"/>
    <row r="1340" s="56" customFormat="1" ht="15.75" customHeight="1" x14ac:dyDescent="0.15"/>
    <row r="1341" s="56" customFormat="1" ht="15.75" customHeight="1" x14ac:dyDescent="0.15"/>
    <row r="1342" s="56" customFormat="1" ht="15.75" customHeight="1" x14ac:dyDescent="0.15"/>
    <row r="1343" s="56" customFormat="1" ht="15.75" customHeight="1" x14ac:dyDescent="0.15"/>
    <row r="1344" s="56" customFormat="1" ht="15.75" customHeight="1" x14ac:dyDescent="0.15"/>
    <row r="1345" s="56" customFormat="1" ht="15.75" customHeight="1" x14ac:dyDescent="0.15"/>
    <row r="1346" s="56" customFormat="1" ht="15.75" customHeight="1" x14ac:dyDescent="0.15"/>
    <row r="1347" s="56" customFormat="1" ht="15.75" customHeight="1" x14ac:dyDescent="0.15"/>
    <row r="1348" s="56" customFormat="1" ht="15.75" customHeight="1" x14ac:dyDescent="0.15"/>
    <row r="1349" s="56" customFormat="1" ht="15.75" customHeight="1" x14ac:dyDescent="0.15"/>
    <row r="1350" s="56" customFormat="1" ht="15.75" customHeight="1" x14ac:dyDescent="0.15"/>
    <row r="1351" s="56" customFormat="1" ht="15.75" customHeight="1" x14ac:dyDescent="0.15"/>
    <row r="1352" s="56" customFormat="1" ht="15.75" customHeight="1" x14ac:dyDescent="0.15"/>
    <row r="1353" s="56" customFormat="1" ht="15.75" customHeight="1" x14ac:dyDescent="0.15"/>
    <row r="1354" s="56" customFormat="1" ht="15.75" customHeight="1" x14ac:dyDescent="0.15"/>
    <row r="1355" s="56" customFormat="1" ht="15.75" customHeight="1" x14ac:dyDescent="0.15"/>
    <row r="1356" s="56" customFormat="1" ht="15.75" customHeight="1" x14ac:dyDescent="0.15"/>
    <row r="1357" s="56" customFormat="1" ht="15.75" customHeight="1" x14ac:dyDescent="0.15"/>
    <row r="1358" s="56" customFormat="1" ht="15.75" customHeight="1" x14ac:dyDescent="0.15"/>
    <row r="1359" s="56" customFormat="1" ht="15.75" customHeight="1" x14ac:dyDescent="0.15"/>
    <row r="1360" s="56" customFormat="1" ht="15.75" customHeight="1" x14ac:dyDescent="0.15"/>
    <row r="1361" s="56" customFormat="1" ht="15.75" customHeight="1" x14ac:dyDescent="0.15"/>
    <row r="1362" s="56" customFormat="1" ht="15.75" customHeight="1" x14ac:dyDescent="0.15"/>
    <row r="1363" s="56" customFormat="1" ht="15.75" customHeight="1" x14ac:dyDescent="0.15"/>
    <row r="1364" s="56" customFormat="1" ht="15.75" customHeight="1" x14ac:dyDescent="0.15"/>
    <row r="1365" s="56" customFormat="1" ht="15.75" customHeight="1" x14ac:dyDescent="0.15"/>
    <row r="1366" s="56" customFormat="1" ht="15.75" customHeight="1" x14ac:dyDescent="0.15"/>
    <row r="1367" s="56" customFormat="1" ht="15.75" customHeight="1" x14ac:dyDescent="0.15"/>
    <row r="1368" s="56" customFormat="1" ht="15.75" customHeight="1" x14ac:dyDescent="0.15"/>
    <row r="1369" s="56" customFormat="1" ht="15.75" customHeight="1" x14ac:dyDescent="0.15"/>
    <row r="1370" s="56" customFormat="1" ht="15.75" customHeight="1" x14ac:dyDescent="0.15"/>
    <row r="1371" s="56" customFormat="1" ht="15.75" customHeight="1" x14ac:dyDescent="0.15"/>
    <row r="1372" s="56" customFormat="1" ht="15.75" customHeight="1" x14ac:dyDescent="0.15"/>
    <row r="1373" s="56" customFormat="1" ht="15.75" customHeight="1" x14ac:dyDescent="0.15"/>
    <row r="1374" s="56" customFormat="1" ht="15.75" customHeight="1" x14ac:dyDescent="0.15"/>
    <row r="1375" s="56" customFormat="1" ht="15.75" customHeight="1" x14ac:dyDescent="0.15"/>
    <row r="1376" s="56" customFormat="1" ht="15.75" customHeight="1" x14ac:dyDescent="0.15"/>
    <row r="1377" s="56" customFormat="1" ht="15.75" customHeight="1" x14ac:dyDescent="0.15"/>
    <row r="1378" s="56" customFormat="1" ht="15.75" customHeight="1" x14ac:dyDescent="0.15"/>
    <row r="1379" s="56" customFormat="1" ht="15.75" customHeight="1" x14ac:dyDescent="0.15"/>
    <row r="1380" s="56" customFormat="1" ht="15.75" customHeight="1" x14ac:dyDescent="0.15"/>
    <row r="1381" s="56" customFormat="1" ht="15.75" customHeight="1" x14ac:dyDescent="0.15"/>
    <row r="1382" s="56" customFormat="1" ht="15.75" customHeight="1" x14ac:dyDescent="0.15"/>
    <row r="1383" s="56" customFormat="1" ht="15.75" customHeight="1" x14ac:dyDescent="0.15"/>
    <row r="1384" s="56" customFormat="1" ht="15.75" customHeight="1" x14ac:dyDescent="0.15"/>
    <row r="1385" s="56" customFormat="1" ht="15.75" customHeight="1" x14ac:dyDescent="0.15"/>
    <row r="1386" s="56" customFormat="1" ht="15.75" customHeight="1" x14ac:dyDescent="0.15"/>
    <row r="1387" s="56" customFormat="1" ht="15.75" customHeight="1" x14ac:dyDescent="0.15"/>
    <row r="1388" s="56" customFormat="1" ht="15.75" customHeight="1" x14ac:dyDescent="0.15"/>
    <row r="1389" s="56" customFormat="1" ht="15.75" customHeight="1" x14ac:dyDescent="0.15"/>
    <row r="1390" s="56" customFormat="1" ht="15.75" customHeight="1" x14ac:dyDescent="0.15"/>
    <row r="1391" s="56" customFormat="1" ht="15.75" customHeight="1" x14ac:dyDescent="0.15"/>
    <row r="1392" s="56" customFormat="1" ht="15.75" customHeight="1" x14ac:dyDescent="0.15"/>
    <row r="1393" s="56" customFormat="1" ht="15.75" customHeight="1" x14ac:dyDescent="0.15"/>
    <row r="1394" s="56" customFormat="1" ht="15.75" customHeight="1" x14ac:dyDescent="0.15"/>
    <row r="1395" s="56" customFormat="1" ht="15.75" customHeight="1" x14ac:dyDescent="0.15"/>
    <row r="1396" s="56" customFormat="1" ht="15.75" customHeight="1" x14ac:dyDescent="0.15"/>
    <row r="1397" s="56" customFormat="1" ht="15.75" customHeight="1" x14ac:dyDescent="0.15"/>
    <row r="1398" s="56" customFormat="1" ht="15.75" customHeight="1" x14ac:dyDescent="0.15"/>
    <row r="1399" s="56" customFormat="1" ht="15.75" customHeight="1" x14ac:dyDescent="0.15"/>
    <row r="1400" s="56" customFormat="1" ht="15.75" customHeight="1" x14ac:dyDescent="0.15"/>
    <row r="1401" s="56" customFormat="1" ht="15.75" customHeight="1" x14ac:dyDescent="0.15"/>
    <row r="1402" s="56" customFormat="1" ht="15.75" customHeight="1" x14ac:dyDescent="0.15"/>
    <row r="1403" s="56" customFormat="1" ht="15.75" customHeight="1" x14ac:dyDescent="0.15"/>
    <row r="1404" s="56" customFormat="1" ht="15.75" customHeight="1" x14ac:dyDescent="0.15"/>
    <row r="1405" s="56" customFormat="1" ht="15.75" customHeight="1" x14ac:dyDescent="0.15"/>
    <row r="1406" s="56" customFormat="1" ht="15.75" customHeight="1" x14ac:dyDescent="0.15"/>
    <row r="1407" s="56" customFormat="1" ht="15.75" customHeight="1" x14ac:dyDescent="0.15"/>
    <row r="1408" s="56" customFormat="1" ht="15.75" customHeight="1" x14ac:dyDescent="0.15"/>
    <row r="1409" s="56" customFormat="1" ht="15.75" customHeight="1" x14ac:dyDescent="0.15"/>
    <row r="1410" s="56" customFormat="1" ht="15.75" customHeight="1" x14ac:dyDescent="0.15"/>
    <row r="1411" s="56" customFormat="1" ht="15.75" customHeight="1" x14ac:dyDescent="0.15"/>
    <row r="1412" s="56" customFormat="1" ht="15.75" customHeight="1" x14ac:dyDescent="0.15"/>
    <row r="1413" s="56" customFormat="1" ht="15.75" customHeight="1" x14ac:dyDescent="0.15"/>
    <row r="1414" s="56" customFormat="1" ht="15.75" customHeight="1" x14ac:dyDescent="0.15"/>
    <row r="1415" s="56" customFormat="1" ht="15.75" customHeight="1" x14ac:dyDescent="0.15"/>
    <row r="1416" s="56" customFormat="1" ht="15.75" customHeight="1" x14ac:dyDescent="0.15"/>
    <row r="1417" s="56" customFormat="1" ht="15.75" customHeight="1" x14ac:dyDescent="0.15"/>
    <row r="1418" s="56" customFormat="1" ht="15.75" customHeight="1" x14ac:dyDescent="0.15"/>
    <row r="1419" s="56" customFormat="1" ht="15.75" customHeight="1" x14ac:dyDescent="0.15"/>
    <row r="1420" s="56" customFormat="1" ht="15.75" customHeight="1" x14ac:dyDescent="0.15"/>
    <row r="1421" s="56" customFormat="1" ht="15.75" customHeight="1" x14ac:dyDescent="0.15"/>
    <row r="1422" s="56" customFormat="1" ht="15.75" customHeight="1" x14ac:dyDescent="0.15"/>
    <row r="1423" s="56" customFormat="1" ht="15.75" customHeight="1" x14ac:dyDescent="0.15"/>
    <row r="1424" s="56" customFormat="1" ht="15.75" customHeight="1" x14ac:dyDescent="0.15"/>
    <row r="1425" s="56" customFormat="1" ht="15.75" customHeight="1" x14ac:dyDescent="0.15"/>
    <row r="1426" s="56" customFormat="1" ht="15.75" customHeight="1" x14ac:dyDescent="0.15"/>
    <row r="1427" s="56" customFormat="1" ht="15.75" customHeight="1" x14ac:dyDescent="0.15"/>
    <row r="1428" s="56" customFormat="1" ht="15.75" customHeight="1" x14ac:dyDescent="0.15"/>
    <row r="1429" s="56" customFormat="1" ht="15.75" customHeight="1" x14ac:dyDescent="0.15"/>
    <row r="1430" s="56" customFormat="1" ht="15.75" customHeight="1" x14ac:dyDescent="0.15"/>
    <row r="1431" s="56" customFormat="1" ht="15.75" customHeight="1" x14ac:dyDescent="0.15"/>
    <row r="1432" s="56" customFormat="1" ht="15.75" customHeight="1" x14ac:dyDescent="0.15"/>
    <row r="1433" s="56" customFormat="1" ht="15.75" customHeight="1" x14ac:dyDescent="0.15"/>
    <row r="1434" s="56" customFormat="1" ht="15.75" customHeight="1" x14ac:dyDescent="0.15"/>
    <row r="1435" s="56" customFormat="1" ht="15.75" customHeight="1" x14ac:dyDescent="0.15"/>
    <row r="1436" s="56" customFormat="1" ht="15.75" customHeight="1" x14ac:dyDescent="0.15"/>
    <row r="1437" s="56" customFormat="1" ht="15.75" customHeight="1" x14ac:dyDescent="0.15"/>
    <row r="1438" s="56" customFormat="1" ht="15.75" customHeight="1" x14ac:dyDescent="0.15"/>
    <row r="1439" s="56" customFormat="1" ht="15.75" customHeight="1" x14ac:dyDescent="0.15"/>
    <row r="1440" s="56" customFormat="1" ht="15.75" customHeight="1" x14ac:dyDescent="0.15"/>
    <row r="1441" s="56" customFormat="1" ht="15.75" customHeight="1" x14ac:dyDescent="0.15"/>
    <row r="1442" s="56" customFormat="1" ht="15.75" customHeight="1" x14ac:dyDescent="0.15"/>
    <row r="1443" s="56" customFormat="1" ht="15.75" customHeight="1" x14ac:dyDescent="0.15"/>
    <row r="1444" s="56" customFormat="1" ht="15.75" customHeight="1" x14ac:dyDescent="0.15"/>
    <row r="1445" s="56" customFormat="1" ht="15.75" customHeight="1" x14ac:dyDescent="0.15"/>
    <row r="1446" s="56" customFormat="1" ht="15.75" customHeight="1" x14ac:dyDescent="0.15"/>
    <row r="1447" s="56" customFormat="1" ht="15.75" customHeight="1" x14ac:dyDescent="0.15"/>
    <row r="1448" s="56" customFormat="1" ht="15.75" customHeight="1" x14ac:dyDescent="0.15"/>
    <row r="1449" s="56" customFormat="1" ht="15.75" customHeight="1" x14ac:dyDescent="0.15"/>
    <row r="1450" s="56" customFormat="1" ht="15.75" customHeight="1" x14ac:dyDescent="0.15"/>
    <row r="1451" s="56" customFormat="1" ht="15.75" customHeight="1" x14ac:dyDescent="0.15"/>
    <row r="1452" s="56" customFormat="1" ht="15.75" customHeight="1" x14ac:dyDescent="0.15"/>
    <row r="1453" s="56" customFormat="1" ht="15.75" customHeight="1" x14ac:dyDescent="0.15"/>
    <row r="1454" s="56" customFormat="1" ht="15.75" customHeight="1" x14ac:dyDescent="0.15"/>
    <row r="1455" s="56" customFormat="1" ht="15.75" customHeight="1" x14ac:dyDescent="0.15"/>
    <row r="1456" s="56" customFormat="1" ht="15.75" customHeight="1" x14ac:dyDescent="0.15"/>
    <row r="1457" s="56" customFormat="1" ht="15.75" customHeight="1" x14ac:dyDescent="0.15"/>
    <row r="1458" s="56" customFormat="1" ht="15.75" customHeight="1" x14ac:dyDescent="0.15"/>
    <row r="1459" s="56" customFormat="1" ht="15.75" customHeight="1" x14ac:dyDescent="0.15"/>
    <row r="1460" s="56" customFormat="1" ht="15.75" customHeight="1" x14ac:dyDescent="0.15"/>
    <row r="1461" s="56" customFormat="1" ht="15.75" customHeight="1" x14ac:dyDescent="0.15"/>
    <row r="1462" s="56" customFormat="1" ht="15.75" customHeight="1" x14ac:dyDescent="0.15"/>
    <row r="1463" s="56" customFormat="1" ht="15.75" customHeight="1" x14ac:dyDescent="0.15"/>
    <row r="1464" s="56" customFormat="1" ht="15.75" customHeight="1" x14ac:dyDescent="0.15"/>
    <row r="1465" s="56" customFormat="1" ht="15.75" customHeight="1" x14ac:dyDescent="0.15"/>
    <row r="1466" s="56" customFormat="1" ht="15.75" customHeight="1" x14ac:dyDescent="0.15"/>
    <row r="1467" s="56" customFormat="1" ht="15.75" customHeight="1" x14ac:dyDescent="0.15"/>
    <row r="1468" s="56" customFormat="1" ht="15.75" customHeight="1" x14ac:dyDescent="0.15"/>
    <row r="1469" s="56" customFormat="1" ht="15.75" customHeight="1" x14ac:dyDescent="0.15"/>
    <row r="1470" s="56" customFormat="1" ht="15.75" customHeight="1" x14ac:dyDescent="0.15"/>
    <row r="1471" s="56" customFormat="1" ht="15.75" customHeight="1" x14ac:dyDescent="0.15"/>
    <row r="1472" s="56" customFormat="1" ht="15.75" customHeight="1" x14ac:dyDescent="0.15"/>
    <row r="1473" s="56" customFormat="1" ht="15.75" customHeight="1" x14ac:dyDescent="0.15"/>
    <row r="1474" s="56" customFormat="1" ht="15.75" customHeight="1" x14ac:dyDescent="0.15"/>
    <row r="1475" s="56" customFormat="1" ht="15.75" customHeight="1" x14ac:dyDescent="0.15"/>
    <row r="1476" s="56" customFormat="1" ht="15.75" customHeight="1" x14ac:dyDescent="0.15"/>
    <row r="1477" s="56" customFormat="1" ht="15.75" customHeight="1" x14ac:dyDescent="0.15"/>
    <row r="1478" s="56" customFormat="1" ht="15.75" customHeight="1" x14ac:dyDescent="0.15"/>
    <row r="1479" s="56" customFormat="1" ht="15.75" customHeight="1" x14ac:dyDescent="0.15"/>
    <row r="1480" s="56" customFormat="1" ht="15.75" customHeight="1" x14ac:dyDescent="0.15"/>
    <row r="1481" s="56" customFormat="1" ht="15.75" customHeight="1" x14ac:dyDescent="0.15"/>
    <row r="1482" s="56" customFormat="1" ht="15.75" customHeight="1" x14ac:dyDescent="0.15"/>
    <row r="1483" s="56" customFormat="1" ht="15.75" customHeight="1" x14ac:dyDescent="0.15"/>
    <row r="1484" s="56" customFormat="1" ht="15.75" customHeight="1" x14ac:dyDescent="0.15"/>
    <row r="1485" s="56" customFormat="1" ht="15.75" customHeight="1" x14ac:dyDescent="0.15"/>
    <row r="1486" s="56" customFormat="1" ht="15.75" customHeight="1" x14ac:dyDescent="0.15"/>
    <row r="1487" s="56" customFormat="1" ht="15.75" customHeight="1" x14ac:dyDescent="0.15"/>
    <row r="1488" s="56" customFormat="1" ht="15.75" customHeight="1" x14ac:dyDescent="0.15"/>
    <row r="1489" s="56" customFormat="1" ht="15.75" customHeight="1" x14ac:dyDescent="0.15"/>
    <row r="1490" s="56" customFormat="1" ht="15.75" customHeight="1" x14ac:dyDescent="0.15"/>
    <row r="1491" s="56" customFormat="1" ht="15.75" customHeight="1" x14ac:dyDescent="0.15"/>
    <row r="1492" s="56" customFormat="1" ht="15.75" customHeight="1" x14ac:dyDescent="0.15"/>
    <row r="1493" s="56" customFormat="1" ht="15.75" customHeight="1" x14ac:dyDescent="0.15"/>
    <row r="1494" s="56" customFormat="1" ht="15.75" customHeight="1" x14ac:dyDescent="0.15"/>
    <row r="1495" s="56" customFormat="1" ht="15.75" customHeight="1" x14ac:dyDescent="0.15"/>
    <row r="1496" s="56" customFormat="1" ht="15.75" customHeight="1" x14ac:dyDescent="0.15"/>
    <row r="1497" s="56" customFormat="1" ht="15.75" customHeight="1" x14ac:dyDescent="0.15"/>
    <row r="1498" s="56" customFormat="1" ht="15.75" customHeight="1" x14ac:dyDescent="0.15"/>
    <row r="1499" s="56" customFormat="1" ht="15.75" customHeight="1" x14ac:dyDescent="0.15"/>
    <row r="1500" s="56" customFormat="1" ht="15.75" customHeight="1" x14ac:dyDescent="0.15"/>
    <row r="1501" s="56" customFormat="1" ht="15.75" customHeight="1" x14ac:dyDescent="0.15"/>
    <row r="1502" s="56" customFormat="1" ht="15.75" customHeight="1" x14ac:dyDescent="0.15"/>
    <row r="1503" s="56" customFormat="1" ht="15.75" customHeight="1" x14ac:dyDescent="0.15"/>
    <row r="1504" s="56" customFormat="1" ht="15.75" customHeight="1" x14ac:dyDescent="0.15"/>
    <row r="1505" s="56" customFormat="1" ht="15.75" customHeight="1" x14ac:dyDescent="0.15"/>
    <row r="1506" s="56" customFormat="1" ht="15.75" customHeight="1" x14ac:dyDescent="0.15"/>
    <row r="1507" s="56" customFormat="1" ht="15.75" customHeight="1" x14ac:dyDescent="0.15"/>
    <row r="1508" s="56" customFormat="1" ht="15.75" customHeight="1" x14ac:dyDescent="0.15"/>
    <row r="1509" s="56" customFormat="1" ht="15.75" customHeight="1" x14ac:dyDescent="0.15"/>
    <row r="1510" s="56" customFormat="1" ht="15.75" customHeight="1" x14ac:dyDescent="0.15"/>
    <row r="1511" s="56" customFormat="1" ht="15.75" customHeight="1" x14ac:dyDescent="0.15"/>
    <row r="1512" s="56" customFormat="1" ht="15.75" customHeight="1" x14ac:dyDescent="0.15"/>
    <row r="1513" s="56" customFormat="1" ht="15.75" customHeight="1" x14ac:dyDescent="0.15"/>
    <row r="1514" s="56" customFormat="1" ht="15.75" customHeight="1" x14ac:dyDescent="0.15"/>
    <row r="1515" s="56" customFormat="1" ht="15.75" customHeight="1" x14ac:dyDescent="0.15"/>
    <row r="1516" s="56" customFormat="1" ht="15.75" customHeight="1" x14ac:dyDescent="0.15"/>
    <row r="1517" s="56" customFormat="1" ht="15.75" customHeight="1" x14ac:dyDescent="0.15"/>
    <row r="1518" s="56" customFormat="1" ht="15.75" customHeight="1" x14ac:dyDescent="0.15"/>
    <row r="1519" s="56" customFormat="1" ht="15.75" customHeight="1" x14ac:dyDescent="0.15"/>
    <row r="1520" s="56" customFormat="1" ht="15.75" customHeight="1" x14ac:dyDescent="0.15"/>
    <row r="1521" s="56" customFormat="1" ht="15.75" customHeight="1" x14ac:dyDescent="0.15"/>
    <row r="1522" s="56" customFormat="1" ht="15.75" customHeight="1" x14ac:dyDescent="0.15"/>
    <row r="1523" s="56" customFormat="1" ht="15.75" customHeight="1" x14ac:dyDescent="0.15"/>
    <row r="1524" s="56" customFormat="1" ht="15.75" customHeight="1" x14ac:dyDescent="0.15"/>
    <row r="1525" s="56" customFormat="1" ht="15.75" customHeight="1" x14ac:dyDescent="0.15"/>
    <row r="1526" s="56" customFormat="1" ht="15.75" customHeight="1" x14ac:dyDescent="0.15"/>
    <row r="1527" s="56" customFormat="1" ht="15.75" customHeight="1" x14ac:dyDescent="0.15"/>
    <row r="1528" s="56" customFormat="1" ht="15.75" customHeight="1" x14ac:dyDescent="0.15"/>
    <row r="1529" s="56" customFormat="1" ht="15.75" customHeight="1" x14ac:dyDescent="0.15"/>
    <row r="1530" s="56" customFormat="1" ht="15.75" customHeight="1" x14ac:dyDescent="0.15"/>
    <row r="1531" s="56" customFormat="1" ht="15.75" customHeight="1" x14ac:dyDescent="0.15"/>
    <row r="1532" s="56" customFormat="1" ht="15.75" customHeight="1" x14ac:dyDescent="0.15"/>
    <row r="1533" s="56" customFormat="1" ht="15.75" customHeight="1" x14ac:dyDescent="0.15"/>
    <row r="1534" s="56" customFormat="1" ht="15.75" customHeight="1" x14ac:dyDescent="0.15"/>
    <row r="1535" s="56" customFormat="1" ht="15.75" customHeight="1" x14ac:dyDescent="0.15"/>
    <row r="1536" s="56" customFormat="1" ht="15.75" customHeight="1" x14ac:dyDescent="0.15"/>
    <row r="1537" s="56" customFormat="1" ht="15.75" customHeight="1" x14ac:dyDescent="0.15"/>
    <row r="1538" s="56" customFormat="1" ht="15.75" customHeight="1" x14ac:dyDescent="0.15"/>
    <row r="1539" s="56" customFormat="1" ht="15.75" customHeight="1" x14ac:dyDescent="0.15"/>
    <row r="1540" s="56" customFormat="1" ht="15.75" customHeight="1" x14ac:dyDescent="0.15"/>
    <row r="1541" s="56" customFormat="1" ht="15.75" customHeight="1" x14ac:dyDescent="0.15"/>
    <row r="1542" s="56" customFormat="1" ht="15.75" customHeight="1" x14ac:dyDescent="0.15"/>
    <row r="1543" s="56" customFormat="1" ht="15.75" customHeight="1" x14ac:dyDescent="0.15"/>
    <row r="1544" s="56" customFormat="1" ht="15.75" customHeight="1" x14ac:dyDescent="0.15"/>
    <row r="1545" s="56" customFormat="1" ht="15.75" customHeight="1" x14ac:dyDescent="0.15"/>
    <row r="1546" s="56" customFormat="1" ht="15.75" customHeight="1" x14ac:dyDescent="0.15"/>
    <row r="1547" s="56" customFormat="1" ht="15.75" customHeight="1" x14ac:dyDescent="0.15"/>
    <row r="1548" s="56" customFormat="1" ht="15.75" customHeight="1" x14ac:dyDescent="0.15"/>
    <row r="1549" s="56" customFormat="1" ht="15.75" customHeight="1" x14ac:dyDescent="0.15"/>
    <row r="1550" s="56" customFormat="1" ht="15.75" customHeight="1" x14ac:dyDescent="0.15"/>
    <row r="1551" s="56" customFormat="1" ht="15.75" customHeight="1" x14ac:dyDescent="0.15"/>
    <row r="1552" s="56" customFormat="1" ht="15.75" customHeight="1" x14ac:dyDescent="0.15"/>
    <row r="1553" s="56" customFormat="1" ht="15.75" customHeight="1" x14ac:dyDescent="0.15"/>
    <row r="1554" s="56" customFormat="1" ht="15.75" customHeight="1" x14ac:dyDescent="0.15"/>
    <row r="1555" s="56" customFormat="1" ht="15.75" customHeight="1" x14ac:dyDescent="0.15"/>
    <row r="1556" s="56" customFormat="1" ht="15.75" customHeight="1" x14ac:dyDescent="0.15"/>
    <row r="1557" s="56" customFormat="1" ht="15.75" customHeight="1" x14ac:dyDescent="0.15"/>
    <row r="1558" s="56" customFormat="1" ht="15.75" customHeight="1" x14ac:dyDescent="0.15"/>
    <row r="1559" s="56" customFormat="1" ht="15.75" customHeight="1" x14ac:dyDescent="0.15"/>
    <row r="1560" s="56" customFormat="1" ht="15.75" customHeight="1" x14ac:dyDescent="0.15"/>
    <row r="1561" s="56" customFormat="1" ht="15.75" customHeight="1" x14ac:dyDescent="0.15"/>
    <row r="1562" s="56" customFormat="1" ht="15.75" customHeight="1" x14ac:dyDescent="0.15"/>
    <row r="1563" s="56" customFormat="1" ht="15.75" customHeight="1" x14ac:dyDescent="0.15"/>
    <row r="1564" s="56" customFormat="1" ht="15.75" customHeight="1" x14ac:dyDescent="0.15"/>
    <row r="1565" s="56" customFormat="1" ht="15.75" customHeight="1" x14ac:dyDescent="0.15"/>
    <row r="1566" s="56" customFormat="1" ht="15.75" customHeight="1" x14ac:dyDescent="0.15"/>
    <row r="1567" s="56" customFormat="1" ht="15.75" customHeight="1" x14ac:dyDescent="0.15"/>
    <row r="1568" s="56" customFormat="1" ht="15.75" customHeight="1" x14ac:dyDescent="0.15"/>
    <row r="1569" s="56" customFormat="1" ht="15.75" customHeight="1" x14ac:dyDescent="0.15"/>
    <row r="1570" s="56" customFormat="1" ht="15.75" customHeight="1" x14ac:dyDescent="0.15"/>
    <row r="1571" s="56" customFormat="1" ht="15.75" customHeight="1" x14ac:dyDescent="0.15"/>
    <row r="1572" s="56" customFormat="1" ht="15.75" customHeight="1" x14ac:dyDescent="0.15"/>
    <row r="1573" s="56" customFormat="1" ht="15.75" customHeight="1" x14ac:dyDescent="0.15"/>
    <row r="1574" s="56" customFormat="1" ht="15.75" customHeight="1" x14ac:dyDescent="0.15"/>
    <row r="1575" s="56" customFormat="1" ht="15.75" customHeight="1" x14ac:dyDescent="0.15"/>
    <row r="1576" s="56" customFormat="1" ht="15.75" customHeight="1" x14ac:dyDescent="0.15"/>
    <row r="1577" s="56" customFormat="1" ht="15.75" customHeight="1" x14ac:dyDescent="0.15"/>
    <row r="1578" s="56" customFormat="1" ht="15.75" customHeight="1" x14ac:dyDescent="0.15"/>
  </sheetData>
  <mergeCells count="95">
    <mergeCell ref="O31:P31"/>
    <mergeCell ref="N32:P32"/>
    <mergeCell ref="G31:H31"/>
    <mergeCell ref="G32:H32"/>
    <mergeCell ref="E26:F26"/>
    <mergeCell ref="E35:F35"/>
    <mergeCell ref="P35:R35"/>
    <mergeCell ref="H35:I35"/>
    <mergeCell ref="E61:F61"/>
    <mergeCell ref="E63:F63"/>
    <mergeCell ref="H61:J61"/>
    <mergeCell ref="K35:M35"/>
    <mergeCell ref="V17:Y17"/>
    <mergeCell ref="S29:V29"/>
    <mergeCell ref="AA29:AD29"/>
    <mergeCell ref="Y35:AA35"/>
    <mergeCell ref="AD35:AE35"/>
    <mergeCell ref="X29:Y29"/>
    <mergeCell ref="U33:V33"/>
    <mergeCell ref="T35:V35"/>
    <mergeCell ref="K12:N12"/>
    <mergeCell ref="E14:F15"/>
    <mergeCell ref="E17:F17"/>
    <mergeCell ref="J14:M14"/>
    <mergeCell ref="H17:I17"/>
    <mergeCell ref="K17:L17"/>
    <mergeCell ref="G6:G7"/>
    <mergeCell ref="H7:P7"/>
    <mergeCell ref="H6:P6"/>
    <mergeCell ref="E6:F7"/>
    <mergeCell ref="G9:I9"/>
    <mergeCell ref="G10:I10"/>
    <mergeCell ref="G11:I11"/>
    <mergeCell ref="G14:G15"/>
    <mergeCell ref="G12:I12"/>
    <mergeCell ref="H15:J15"/>
    <mergeCell ref="X14:AA15"/>
    <mergeCell ref="AB14:AC15"/>
    <mergeCell ref="W14:W15"/>
    <mergeCell ref="L15:N15"/>
    <mergeCell ref="P15:R15"/>
    <mergeCell ref="T15:V15"/>
    <mergeCell ref="O14:R14"/>
    <mergeCell ref="O17:R17"/>
    <mergeCell ref="G28:H28"/>
    <mergeCell ref="G29:H29"/>
    <mergeCell ref="J30:L30"/>
    <mergeCell ref="G30:H30"/>
    <mergeCell ref="N30:P30"/>
    <mergeCell ref="V63:W64"/>
    <mergeCell ref="U63:U64"/>
    <mergeCell ref="H70:I70"/>
    <mergeCell ref="L70:M70"/>
    <mergeCell ref="J70:K70"/>
    <mergeCell ref="H64:K64"/>
    <mergeCell ref="I63:J63"/>
    <mergeCell ref="P64:Q64"/>
    <mergeCell ref="R63:R64"/>
    <mergeCell ref="N63:P63"/>
    <mergeCell ref="S63:T64"/>
    <mergeCell ref="G33:H33"/>
    <mergeCell ref="J32:L32"/>
    <mergeCell ref="H77:I77"/>
    <mergeCell ref="J77:K77"/>
    <mergeCell ref="L77:M77"/>
    <mergeCell ref="L73:M73"/>
    <mergeCell ref="M64:N64"/>
    <mergeCell ref="L63:L64"/>
    <mergeCell ref="E64:F64"/>
    <mergeCell ref="H72:J72"/>
    <mergeCell ref="E72:F73"/>
    <mergeCell ref="G63:G64"/>
    <mergeCell ref="H73:J73"/>
    <mergeCell ref="G72:G73"/>
    <mergeCell ref="N72:N73"/>
    <mergeCell ref="O72:P73"/>
    <mergeCell ref="R79:T80"/>
    <mergeCell ref="E79:F80"/>
    <mergeCell ref="G79:G80"/>
    <mergeCell ref="H80:J80"/>
    <mergeCell ref="L80:M80"/>
    <mergeCell ref="N79:N80"/>
    <mergeCell ref="O79:P80"/>
    <mergeCell ref="W79:X80"/>
    <mergeCell ref="H79:J79"/>
    <mergeCell ref="V79:V80"/>
    <mergeCell ref="Q79:Q80"/>
    <mergeCell ref="Y72:Y73"/>
    <mergeCell ref="Y79:Y80"/>
    <mergeCell ref="Q72:Q73"/>
    <mergeCell ref="V72:V73"/>
    <mergeCell ref="W72:X73"/>
    <mergeCell ref="R72:T73"/>
    <mergeCell ref="U72:U73"/>
    <mergeCell ref="U79:U80"/>
  </mergeCells>
  <phoneticPr fontId="3"/>
  <printOptions horizontalCentered="1" verticalCentered="1"/>
  <pageMargins left="0.98425196850393704" right="0.59055118110236227" top="0.78740157480314965" bottom="0.59055118110236227" header="0.51181102362204722" footer="0.51181102362204722"/>
  <pageSetup paperSize="9" orientation="portrait" blackAndWhite="1" r:id="rId1"/>
  <headerFooter alignWithMargins="0"/>
  <rowBreaks count="1" manualBreakCount="1">
    <brk id="50" max="34"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0C1ED-0D89-4947-8C1F-5FE4B530D0FE}">
  <sheetPr codeName="Sheet7"/>
  <dimension ref="A3:CB47"/>
  <sheetViews>
    <sheetView tabSelected="1" view="pageBreakPreview" zoomScaleNormal="100" zoomScaleSheetLayoutView="100" workbookViewId="0">
      <selection activeCell="AW10" sqref="AW10"/>
    </sheetView>
  </sheetViews>
  <sheetFormatPr defaultColWidth="2.7109375" defaultRowHeight="15.75" customHeight="1" x14ac:dyDescent="0.15"/>
  <sheetData>
    <row r="3" spans="1:51" s="32" customFormat="1" ht="15.75" customHeight="1" x14ac:dyDescent="0.15">
      <c r="A3" s="70"/>
      <c r="B3" s="70" t="str">
        <f>'躯体（線路）'!AL5&amp;".5 鉄筋の基本定着長の算定【RC標準第Ⅲ編2.3.7.3】"</f>
        <v>2.5 鉄筋の基本定着長の算定【RC標準第Ⅲ編2.3.7.3】</v>
      </c>
      <c r="C3" s="70"/>
      <c r="D3" s="70"/>
      <c r="AY3" s="33"/>
    </row>
    <row r="5" spans="1:51" ht="15.75" customHeight="1" x14ac:dyDescent="0.15">
      <c r="D5" t="s">
        <v>504</v>
      </c>
    </row>
    <row r="7" spans="1:51" ht="15.75" customHeight="1" x14ac:dyDescent="0.15">
      <c r="F7" t="s">
        <v>505</v>
      </c>
    </row>
    <row r="9" spans="1:51" ht="15.75" customHeight="1" x14ac:dyDescent="0.15">
      <c r="A9" s="27"/>
      <c r="B9" s="27"/>
      <c r="C9" s="27"/>
      <c r="D9" s="27"/>
      <c r="E9" s="27"/>
      <c r="F9" s="27"/>
      <c r="G9" s="27"/>
      <c r="H9" s="39" t="s">
        <v>386</v>
      </c>
      <c r="I9" s="124" t="s">
        <v>506</v>
      </c>
      <c r="J9" s="124"/>
      <c r="K9" s="124"/>
      <c r="L9" s="31" t="s">
        <v>406</v>
      </c>
      <c r="M9" s="27" t="s">
        <v>507</v>
      </c>
      <c r="N9" s="27"/>
    </row>
    <row r="10" spans="1:51" ht="15.75" customHeight="1" x14ac:dyDescent="0.15">
      <c r="A10" s="27"/>
      <c r="B10" s="27"/>
      <c r="C10" s="27"/>
      <c r="D10" s="27"/>
      <c r="E10" s="27"/>
      <c r="F10" s="27"/>
      <c r="G10" s="27"/>
      <c r="H10" s="27"/>
      <c r="I10" s="124" t="s">
        <v>392</v>
      </c>
      <c r="J10" s="124"/>
      <c r="K10" s="124"/>
      <c r="L10" s="31" t="s">
        <v>406</v>
      </c>
      <c r="M10" s="34" t="s">
        <v>508</v>
      </c>
      <c r="N10" s="27"/>
    </row>
    <row r="11" spans="1:51" ht="15.75" customHeight="1" x14ac:dyDescent="0.15">
      <c r="I11" s="124" t="s">
        <v>509</v>
      </c>
      <c r="J11" s="124"/>
      <c r="K11" s="124"/>
      <c r="L11" s="31" t="s">
        <v>406</v>
      </c>
      <c r="M11" s="34" t="s">
        <v>510</v>
      </c>
      <c r="N11" s="27"/>
    </row>
    <row r="12" spans="1:51" ht="15.75" customHeight="1" x14ac:dyDescent="0.15">
      <c r="I12" s="124" t="s">
        <v>511</v>
      </c>
      <c r="J12" s="124"/>
      <c r="K12" s="124"/>
      <c r="L12" s="31" t="s">
        <v>406</v>
      </c>
      <c r="M12" s="27" t="s">
        <v>512</v>
      </c>
      <c r="N12" s="27"/>
    </row>
    <row r="13" spans="1:51" ht="15.75" customHeight="1" x14ac:dyDescent="0.15">
      <c r="I13" t="s">
        <v>513</v>
      </c>
    </row>
    <row r="14" spans="1:51" ht="15.75" customHeight="1" x14ac:dyDescent="0.15">
      <c r="M14" t="s">
        <v>514</v>
      </c>
    </row>
    <row r="15" spans="1:51" ht="15.75" customHeight="1" x14ac:dyDescent="0.15">
      <c r="I15" t="s">
        <v>515</v>
      </c>
    </row>
    <row r="16" spans="1:51" ht="15.75" customHeight="1" x14ac:dyDescent="0.15">
      <c r="I16" s="124" t="s">
        <v>516</v>
      </c>
      <c r="J16" s="124"/>
      <c r="K16" s="124"/>
      <c r="L16" s="31" t="s">
        <v>406</v>
      </c>
      <c r="M16" t="s">
        <v>517</v>
      </c>
    </row>
    <row r="17" spans="3:80" ht="15.75" customHeight="1" x14ac:dyDescent="0.15">
      <c r="M17" t="s">
        <v>518</v>
      </c>
    </row>
    <row r="18" spans="3:80" ht="15.75" customHeight="1" x14ac:dyDescent="0.15">
      <c r="I18" s="124" t="s">
        <v>519</v>
      </c>
      <c r="J18" s="124"/>
      <c r="K18" s="124"/>
      <c r="L18" s="31" t="s">
        <v>406</v>
      </c>
      <c r="M18" s="38" t="s">
        <v>520</v>
      </c>
    </row>
    <row r="19" spans="3:80" ht="15.75" customHeight="1" x14ac:dyDescent="0.15">
      <c r="I19" s="124" t="s">
        <v>521</v>
      </c>
      <c r="J19" s="124"/>
      <c r="K19" s="124"/>
      <c r="L19" s="31" t="s">
        <v>406</v>
      </c>
      <c r="M19" t="s">
        <v>522</v>
      </c>
    </row>
    <row r="21" spans="3:80" ht="15.75" customHeight="1" x14ac:dyDescent="0.15">
      <c r="C21" t="s">
        <v>523</v>
      </c>
    </row>
    <row r="22" spans="3:80" ht="15.75" customHeight="1" thickBot="1" x14ac:dyDescent="0.2"/>
    <row r="23" spans="3:80" ht="15.75" customHeight="1" x14ac:dyDescent="0.15">
      <c r="E23" t="s">
        <v>524</v>
      </c>
      <c r="N23" s="32" t="s">
        <v>406</v>
      </c>
      <c r="O23" s="124" t="s">
        <v>392</v>
      </c>
      <c r="P23" s="124"/>
      <c r="Q23" s="420" t="s">
        <v>375</v>
      </c>
      <c r="R23" s="169">
        <f>AR24</f>
        <v>345</v>
      </c>
      <c r="S23" s="169"/>
      <c r="T23" t="s">
        <v>525</v>
      </c>
      <c r="W23" s="32" t="s">
        <v>418</v>
      </c>
      <c r="X23" s="116" t="s">
        <v>526</v>
      </c>
      <c r="Y23" s="116"/>
      <c r="Z23" s="420" t="s">
        <v>375</v>
      </c>
      <c r="AA23" s="123">
        <v>1</v>
      </c>
      <c r="AB23" s="123"/>
      <c r="AC23" s="32" t="s">
        <v>419</v>
      </c>
      <c r="AD23" s="420"/>
      <c r="AL23" s="279" t="s">
        <v>390</v>
      </c>
      <c r="AM23" s="280"/>
      <c r="AN23" s="280"/>
      <c r="AO23" s="280"/>
      <c r="AP23" s="280"/>
      <c r="AQ23" s="281"/>
      <c r="AR23" s="285">
        <v>24</v>
      </c>
      <c r="AS23" s="286"/>
      <c r="AT23" s="286"/>
      <c r="AU23" s="286"/>
      <c r="AV23" s="73" t="s">
        <v>525</v>
      </c>
      <c r="AW23" s="73"/>
      <c r="AX23" s="73"/>
      <c r="AY23" s="74"/>
      <c r="BA23" s="72" t="s">
        <v>527</v>
      </c>
      <c r="BB23" s="279">
        <v>18</v>
      </c>
      <c r="BC23" s="280"/>
      <c r="BD23" s="281"/>
      <c r="BE23" s="279">
        <v>21</v>
      </c>
      <c r="BF23" s="280"/>
      <c r="BG23" s="281"/>
      <c r="BH23" s="279">
        <v>24</v>
      </c>
      <c r="BI23" s="280"/>
      <c r="BJ23" s="281"/>
      <c r="BK23" s="279">
        <v>27</v>
      </c>
      <c r="BL23" s="280"/>
      <c r="BM23" s="281"/>
      <c r="BN23" s="279">
        <v>30</v>
      </c>
      <c r="BO23" s="280"/>
      <c r="BP23" s="281"/>
      <c r="BQ23" s="279">
        <v>35</v>
      </c>
      <c r="BR23" s="280"/>
      <c r="BS23" s="281"/>
      <c r="BT23" s="279">
        <v>40</v>
      </c>
      <c r="BU23" s="280"/>
      <c r="BV23" s="281"/>
      <c r="BW23" s="279">
        <v>50</v>
      </c>
      <c r="BX23" s="280"/>
      <c r="BY23" s="280"/>
      <c r="BZ23" s="282">
        <f>AR23</f>
        <v>24</v>
      </c>
      <c r="CA23" s="283"/>
      <c r="CB23" s="284"/>
    </row>
    <row r="24" spans="3:80" ht="15.75" customHeight="1" x14ac:dyDescent="0.15">
      <c r="N24" s="32"/>
      <c r="O24" s="31"/>
      <c r="P24" s="31"/>
      <c r="Q24" s="32"/>
      <c r="R24" s="113"/>
      <c r="S24" s="113"/>
      <c r="W24" s="32"/>
      <c r="X24" s="32"/>
      <c r="Z24" s="32"/>
      <c r="AA24" s="71"/>
      <c r="AB24" s="71"/>
      <c r="AC24" s="32"/>
      <c r="AD24" s="32"/>
      <c r="AL24" s="279" t="s">
        <v>392</v>
      </c>
      <c r="AM24" s="280"/>
      <c r="AN24" s="280"/>
      <c r="AO24" s="280"/>
      <c r="AP24" s="280"/>
      <c r="AQ24" s="281"/>
      <c r="AR24" s="285">
        <v>345</v>
      </c>
      <c r="AS24" s="286"/>
      <c r="AT24" s="286"/>
      <c r="AU24" s="286"/>
      <c r="AV24" s="73" t="s">
        <v>528</v>
      </c>
      <c r="AW24" s="73"/>
      <c r="AX24" s="73"/>
      <c r="AY24" s="74"/>
      <c r="BA24" s="75">
        <v>1</v>
      </c>
      <c r="BB24" s="287">
        <v>1.9</v>
      </c>
      <c r="BC24" s="288"/>
      <c r="BD24" s="289"/>
      <c r="BE24" s="287">
        <v>2.1</v>
      </c>
      <c r="BF24" s="288"/>
      <c r="BG24" s="289"/>
      <c r="BH24" s="287">
        <v>2.2999999999999998</v>
      </c>
      <c r="BI24" s="288"/>
      <c r="BJ24" s="289"/>
      <c r="BK24" s="287">
        <v>2.5</v>
      </c>
      <c r="BL24" s="288"/>
      <c r="BM24" s="289"/>
      <c r="BN24" s="287">
        <v>2.7</v>
      </c>
      <c r="BO24" s="288"/>
      <c r="BP24" s="289"/>
      <c r="BQ24" s="287">
        <v>3</v>
      </c>
      <c r="BR24" s="288"/>
      <c r="BS24" s="289"/>
      <c r="BT24" s="287">
        <v>3.3</v>
      </c>
      <c r="BU24" s="288"/>
      <c r="BV24" s="289"/>
      <c r="BW24" s="287">
        <v>3.8</v>
      </c>
      <c r="BX24" s="288"/>
      <c r="BY24" s="288"/>
      <c r="BZ24" s="290">
        <f>HLOOKUP(BZ23,BB23:BY25,2,FALSE)</f>
        <v>2.2999999999999998</v>
      </c>
      <c r="CA24" s="288"/>
      <c r="CB24" s="291"/>
    </row>
    <row r="25" spans="3:80" ht="15.75" customHeight="1" thickBot="1" x14ac:dyDescent="0.2">
      <c r="E25" t="s">
        <v>529</v>
      </c>
      <c r="N25" s="32" t="s">
        <v>406</v>
      </c>
      <c r="O25" s="419" t="s">
        <v>509</v>
      </c>
      <c r="P25" s="419"/>
      <c r="Q25" s="420" t="s">
        <v>375</v>
      </c>
      <c r="R25" s="422">
        <f>IF(AA25=BA24,BZ24,BZ25)</f>
        <v>1.8</v>
      </c>
      <c r="S25" s="422"/>
      <c r="T25" t="s">
        <v>525</v>
      </c>
      <c r="W25" s="32" t="s">
        <v>418</v>
      </c>
      <c r="X25" s="116" t="s">
        <v>527</v>
      </c>
      <c r="Y25" s="116"/>
      <c r="Z25" s="420" t="s">
        <v>375</v>
      </c>
      <c r="AA25" s="295">
        <v>1.3</v>
      </c>
      <c r="AB25" s="295"/>
      <c r="AC25" s="32" t="s">
        <v>419</v>
      </c>
      <c r="AD25" s="420"/>
      <c r="AL25" s="296" t="s">
        <v>530</v>
      </c>
      <c r="AM25" s="297"/>
      <c r="AN25" s="279" t="s">
        <v>531</v>
      </c>
      <c r="AO25" s="280"/>
      <c r="AP25" s="280"/>
      <c r="AQ25" s="281"/>
      <c r="AR25" s="285">
        <v>16</v>
      </c>
      <c r="AS25" s="286"/>
      <c r="AT25" s="286"/>
      <c r="AU25" s="286"/>
      <c r="AV25" s="73" t="s">
        <v>376</v>
      </c>
      <c r="AW25" s="73"/>
      <c r="AX25" s="73"/>
      <c r="AY25" s="74"/>
      <c r="BA25" s="75">
        <v>1.3</v>
      </c>
      <c r="BB25" s="287">
        <f>ROUND(BB24/$BA$25,1)</f>
        <v>1.5</v>
      </c>
      <c r="BC25" s="288"/>
      <c r="BD25" s="289"/>
      <c r="BE25" s="287">
        <f>ROUND(BE24/$BA$25,1)</f>
        <v>1.6</v>
      </c>
      <c r="BF25" s="288"/>
      <c r="BG25" s="289"/>
      <c r="BH25" s="287">
        <f>ROUND(BH24/$BA$25,1)</f>
        <v>1.8</v>
      </c>
      <c r="BI25" s="288"/>
      <c r="BJ25" s="289"/>
      <c r="BK25" s="287">
        <f>ROUND(BK24/$BA$25,1)</f>
        <v>1.9</v>
      </c>
      <c r="BL25" s="288"/>
      <c r="BM25" s="289"/>
      <c r="BN25" s="287">
        <f>ROUND(BN24/$BA$25,1)</f>
        <v>2.1</v>
      </c>
      <c r="BO25" s="288"/>
      <c r="BP25" s="289"/>
      <c r="BQ25" s="287">
        <f>ROUND(BQ24/$BA$25,1)</f>
        <v>2.2999999999999998</v>
      </c>
      <c r="BR25" s="288"/>
      <c r="BS25" s="289"/>
      <c r="BT25" s="287">
        <f>ROUND(BT24/$BA$25,1)</f>
        <v>2.5</v>
      </c>
      <c r="BU25" s="288"/>
      <c r="BV25" s="289"/>
      <c r="BW25" s="287">
        <f>ROUND(BW24/$BA$25,1)</f>
        <v>2.9</v>
      </c>
      <c r="BX25" s="288"/>
      <c r="BY25" s="289"/>
      <c r="BZ25" s="292">
        <f>HLOOKUP(BZ23,BB23:BY25,3,FALSE)</f>
        <v>1.8</v>
      </c>
      <c r="CA25" s="293"/>
      <c r="CB25" s="294"/>
    </row>
    <row r="26" spans="3:80" ht="15.75" customHeight="1" x14ac:dyDescent="0.15">
      <c r="N26" s="32"/>
      <c r="O26" s="31"/>
      <c r="P26" s="31"/>
      <c r="Q26" s="32"/>
      <c r="R26" s="423"/>
      <c r="S26" s="423"/>
      <c r="Y26" s="32"/>
      <c r="Z26" s="32"/>
      <c r="AA26" s="32"/>
      <c r="AB26" s="32"/>
      <c r="AC26" s="32"/>
      <c r="AD26" s="32"/>
      <c r="AE26" s="71"/>
      <c r="AF26" s="71"/>
      <c r="AG26" s="71"/>
      <c r="AH26" s="32"/>
      <c r="AL26" s="298"/>
      <c r="AM26" s="299"/>
      <c r="AN26" s="279" t="s">
        <v>532</v>
      </c>
      <c r="AO26" s="280"/>
      <c r="AP26" s="280"/>
      <c r="AQ26" s="281"/>
      <c r="AR26" s="285">
        <v>69.5</v>
      </c>
      <c r="AS26" s="286"/>
      <c r="AT26" s="286"/>
      <c r="AU26" s="286"/>
      <c r="AV26" s="73" t="s">
        <v>376</v>
      </c>
      <c r="AW26" s="73"/>
      <c r="AX26" s="73"/>
      <c r="AY26" s="74"/>
    </row>
    <row r="27" spans="3:80" ht="15.75" customHeight="1" x14ac:dyDescent="0.15">
      <c r="E27" t="s">
        <v>533</v>
      </c>
      <c r="N27" s="32" t="s">
        <v>406</v>
      </c>
      <c r="O27" s="419" t="s">
        <v>511</v>
      </c>
      <c r="P27" s="419"/>
      <c r="Q27" s="420" t="s">
        <v>375</v>
      </c>
      <c r="R27" s="169">
        <f>AR25</f>
        <v>16</v>
      </c>
      <c r="S27" s="169"/>
      <c r="T27" t="s">
        <v>376</v>
      </c>
      <c r="AL27" s="300"/>
      <c r="AM27" s="301"/>
      <c r="AN27" s="279" t="s">
        <v>534</v>
      </c>
      <c r="AO27" s="280"/>
      <c r="AP27" s="280"/>
      <c r="AQ27" s="281"/>
      <c r="AR27" s="285">
        <v>125</v>
      </c>
      <c r="AS27" s="286"/>
      <c r="AT27" s="286"/>
      <c r="AU27" s="286"/>
      <c r="AV27" s="73" t="s">
        <v>376</v>
      </c>
      <c r="AW27" s="73"/>
      <c r="AX27" s="73"/>
      <c r="AY27" s="74"/>
    </row>
    <row r="28" spans="3:80" ht="15.75" customHeight="1" x14ac:dyDescent="0.15">
      <c r="N28" s="32"/>
      <c r="O28" s="31"/>
      <c r="P28" s="31"/>
      <c r="Q28" s="32"/>
      <c r="R28" s="113"/>
      <c r="S28" s="113"/>
      <c r="AL28" s="296" t="s">
        <v>535</v>
      </c>
      <c r="AM28" s="297"/>
      <c r="AN28" s="279" t="s">
        <v>531</v>
      </c>
      <c r="AO28" s="280"/>
      <c r="AP28" s="280"/>
      <c r="AQ28" s="281"/>
      <c r="AR28" s="285">
        <v>13</v>
      </c>
      <c r="AS28" s="286"/>
      <c r="AT28" s="286"/>
      <c r="AU28" s="286"/>
      <c r="AV28" s="73" t="s">
        <v>376</v>
      </c>
      <c r="AW28" s="73"/>
      <c r="AX28" s="73"/>
      <c r="AY28" s="74"/>
      <c r="AZ28" s="279">
        <f>IF(AR28=0,0,IF(AR28=10,71.33,IF(AR28=13,126.7,IF(AR28=16,198.6,IF(AR28=19,286.5,IF(AR28=22,387.1,IF(AR28=25,506.7)))))))</f>
        <v>126.7</v>
      </c>
      <c r="BA28" s="281"/>
      <c r="BB28" t="str">
        <f>CONCATENATE(" ",FIXED(AZ28,1)," mm2")</f>
        <v xml:space="preserve"> 126.7 mm2</v>
      </c>
    </row>
    <row r="29" spans="3:80" ht="15.75" customHeight="1" x14ac:dyDescent="0.15">
      <c r="E29" t="s">
        <v>536</v>
      </c>
      <c r="N29" s="32" t="s">
        <v>406</v>
      </c>
      <c r="O29" s="419" t="s">
        <v>537</v>
      </c>
      <c r="P29" s="419"/>
      <c r="Q29" s="420" t="s">
        <v>375</v>
      </c>
      <c r="R29" s="169">
        <f>AR26</f>
        <v>69.5</v>
      </c>
      <c r="S29" s="169"/>
      <c r="T29" s="420" t="s">
        <v>486</v>
      </c>
      <c r="U29" s="116">
        <f>AR25</f>
        <v>16</v>
      </c>
      <c r="V29" s="116"/>
      <c r="W29" s="424" t="s">
        <v>430</v>
      </c>
      <c r="X29" s="425">
        <v>2</v>
      </c>
      <c r="Y29" s="420" t="s">
        <v>375</v>
      </c>
      <c r="Z29" s="155">
        <f>ROUND(R29-(U29/2),1)</f>
        <v>61.5</v>
      </c>
      <c r="AA29" s="155"/>
      <c r="AB29" s="155"/>
      <c r="AC29" t="s">
        <v>376</v>
      </c>
      <c r="AE29" s="420"/>
      <c r="AL29" s="298"/>
      <c r="AM29" s="299"/>
      <c r="AN29" s="279" t="s">
        <v>534</v>
      </c>
      <c r="AO29" s="280"/>
      <c r="AP29" s="280"/>
      <c r="AQ29" s="281"/>
      <c r="AR29" s="302">
        <v>150</v>
      </c>
      <c r="AS29" s="303"/>
      <c r="AT29" s="303"/>
      <c r="AU29" s="303"/>
      <c r="AV29" s="76" t="s">
        <v>376</v>
      </c>
      <c r="AW29" s="76"/>
      <c r="AX29" s="76"/>
      <c r="AY29" s="77"/>
      <c r="AZ29" s="304">
        <f>IF(AR28=0,0,ROUND((AR30/AR31)*AZ28,1))</f>
        <v>42.2</v>
      </c>
      <c r="BA29" s="305"/>
      <c r="BB29" t="str">
        <f>CONCATENATE(" ",AR30,"／",AR31," × ",FIXED(AZ28,1)," ＝ ",FIXED(AZ29,1)," mm2")</f>
        <v xml:space="preserve"> 2／6 × 126.7 ＝ 42.2 mm2</v>
      </c>
      <c r="BC29" s="32"/>
    </row>
    <row r="30" spans="3:80" ht="15.75" customHeight="1" x14ac:dyDescent="0.15">
      <c r="N30" s="32"/>
      <c r="O30" s="31"/>
      <c r="P30" s="31"/>
      <c r="Q30" s="32"/>
      <c r="R30" s="32"/>
      <c r="S30" s="32"/>
      <c r="T30" s="32"/>
      <c r="U30" s="32"/>
      <c r="V30" s="32"/>
      <c r="W30" s="32"/>
      <c r="X30" s="32"/>
      <c r="Y30" s="32"/>
      <c r="Z30" s="55"/>
      <c r="AA30" s="32"/>
      <c r="AB30" s="32"/>
      <c r="AC30" s="32"/>
      <c r="AD30" s="32"/>
      <c r="AE30" s="32"/>
      <c r="AF30" s="71"/>
      <c r="AG30" s="71"/>
      <c r="AH30" s="71"/>
      <c r="AI30" s="71"/>
      <c r="AL30" s="298"/>
      <c r="AM30" s="299"/>
      <c r="AN30" s="279" t="s">
        <v>538</v>
      </c>
      <c r="AO30" s="280"/>
      <c r="AP30" s="280"/>
      <c r="AQ30" s="280"/>
      <c r="AR30" s="285">
        <v>2</v>
      </c>
      <c r="AS30" s="286"/>
      <c r="AT30" s="286"/>
      <c r="AU30" s="286"/>
      <c r="AV30" s="73" t="s">
        <v>539</v>
      </c>
      <c r="AW30" s="73"/>
      <c r="AX30" s="73"/>
      <c r="AY30" s="73"/>
      <c r="AZ30" s="73"/>
      <c r="BA30" s="73"/>
      <c r="BB30" s="73"/>
      <c r="BC30" s="73"/>
      <c r="BD30" s="73"/>
      <c r="BE30" s="73"/>
      <c r="BF30" s="73"/>
      <c r="BG30" s="73"/>
      <c r="BH30" s="73"/>
      <c r="BI30" s="73"/>
      <c r="BJ30" s="73"/>
      <c r="BK30" s="73"/>
      <c r="BL30" s="73"/>
      <c r="BM30" s="73"/>
      <c r="BN30" s="73"/>
      <c r="BO30" s="74"/>
    </row>
    <row r="31" spans="3:80" ht="15.75" customHeight="1" x14ac:dyDescent="0.15">
      <c r="E31" t="s">
        <v>540</v>
      </c>
      <c r="N31" s="32" t="s">
        <v>406</v>
      </c>
      <c r="O31" s="419" t="s">
        <v>541</v>
      </c>
      <c r="P31" s="419"/>
      <c r="Q31" s="420" t="s">
        <v>375</v>
      </c>
      <c r="R31" s="32" t="s">
        <v>418</v>
      </c>
      <c r="S31" s="116">
        <f>AR27</f>
        <v>125</v>
      </c>
      <c r="T31" s="116"/>
      <c r="U31" s="420" t="s">
        <v>486</v>
      </c>
      <c r="V31" s="116">
        <f>AR25</f>
        <v>16</v>
      </c>
      <c r="W31" s="116"/>
      <c r="X31" s="32" t="s">
        <v>419</v>
      </c>
      <c r="Y31" s="424" t="s">
        <v>430</v>
      </c>
      <c r="Z31" s="420">
        <v>2</v>
      </c>
      <c r="AA31" s="420" t="s">
        <v>375</v>
      </c>
      <c r="AB31" s="155">
        <f>ROUND((S31-V31)/Z31,1)</f>
        <v>54.5</v>
      </c>
      <c r="AC31" s="155"/>
      <c r="AD31" s="155"/>
      <c r="AE31" t="s">
        <v>376</v>
      </c>
      <c r="AG31" s="420"/>
      <c r="AL31" s="300"/>
      <c r="AM31" s="301"/>
      <c r="AN31" s="279" t="s">
        <v>542</v>
      </c>
      <c r="AO31" s="280"/>
      <c r="AP31" s="280"/>
      <c r="AQ31" s="280"/>
      <c r="AR31" s="285">
        <v>6</v>
      </c>
      <c r="AS31" s="286"/>
      <c r="AT31" s="286"/>
      <c r="AU31" s="286"/>
      <c r="AV31" s="73" t="s">
        <v>543</v>
      </c>
      <c r="AW31" s="73"/>
      <c r="AX31" s="73"/>
      <c r="AY31" s="73"/>
      <c r="AZ31" s="73"/>
      <c r="BA31" s="73"/>
      <c r="BB31" s="73"/>
      <c r="BC31" s="73"/>
      <c r="BD31" s="73"/>
      <c r="BE31" s="73"/>
      <c r="BF31" s="73"/>
      <c r="BG31" s="73"/>
      <c r="BH31" s="73"/>
      <c r="BI31" s="73"/>
      <c r="BJ31" s="73"/>
      <c r="BK31" s="73"/>
      <c r="BL31" s="73"/>
      <c r="BM31" s="73"/>
      <c r="BN31" s="73"/>
      <c r="BO31" s="74"/>
    </row>
    <row r="32" spans="3:80" ht="15.75" customHeight="1" x14ac:dyDescent="0.15">
      <c r="N32" s="32"/>
      <c r="O32" s="31"/>
      <c r="P32" s="31"/>
      <c r="Q32" s="32"/>
      <c r="R32" s="32"/>
      <c r="S32" s="32"/>
      <c r="T32" s="32"/>
      <c r="U32" s="32"/>
      <c r="V32" s="32"/>
      <c r="W32" s="32"/>
      <c r="X32" s="32"/>
      <c r="Y32" s="32"/>
      <c r="Z32" s="32"/>
      <c r="AA32" s="32"/>
      <c r="AB32" s="55"/>
      <c r="AC32" s="32"/>
      <c r="AD32" s="32"/>
      <c r="AE32" s="32"/>
      <c r="AF32" s="32"/>
      <c r="AG32" s="32"/>
      <c r="AH32" s="71"/>
      <c r="AI32" s="71"/>
      <c r="AJ32" s="71"/>
      <c r="AK32" s="71"/>
    </row>
    <row r="33" spans="5:42" ht="15.75" customHeight="1" x14ac:dyDescent="0.15">
      <c r="N33" s="33" t="s">
        <v>544</v>
      </c>
      <c r="O33" s="420" t="s">
        <v>516</v>
      </c>
      <c r="P33" s="420"/>
      <c r="Q33" s="420" t="s">
        <v>375</v>
      </c>
      <c r="R33" s="155">
        <f>MIN(Z29,AB31)</f>
        <v>54.5</v>
      </c>
      <c r="S33" s="155"/>
      <c r="T33" s="155"/>
      <c r="U33" t="s">
        <v>376</v>
      </c>
    </row>
    <row r="34" spans="5:42" ht="15.75" customHeight="1" x14ac:dyDescent="0.15">
      <c r="N34" s="33"/>
      <c r="O34" s="32"/>
      <c r="P34" s="32"/>
      <c r="Q34" s="32"/>
      <c r="R34" s="71"/>
      <c r="S34" s="71"/>
      <c r="T34" s="71"/>
    </row>
    <row r="35" spans="5:42" ht="15.75" customHeight="1" x14ac:dyDescent="0.15">
      <c r="E35" t="s">
        <v>545</v>
      </c>
      <c r="N35" s="32" t="s">
        <v>406</v>
      </c>
      <c r="O35" s="420" t="s">
        <v>519</v>
      </c>
      <c r="P35" s="420"/>
      <c r="Q35" s="420" t="s">
        <v>375</v>
      </c>
      <c r="R35" s="155">
        <f>IF(AB31&lt;Z29,AZ29,AZ28)</f>
        <v>42.2</v>
      </c>
      <c r="S35" s="155"/>
      <c r="T35" s="155"/>
      <c r="U35" t="s">
        <v>398</v>
      </c>
      <c r="X35" s="78"/>
    </row>
    <row r="36" spans="5:42" ht="15.75" customHeight="1" x14ac:dyDescent="0.15">
      <c r="N36" s="32"/>
      <c r="O36" s="32"/>
      <c r="P36" s="32"/>
      <c r="Q36" s="32"/>
      <c r="R36" s="71"/>
      <c r="S36" s="71"/>
      <c r="T36" s="71"/>
      <c r="X36" s="78"/>
    </row>
    <row r="37" spans="5:42" ht="15.75" customHeight="1" x14ac:dyDescent="0.15">
      <c r="E37" t="s">
        <v>546</v>
      </c>
      <c r="N37" s="32" t="s">
        <v>406</v>
      </c>
      <c r="O37" s="420" t="s">
        <v>521</v>
      </c>
      <c r="P37" s="420"/>
      <c r="Q37" s="420" t="s">
        <v>375</v>
      </c>
      <c r="R37" s="155">
        <f>AR29</f>
        <v>150</v>
      </c>
      <c r="S37" s="155"/>
      <c r="T37" s="155"/>
      <c r="U37" t="s">
        <v>376</v>
      </c>
    </row>
    <row r="39" spans="5:42" ht="15.75" customHeight="1" x14ac:dyDescent="0.15">
      <c r="E39" s="116" t="s">
        <v>547</v>
      </c>
      <c r="F39" s="116"/>
      <c r="G39" s="420" t="s">
        <v>375</v>
      </c>
      <c r="H39" t="s">
        <v>418</v>
      </c>
      <c r="I39" s="422">
        <f>R33</f>
        <v>54.5</v>
      </c>
      <c r="J39" s="422"/>
      <c r="K39" s="424" t="s">
        <v>430</v>
      </c>
      <c r="L39" s="116">
        <f>R27</f>
        <v>16</v>
      </c>
      <c r="M39" s="116"/>
      <c r="N39" t="s">
        <v>419</v>
      </c>
      <c r="O39" s="420" t="s">
        <v>484</v>
      </c>
      <c r="P39" t="s">
        <v>548</v>
      </c>
      <c r="Q39" s="116">
        <v>15</v>
      </c>
      <c r="R39" s="116"/>
      <c r="S39" s="420" t="s">
        <v>381</v>
      </c>
      <c r="T39" s="422">
        <f>R35</f>
        <v>42.2</v>
      </c>
      <c r="U39" s="422"/>
      <c r="V39" s="424" t="s">
        <v>430</v>
      </c>
      <c r="W39" t="s">
        <v>418</v>
      </c>
      <c r="X39" s="427">
        <f>R37</f>
        <v>150</v>
      </c>
      <c r="Y39" s="427"/>
      <c r="Z39" s="420" t="s">
        <v>381</v>
      </c>
      <c r="AA39" s="32">
        <f>L39</f>
        <v>16</v>
      </c>
      <c r="AB39" t="s">
        <v>419</v>
      </c>
      <c r="AC39" t="s">
        <v>549</v>
      </c>
      <c r="AD39" s="420" t="s">
        <v>375</v>
      </c>
      <c r="AE39" s="114">
        <f>IF(X39=0,ROUND((I39/L39),2),ROUND((I39/L39)+(Q39*T39/(X39*AA39)),2))</f>
        <v>3.67</v>
      </c>
      <c r="AF39" s="114"/>
      <c r="AG39" s="114"/>
      <c r="AH39" s="114"/>
      <c r="AI39" s="420"/>
      <c r="AP39" s="420"/>
    </row>
    <row r="40" spans="5:42" ht="15.75" customHeight="1" x14ac:dyDescent="0.15">
      <c r="E40" s="116" t="s">
        <v>550</v>
      </c>
      <c r="F40" s="116"/>
      <c r="G40" s="420" t="s">
        <v>375</v>
      </c>
      <c r="H40" t="s">
        <v>418</v>
      </c>
      <c r="I40" s="426">
        <v>0.75</v>
      </c>
      <c r="J40" s="426"/>
      <c r="K40" s="424" t="s">
        <v>430</v>
      </c>
      <c r="L40" s="114">
        <f>AE39</f>
        <v>3.67</v>
      </c>
      <c r="M40" s="114"/>
      <c r="N40" s="114"/>
      <c r="O40" t="s">
        <v>419</v>
      </c>
      <c r="P40" s="420" t="s">
        <v>484</v>
      </c>
      <c r="Q40" s="116">
        <v>0.2</v>
      </c>
      <c r="R40" s="116"/>
      <c r="S40" s="420" t="s">
        <v>375</v>
      </c>
      <c r="T40" s="115">
        <f>ROUND((I40/L40)+Q40,3)</f>
        <v>0.40400000000000003</v>
      </c>
      <c r="U40" s="115"/>
      <c r="V40" s="115"/>
      <c r="W40" s="115"/>
      <c r="X40" s="116" t="s">
        <v>551</v>
      </c>
      <c r="Y40" s="116"/>
      <c r="Z40" s="115">
        <f>IF(T40&lt;0.5,0.5,IF(AND(T40&gt;=0.5,T40&lt;=1),T40,IF(T40&gt;1,1)))</f>
        <v>0.5</v>
      </c>
      <c r="AA40" s="115"/>
      <c r="AB40" s="115"/>
      <c r="AC40" s="115"/>
    </row>
    <row r="42" spans="5:42" ht="15.75" customHeight="1" x14ac:dyDescent="0.15">
      <c r="E42" t="s">
        <v>552</v>
      </c>
    </row>
    <row r="44" spans="5:42" ht="15.75" customHeight="1" x14ac:dyDescent="0.15">
      <c r="E44" s="116" t="s">
        <v>506</v>
      </c>
      <c r="F44" s="116"/>
      <c r="G44" s="420" t="s">
        <v>375</v>
      </c>
      <c r="H44" s="428">
        <f>Z40</f>
        <v>0.5</v>
      </c>
      <c r="I44" s="428"/>
      <c r="J44" s="428"/>
      <c r="K44" s="81" t="s">
        <v>381</v>
      </c>
      <c r="L44" s="169">
        <f>R23</f>
        <v>345</v>
      </c>
      <c r="M44" s="169"/>
      <c r="N44" s="424" t="s">
        <v>430</v>
      </c>
      <c r="O44" s="32" t="s">
        <v>418</v>
      </c>
      <c r="P44" s="116">
        <v>4</v>
      </c>
      <c r="Q44" s="116"/>
      <c r="R44" s="420" t="s">
        <v>381</v>
      </c>
      <c r="S44" s="426">
        <f>R25</f>
        <v>1.8</v>
      </c>
      <c r="T44" s="426"/>
      <c r="U44" s="32" t="s">
        <v>419</v>
      </c>
      <c r="V44" s="420" t="s">
        <v>381</v>
      </c>
      <c r="W44" s="116">
        <f>R27</f>
        <v>16</v>
      </c>
      <c r="X44" s="116"/>
      <c r="Y44" s="420" t="s">
        <v>375</v>
      </c>
      <c r="Z44" s="169">
        <f>ROUND(H44*(L44/(P44*S44))*W44,0)</f>
        <v>383</v>
      </c>
      <c r="AA44" s="169"/>
      <c r="AB44" t="s">
        <v>376</v>
      </c>
      <c r="AC44" s="32" t="s">
        <v>418</v>
      </c>
      <c r="AD44" s="155" t="str">
        <f>FIXED(ROUNDUP(Z44/W44,0),0)&amp;"φ"</f>
        <v>24φ</v>
      </c>
      <c r="AE44" s="155"/>
      <c r="AF44" s="155"/>
      <c r="AG44" s="32" t="s">
        <v>81</v>
      </c>
      <c r="AH44" s="421"/>
      <c r="AI44" s="421"/>
      <c r="AJ44" s="421"/>
    </row>
    <row r="45" spans="5:42" ht="15.75" customHeight="1" x14ac:dyDescent="0.15">
      <c r="AA45" s="420" t="str">
        <f>IF(Z44&gt;AE45,"＞","＜")</f>
        <v>＞</v>
      </c>
      <c r="AB45" s="169" t="s">
        <v>553</v>
      </c>
      <c r="AC45" s="169"/>
      <c r="AD45" s="420" t="s">
        <v>375</v>
      </c>
      <c r="AE45" s="116">
        <f>ROUND(20*W44,0)</f>
        <v>320</v>
      </c>
      <c r="AF45" s="116"/>
      <c r="AG45" s="116"/>
      <c r="AH45" t="s">
        <v>376</v>
      </c>
    </row>
    <row r="47" spans="5:42" ht="15.75" customHeight="1" x14ac:dyDescent="0.15">
      <c r="E47" t="str">
        <f>CONCATENATE("以上より、基本定着長は、ld＝",MAX(Z44,AE45),"mmとする。")</f>
        <v>以上より、基本定着長は、ld＝383mmとする。</v>
      </c>
    </row>
  </sheetData>
  <mergeCells count="97">
    <mergeCell ref="E39:F39"/>
    <mergeCell ref="E40:F40"/>
    <mergeCell ref="E44:F44"/>
    <mergeCell ref="H44:J44"/>
    <mergeCell ref="L44:M44"/>
    <mergeCell ref="Z44:AA44"/>
    <mergeCell ref="AD44:AF44"/>
    <mergeCell ref="AB45:AC45"/>
    <mergeCell ref="L40:N40"/>
    <mergeCell ref="I39:J39"/>
    <mergeCell ref="I40:J40"/>
    <mergeCell ref="T39:U39"/>
    <mergeCell ref="Q40:R40"/>
    <mergeCell ref="R27:S27"/>
    <mergeCell ref="R29:S29"/>
    <mergeCell ref="Z29:AB29"/>
    <mergeCell ref="X23:Y23"/>
    <mergeCell ref="X25:Y25"/>
    <mergeCell ref="AA23:AB23"/>
    <mergeCell ref="AA25:AB25"/>
    <mergeCell ref="S31:T31"/>
    <mergeCell ref="AB31:AD31"/>
    <mergeCell ref="AE45:AG45"/>
    <mergeCell ref="P44:Q44"/>
    <mergeCell ref="W44:X44"/>
    <mergeCell ref="T40:W40"/>
    <mergeCell ref="X40:Y40"/>
    <mergeCell ref="Z40:AC40"/>
    <mergeCell ref="S44:T44"/>
    <mergeCell ref="AE39:AH39"/>
    <mergeCell ref="Q39:R39"/>
    <mergeCell ref="X39:Y39"/>
    <mergeCell ref="L39:M39"/>
    <mergeCell ref="R35:T35"/>
    <mergeCell ref="R37:T37"/>
    <mergeCell ref="AN30:AQ30"/>
    <mergeCell ref="AR30:AU30"/>
    <mergeCell ref="V31:W31"/>
    <mergeCell ref="R33:T33"/>
    <mergeCell ref="AN29:AQ29"/>
    <mergeCell ref="AR29:AU29"/>
    <mergeCell ref="AZ29:BA29"/>
    <mergeCell ref="AL28:AM31"/>
    <mergeCell ref="AN28:AQ28"/>
    <mergeCell ref="AR28:AU28"/>
    <mergeCell ref="AZ28:BA28"/>
    <mergeCell ref="AN31:AQ31"/>
    <mergeCell ref="AR31:AU31"/>
    <mergeCell ref="U29:V29"/>
    <mergeCell ref="BZ25:CB25"/>
    <mergeCell ref="AN26:AQ26"/>
    <mergeCell ref="AR26:AU26"/>
    <mergeCell ref="AN27:AQ27"/>
    <mergeCell ref="AR27:AU27"/>
    <mergeCell ref="BH25:BJ25"/>
    <mergeCell ref="BK25:BM25"/>
    <mergeCell ref="BN25:BP25"/>
    <mergeCell ref="BQ25:BS25"/>
    <mergeCell ref="BT25:BV25"/>
    <mergeCell ref="BW25:BY25"/>
    <mergeCell ref="AL25:AM27"/>
    <mergeCell ref="AN25:AQ25"/>
    <mergeCell ref="AR25:AU25"/>
    <mergeCell ref="BB25:BD25"/>
    <mergeCell ref="BE25:BG25"/>
    <mergeCell ref="BN24:BP24"/>
    <mergeCell ref="BQ24:BS24"/>
    <mergeCell ref="BT24:BV24"/>
    <mergeCell ref="BW24:BY24"/>
    <mergeCell ref="BZ24:CB24"/>
    <mergeCell ref="AL24:AQ24"/>
    <mergeCell ref="AR24:AU24"/>
    <mergeCell ref="BB24:BD24"/>
    <mergeCell ref="BE24:BG24"/>
    <mergeCell ref="BH24:BJ24"/>
    <mergeCell ref="BK24:BM24"/>
    <mergeCell ref="R25:S25"/>
    <mergeCell ref="BK23:BM23"/>
    <mergeCell ref="BN23:BP23"/>
    <mergeCell ref="BQ23:BS23"/>
    <mergeCell ref="BT23:BV23"/>
    <mergeCell ref="BW23:BY23"/>
    <mergeCell ref="BZ23:CB23"/>
    <mergeCell ref="AL23:AQ23"/>
    <mergeCell ref="AR23:AU23"/>
    <mergeCell ref="BB23:BD23"/>
    <mergeCell ref="BE23:BG23"/>
    <mergeCell ref="BH23:BJ23"/>
    <mergeCell ref="I19:K19"/>
    <mergeCell ref="I9:K9"/>
    <mergeCell ref="I10:K10"/>
    <mergeCell ref="I11:K11"/>
    <mergeCell ref="I12:K12"/>
    <mergeCell ref="I16:K16"/>
    <mergeCell ref="I18:K18"/>
    <mergeCell ref="O23:P23"/>
    <mergeCell ref="R23:S23"/>
  </mergeCells>
  <phoneticPr fontId="3"/>
  <dataValidations count="1">
    <dataValidation type="list" allowBlank="1" showInputMessage="1" showErrorMessage="1" sqref="AA25 AE26:AG26" xr:uid="{AA232C2D-8D66-4747-9F08-EE5F93B08AD0}">
      <formula1>$BA$24:$BA$25</formula1>
    </dataValidation>
  </dataValidations>
  <pageMargins left="0.98425196850393704" right="0.59055118110236227" top="0.78740157480314965" bottom="0.59055118110236227" header="0.51181102362204722" footer="0.51181102362204722"/>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67B60-0647-4B7B-8CDF-55DCDE6F8622}">
  <sheetPr codeName="Sheet12"/>
  <dimension ref="A2:AI45"/>
  <sheetViews>
    <sheetView view="pageBreakPreview" zoomScaleNormal="100" zoomScaleSheetLayoutView="100" workbookViewId="0">
      <selection activeCell="B1" sqref="A1:XFD1048576"/>
    </sheetView>
  </sheetViews>
  <sheetFormatPr defaultColWidth="3.140625" defaultRowHeight="15.75" customHeight="1" x14ac:dyDescent="0.15"/>
  <cols>
    <col min="1" max="16384" width="3.140625" style="27"/>
  </cols>
  <sheetData>
    <row r="2" spans="1:35" ht="15.75" customHeight="1" x14ac:dyDescent="0.15">
      <c r="A2" s="48" t="s">
        <v>250</v>
      </c>
      <c r="B2"/>
      <c r="C2"/>
      <c r="D2"/>
      <c r="E2"/>
      <c r="F2"/>
      <c r="G2"/>
      <c r="H2"/>
      <c r="I2"/>
      <c r="J2"/>
      <c r="K2"/>
      <c r="L2"/>
      <c r="M2"/>
      <c r="N2"/>
      <c r="O2"/>
      <c r="P2"/>
      <c r="Q2"/>
    </row>
    <row r="3" spans="1:35" ht="15.75" customHeight="1" x14ac:dyDescent="0.15">
      <c r="A3"/>
      <c r="B3"/>
      <c r="C3" s="48"/>
      <c r="D3"/>
      <c r="E3"/>
      <c r="F3"/>
      <c r="G3"/>
      <c r="H3"/>
      <c r="I3"/>
      <c r="J3"/>
      <c r="K3"/>
      <c r="L3"/>
      <c r="M3"/>
      <c r="N3"/>
      <c r="O3"/>
      <c r="P3"/>
      <c r="Q3"/>
    </row>
    <row r="4" spans="1:35" ht="15.75" customHeight="1" x14ac:dyDescent="0.15">
      <c r="A4"/>
      <c r="B4" s="26" t="s">
        <v>251</v>
      </c>
      <c r="C4"/>
      <c r="D4"/>
      <c r="E4"/>
      <c r="F4"/>
      <c r="G4"/>
      <c r="H4"/>
      <c r="I4"/>
      <c r="J4"/>
      <c r="K4"/>
      <c r="L4"/>
      <c r="M4"/>
      <c r="N4"/>
      <c r="O4"/>
      <c r="P4"/>
      <c r="Q4"/>
      <c r="AH4" s="49"/>
      <c r="AI4" s="49"/>
    </row>
    <row r="5" spans="1:35" ht="15.75" customHeight="1" x14ac:dyDescent="0.15">
      <c r="A5"/>
      <c r="B5" s="26"/>
      <c r="C5"/>
      <c r="D5"/>
      <c r="E5"/>
      <c r="F5"/>
      <c r="G5"/>
      <c r="H5"/>
      <c r="I5"/>
      <c r="J5"/>
      <c r="K5"/>
      <c r="L5"/>
      <c r="M5"/>
      <c r="N5"/>
      <c r="O5"/>
      <c r="P5"/>
      <c r="Q5"/>
      <c r="AG5" s="29"/>
    </row>
    <row r="6" spans="1:35" ht="15.75" customHeight="1" x14ac:dyDescent="0.15">
      <c r="A6"/>
      <c r="B6"/>
      <c r="C6" s="26" t="s">
        <v>252</v>
      </c>
      <c r="D6" s="49"/>
      <c r="E6" s="49"/>
      <c r="F6" s="49"/>
      <c r="G6" s="49"/>
      <c r="H6"/>
      <c r="I6"/>
      <c r="J6"/>
      <c r="K6"/>
      <c r="L6"/>
      <c r="M6"/>
      <c r="N6"/>
      <c r="O6"/>
      <c r="P6"/>
      <c r="Q6"/>
      <c r="S6" s="28"/>
      <c r="T6" s="28"/>
      <c r="U6" s="28"/>
      <c r="W6" s="28"/>
      <c r="X6" s="28"/>
      <c r="Y6" s="28"/>
      <c r="AG6" s="29"/>
    </row>
    <row r="7" spans="1:35" ht="15.75" customHeight="1" x14ac:dyDescent="0.15">
      <c r="A7"/>
      <c r="B7"/>
      <c r="C7"/>
      <c r="D7" s="45"/>
      <c r="E7"/>
      <c r="F7"/>
      <c r="G7"/>
      <c r="H7"/>
      <c r="I7"/>
      <c r="J7"/>
      <c r="K7"/>
      <c r="L7"/>
      <c r="M7"/>
      <c r="N7" s="42"/>
      <c r="O7" s="43"/>
      <c r="P7" s="43"/>
      <c r="Q7" s="43"/>
      <c r="AG7" s="29"/>
    </row>
    <row r="8" spans="1:35" ht="15.75" customHeight="1" x14ac:dyDescent="0.15">
      <c r="A8"/>
      <c r="B8"/>
      <c r="C8"/>
      <c r="D8" t="s">
        <v>253</v>
      </c>
      <c r="E8"/>
      <c r="F8"/>
      <c r="G8"/>
      <c r="H8"/>
      <c r="I8"/>
      <c r="J8"/>
      <c r="K8"/>
      <c r="L8"/>
      <c r="M8"/>
      <c r="N8" s="42"/>
      <c r="O8"/>
      <c r="P8"/>
      <c r="Q8"/>
      <c r="R8" s="28"/>
      <c r="W8" s="44"/>
      <c r="X8" s="44"/>
      <c r="Y8" s="44"/>
      <c r="AE8" s="44"/>
      <c r="AF8" s="44"/>
      <c r="AG8" s="44"/>
    </row>
    <row r="9" spans="1:35" ht="15.75" customHeight="1" x14ac:dyDescent="0.15">
      <c r="A9"/>
      <c r="B9"/>
      <c r="C9"/>
      <c r="D9" s="45"/>
      <c r="E9"/>
      <c r="F9"/>
      <c r="G9"/>
      <c r="H9"/>
      <c r="I9"/>
      <c r="J9"/>
      <c r="K9"/>
      <c r="L9"/>
      <c r="M9"/>
      <c r="N9"/>
      <c r="O9"/>
      <c r="P9" s="43"/>
      <c r="Q9" s="43"/>
      <c r="AG9" s="29"/>
    </row>
    <row r="10" spans="1:35" ht="15.75" customHeight="1" x14ac:dyDescent="0.15">
      <c r="A10"/>
      <c r="B10"/>
      <c r="C10"/>
      <c r="D10" s="45"/>
      <c r="E10" t="s">
        <v>254</v>
      </c>
      <c r="F10"/>
      <c r="G10"/>
      <c r="H10"/>
      <c r="I10"/>
      <c r="J10"/>
      <c r="K10"/>
      <c r="L10"/>
      <c r="M10"/>
      <c r="N10"/>
      <c r="O10"/>
      <c r="P10"/>
      <c r="Q10"/>
      <c r="AG10" s="29"/>
    </row>
    <row r="11" spans="1:35" ht="15.75" customHeight="1" x14ac:dyDescent="0.15">
      <c r="A11"/>
      <c r="B11"/>
      <c r="C11"/>
      <c r="D11" s="45"/>
      <c r="E11"/>
      <c r="F11"/>
      <c r="G11"/>
      <c r="H11"/>
      <c r="I11"/>
      <c r="J11"/>
      <c r="K11"/>
      <c r="L11"/>
      <c r="M11" s="42"/>
      <c r="N11"/>
      <c r="O11"/>
      <c r="P11"/>
      <c r="Q11"/>
      <c r="AG11" s="29"/>
    </row>
    <row r="12" spans="1:35" ht="15.75" customHeight="1" x14ac:dyDescent="0.15">
      <c r="A12"/>
      <c r="B12"/>
      <c r="C12"/>
      <c r="D12" s="45"/>
      <c r="E12"/>
      <c r="F12" t="s">
        <v>255</v>
      </c>
      <c r="G12"/>
      <c r="H12"/>
      <c r="I12"/>
      <c r="J12"/>
      <c r="K12"/>
      <c r="L12"/>
      <c r="M12"/>
      <c r="N12"/>
      <c r="O12"/>
      <c r="P12"/>
      <c r="Q12"/>
      <c r="S12" s="28"/>
      <c r="T12" s="28"/>
      <c r="U12" s="28"/>
      <c r="W12" s="28"/>
      <c r="X12" s="28"/>
      <c r="Y12" s="28"/>
      <c r="AG12" s="29"/>
    </row>
    <row r="13" spans="1:35" ht="15.75" customHeight="1" x14ac:dyDescent="0.15">
      <c r="A13"/>
      <c r="B13"/>
      <c r="C13"/>
      <c r="D13" s="45"/>
      <c r="E13"/>
      <c r="F13"/>
      <c r="G13"/>
      <c r="H13"/>
      <c r="I13"/>
      <c r="J13"/>
      <c r="K13"/>
      <c r="L13"/>
      <c r="M13"/>
      <c r="N13" s="42"/>
      <c r="O13" s="43"/>
      <c r="P13" s="43"/>
      <c r="Q13" s="43"/>
      <c r="AG13" s="29"/>
    </row>
    <row r="14" spans="1:35" ht="15.75" customHeight="1" x14ac:dyDescent="0.15">
      <c r="A14"/>
      <c r="B14"/>
      <c r="C14"/>
      <c r="D14" s="45"/>
      <c r="E14"/>
      <c r="F14"/>
      <c r="G14" t="s">
        <v>256</v>
      </c>
      <c r="H14"/>
      <c r="I14"/>
      <c r="J14"/>
      <c r="K14"/>
      <c r="L14"/>
      <c r="M14"/>
      <c r="N14" s="42"/>
      <c r="O14" s="43"/>
      <c r="P14" s="43"/>
      <c r="Q14" s="43"/>
      <c r="AG14" s="29"/>
    </row>
    <row r="15" spans="1:35" ht="15.75" customHeight="1" x14ac:dyDescent="0.15">
      <c r="A15"/>
      <c r="B15"/>
      <c r="C15"/>
      <c r="D15" s="45"/>
      <c r="E15"/>
      <c r="F15"/>
      <c r="G15"/>
      <c r="H15"/>
      <c r="I15"/>
      <c r="J15"/>
      <c r="K15"/>
      <c r="L15"/>
      <c r="M15"/>
      <c r="N15" s="42"/>
      <c r="O15" s="43"/>
      <c r="P15" s="43"/>
      <c r="Q15" s="43"/>
      <c r="AG15" s="29"/>
    </row>
    <row r="16" spans="1:35" ht="15.75" customHeight="1" x14ac:dyDescent="0.15">
      <c r="A16"/>
      <c r="B16"/>
      <c r="C16"/>
      <c r="D16" s="45"/>
      <c r="E16"/>
      <c r="F16"/>
      <c r="G16"/>
      <c r="H16" t="s">
        <v>257</v>
      </c>
      <c r="I16"/>
      <c r="J16"/>
      <c r="K16"/>
      <c r="L16"/>
      <c r="M16"/>
      <c r="N16" s="42"/>
      <c r="O16" s="43"/>
      <c r="P16" s="43"/>
      <c r="Q16" s="43"/>
      <c r="AG16" s="29"/>
    </row>
    <row r="17" spans="1:33" ht="15.75" customHeight="1" x14ac:dyDescent="0.15">
      <c r="A17"/>
      <c r="B17"/>
      <c r="C17"/>
      <c r="D17" s="45"/>
      <c r="E17"/>
      <c r="F17"/>
      <c r="G17"/>
      <c r="H17"/>
      <c r="I17"/>
      <c r="J17"/>
      <c r="K17"/>
      <c r="L17"/>
      <c r="M17"/>
      <c r="N17" s="42"/>
      <c r="O17" s="43"/>
      <c r="P17" s="43"/>
      <c r="Q17" s="43"/>
      <c r="AG17" s="29"/>
    </row>
    <row r="18" spans="1:33" ht="15.75" customHeight="1" x14ac:dyDescent="0.15">
      <c r="A18"/>
      <c r="B18"/>
      <c r="C18"/>
      <c r="D18" s="45"/>
      <c r="E18"/>
      <c r="F18"/>
      <c r="G18"/>
      <c r="H18"/>
      <c r="I18" t="s">
        <v>258</v>
      </c>
      <c r="J18"/>
      <c r="K18"/>
      <c r="L18"/>
      <c r="M18"/>
      <c r="N18" s="42"/>
      <c r="O18" s="43"/>
      <c r="P18" s="43"/>
      <c r="Q18" s="43"/>
      <c r="AG18" s="29"/>
    </row>
    <row r="19" spans="1:33" ht="15.75" customHeight="1" x14ac:dyDescent="0.15">
      <c r="D19" s="29"/>
      <c r="N19" s="47"/>
      <c r="O19" s="28"/>
      <c r="P19" s="28"/>
      <c r="Q19" s="28"/>
      <c r="S19" s="28"/>
      <c r="T19" s="28"/>
      <c r="U19" s="28"/>
      <c r="W19" s="28"/>
      <c r="X19" s="28"/>
      <c r="Y19" s="28"/>
      <c r="AG19" s="29"/>
    </row>
    <row r="20" spans="1:33" ht="15.75" customHeight="1" x14ac:dyDescent="0.15">
      <c r="D20" s="29"/>
      <c r="N20" s="47"/>
      <c r="AG20" s="29"/>
    </row>
    <row r="21" spans="1:33" ht="15.75" customHeight="1" x14ac:dyDescent="0.15">
      <c r="D21" s="29"/>
      <c r="P21" s="28"/>
      <c r="Q21" s="28"/>
      <c r="R21" s="28"/>
      <c r="W21" s="44"/>
      <c r="X21" s="44"/>
      <c r="Y21" s="44"/>
      <c r="AE21" s="44"/>
      <c r="AF21" s="44"/>
      <c r="AG21" s="44"/>
    </row>
    <row r="22" spans="1:33" ht="15.75" customHeight="1" x14ac:dyDescent="0.15">
      <c r="D22" s="29"/>
      <c r="M22" s="47"/>
      <c r="AG22" s="29"/>
    </row>
    <row r="24" spans="1:33" ht="15.75" customHeight="1" x14ac:dyDescent="0.15">
      <c r="AG24" s="29"/>
    </row>
    <row r="25" spans="1:33" ht="15.75" customHeight="1" x14ac:dyDescent="0.15">
      <c r="N25" s="47"/>
      <c r="O25" s="28"/>
      <c r="P25" s="28"/>
      <c r="Q25" s="28"/>
      <c r="S25" s="28"/>
      <c r="T25" s="28"/>
      <c r="U25" s="28"/>
      <c r="W25" s="28"/>
      <c r="X25" s="28"/>
      <c r="Y25" s="28"/>
      <c r="AG25" s="29"/>
    </row>
    <row r="26" spans="1:33" ht="15.75" customHeight="1" x14ac:dyDescent="0.15">
      <c r="N26" s="47"/>
      <c r="AG26" s="29"/>
    </row>
    <row r="27" spans="1:33" ht="15.75" customHeight="1" x14ac:dyDescent="0.15">
      <c r="P27" s="28"/>
      <c r="Q27" s="28"/>
      <c r="R27" s="28"/>
      <c r="W27" s="44"/>
      <c r="X27" s="44"/>
      <c r="Y27" s="44"/>
      <c r="AE27" s="44"/>
      <c r="AF27" s="44"/>
      <c r="AG27" s="44"/>
    </row>
    <row r="28" spans="1:33" ht="15.75" customHeight="1" x14ac:dyDescent="0.15">
      <c r="C28" s="49"/>
      <c r="AF28" s="49"/>
    </row>
    <row r="29" spans="1:33" ht="15.75" customHeight="1" x14ac:dyDescent="0.15">
      <c r="D29" s="29"/>
      <c r="AG29" s="29"/>
    </row>
    <row r="31" spans="1:33" ht="15.75" customHeight="1" x14ac:dyDescent="0.15">
      <c r="D31" s="29"/>
      <c r="AG31" s="29"/>
    </row>
    <row r="33" spans="3:34" ht="15.75" customHeight="1" x14ac:dyDescent="0.15">
      <c r="D33" s="29"/>
      <c r="AG33" s="29"/>
    </row>
    <row r="35" spans="3:34" ht="15.75" customHeight="1" x14ac:dyDescent="0.15">
      <c r="D35" s="29"/>
      <c r="AG35" s="29"/>
    </row>
    <row r="37" spans="3:34" ht="15.75" customHeight="1" x14ac:dyDescent="0.15">
      <c r="D37" s="29"/>
      <c r="AG37" s="29"/>
    </row>
    <row r="40" spans="3:34" ht="15.75" customHeight="1" x14ac:dyDescent="0.15">
      <c r="C40" s="29"/>
      <c r="D40" s="29"/>
      <c r="AF40" s="29"/>
      <c r="AG40" s="29"/>
    </row>
    <row r="41" spans="3:34" ht="15.75" customHeight="1" x14ac:dyDescent="0.15">
      <c r="C41" s="29"/>
      <c r="D41" s="29"/>
      <c r="K41" s="29"/>
      <c r="AF41" s="29"/>
      <c r="AG41" s="29"/>
    </row>
    <row r="42" spans="3:34" ht="15.75" customHeight="1" x14ac:dyDescent="0.15">
      <c r="C42" s="29"/>
      <c r="E42" s="29"/>
      <c r="T42" s="29"/>
      <c r="AF42" s="29"/>
      <c r="AH42" s="29"/>
    </row>
    <row r="43" spans="3:34" ht="15.75" customHeight="1" x14ac:dyDescent="0.15">
      <c r="C43" s="29"/>
      <c r="D43" s="29"/>
      <c r="E43" s="29"/>
      <c r="T43" s="29"/>
      <c r="AF43" s="29"/>
      <c r="AG43" s="29"/>
      <c r="AH43" s="29"/>
    </row>
    <row r="44" spans="3:34" ht="15.75" customHeight="1" x14ac:dyDescent="0.15">
      <c r="C44" s="29"/>
      <c r="D44" s="29"/>
      <c r="AF44" s="29"/>
      <c r="AG44" s="29"/>
    </row>
    <row r="45" spans="3:34" ht="15.75" customHeight="1" x14ac:dyDescent="0.15">
      <c r="D45" s="29"/>
      <c r="E45" s="29"/>
      <c r="AG45" s="29"/>
      <c r="AH45" s="29"/>
    </row>
  </sheetData>
  <phoneticPr fontId="3"/>
  <printOptions horizontalCentered="1" verticalCentered="1"/>
  <pageMargins left="0.98425196850393704" right="0.59055118110236227" top="0.78740157480314965" bottom="0.59055118110236227" header="0.51181102362204722" footer="0.51181102362204722"/>
  <pageSetup paperSize="9" orientation="portrait" r:id="rId1"/>
  <headerFooter alignWithMargins="0"/>
  <colBreaks count="1" manualBreakCount="1">
    <brk id="35" max="49"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C17EA-9B05-4017-AB50-3884978A5DC2}">
  <sheetPr codeName="Sheet5"/>
  <dimension ref="A2:AI45"/>
  <sheetViews>
    <sheetView view="pageBreakPreview" zoomScaleNormal="100" zoomScaleSheetLayoutView="100" workbookViewId="0"/>
  </sheetViews>
  <sheetFormatPr defaultColWidth="2.7109375" defaultRowHeight="15.75" customHeight="1" x14ac:dyDescent="0.15"/>
  <cols>
    <col min="1" max="16384" width="2.7109375" style="27"/>
  </cols>
  <sheetData>
    <row r="2" spans="1:35" ht="15.75" customHeight="1" x14ac:dyDescent="0.15">
      <c r="A2" s="48" t="s">
        <v>259</v>
      </c>
      <c r="B2"/>
      <c r="C2"/>
      <c r="D2"/>
      <c r="E2"/>
      <c r="F2"/>
      <c r="G2"/>
      <c r="H2"/>
      <c r="I2"/>
      <c r="J2"/>
      <c r="K2"/>
      <c r="L2"/>
      <c r="M2"/>
      <c r="N2"/>
      <c r="O2"/>
      <c r="P2"/>
      <c r="Q2"/>
    </row>
    <row r="3" spans="1:35" ht="15.75" customHeight="1" x14ac:dyDescent="0.15">
      <c r="A3"/>
      <c r="B3"/>
      <c r="C3" s="48"/>
      <c r="D3"/>
      <c r="E3"/>
      <c r="F3"/>
      <c r="G3"/>
      <c r="H3"/>
      <c r="I3"/>
      <c r="J3"/>
      <c r="K3"/>
      <c r="L3"/>
      <c r="M3"/>
      <c r="N3"/>
      <c r="O3"/>
      <c r="P3"/>
      <c r="Q3"/>
    </row>
    <row r="4" spans="1:35" ht="15.75" customHeight="1" x14ac:dyDescent="0.15">
      <c r="A4"/>
      <c r="B4" s="26" t="s">
        <v>260</v>
      </c>
      <c r="C4"/>
      <c r="D4"/>
      <c r="E4"/>
      <c r="F4"/>
      <c r="G4"/>
      <c r="H4"/>
      <c r="I4"/>
      <c r="J4"/>
      <c r="K4"/>
      <c r="L4"/>
      <c r="M4"/>
      <c r="N4"/>
      <c r="O4"/>
      <c r="P4"/>
      <c r="Q4"/>
      <c r="AH4" s="49"/>
      <c r="AI4" s="49"/>
    </row>
    <row r="5" spans="1:35" ht="15.75" customHeight="1" x14ac:dyDescent="0.15">
      <c r="A5"/>
      <c r="B5" s="26"/>
      <c r="C5"/>
      <c r="D5"/>
      <c r="E5"/>
      <c r="F5"/>
      <c r="G5"/>
      <c r="H5"/>
      <c r="I5"/>
      <c r="J5"/>
      <c r="K5"/>
      <c r="L5"/>
      <c r="M5"/>
      <c r="N5"/>
      <c r="O5"/>
      <c r="P5"/>
      <c r="Q5"/>
      <c r="AG5" s="29"/>
    </row>
    <row r="6" spans="1:35" ht="15.75" customHeight="1" x14ac:dyDescent="0.15">
      <c r="A6"/>
      <c r="B6"/>
      <c r="C6" s="26" t="s">
        <v>261</v>
      </c>
      <c r="D6" s="49"/>
      <c r="E6" s="49"/>
      <c r="F6" s="49"/>
      <c r="G6" s="49"/>
      <c r="H6"/>
      <c r="I6"/>
      <c r="J6"/>
      <c r="K6"/>
      <c r="L6"/>
      <c r="M6"/>
      <c r="N6"/>
      <c r="O6"/>
      <c r="P6"/>
      <c r="Q6"/>
      <c r="S6" s="28"/>
      <c r="T6" s="28"/>
      <c r="U6" s="28"/>
      <c r="W6" s="28"/>
      <c r="X6" s="28"/>
      <c r="Y6" s="28"/>
      <c r="AG6" s="29"/>
    </row>
    <row r="7" spans="1:35" ht="15.75" customHeight="1" x14ac:dyDescent="0.15">
      <c r="A7"/>
      <c r="B7"/>
      <c r="C7"/>
      <c r="D7" s="45"/>
      <c r="E7"/>
      <c r="F7"/>
      <c r="G7"/>
      <c r="H7"/>
      <c r="I7"/>
      <c r="J7"/>
      <c r="K7"/>
      <c r="L7"/>
      <c r="M7"/>
      <c r="N7" s="42"/>
      <c r="O7" s="43"/>
      <c r="P7" s="43"/>
      <c r="Q7" s="43"/>
      <c r="AG7" s="29"/>
    </row>
    <row r="8" spans="1:35" ht="15.75" customHeight="1" x14ac:dyDescent="0.15">
      <c r="A8"/>
      <c r="B8"/>
      <c r="C8"/>
      <c r="D8" t="s">
        <v>253</v>
      </c>
      <c r="E8"/>
      <c r="F8"/>
      <c r="G8"/>
      <c r="H8"/>
      <c r="I8"/>
      <c r="J8"/>
      <c r="K8"/>
      <c r="L8"/>
      <c r="M8"/>
      <c r="N8" s="42"/>
      <c r="O8"/>
      <c r="P8"/>
      <c r="Q8"/>
      <c r="R8" s="28"/>
      <c r="W8" s="44"/>
      <c r="X8" s="44"/>
      <c r="Y8" s="44"/>
      <c r="AE8" s="44"/>
      <c r="AF8" s="44"/>
      <c r="AG8" s="44"/>
    </row>
    <row r="9" spans="1:35" ht="15.75" customHeight="1" x14ac:dyDescent="0.15">
      <c r="A9"/>
      <c r="B9"/>
      <c r="C9"/>
      <c r="D9" s="45"/>
      <c r="E9"/>
      <c r="F9"/>
      <c r="G9"/>
      <c r="H9"/>
      <c r="I9"/>
      <c r="J9"/>
      <c r="K9"/>
      <c r="L9"/>
      <c r="M9"/>
      <c r="N9"/>
      <c r="O9"/>
      <c r="P9" s="43"/>
      <c r="Q9" s="43"/>
      <c r="AG9" s="29"/>
    </row>
    <row r="10" spans="1:35" ht="15.75" customHeight="1" x14ac:dyDescent="0.15">
      <c r="A10"/>
      <c r="B10"/>
      <c r="C10"/>
      <c r="D10" s="45"/>
      <c r="E10" t="s">
        <v>254</v>
      </c>
      <c r="F10"/>
      <c r="G10"/>
      <c r="H10"/>
      <c r="I10"/>
      <c r="J10"/>
      <c r="K10"/>
      <c r="L10"/>
      <c r="M10"/>
      <c r="N10"/>
      <c r="O10"/>
      <c r="P10"/>
      <c r="Q10"/>
      <c r="AG10" s="29"/>
    </row>
    <row r="11" spans="1:35" ht="15.75" customHeight="1" x14ac:dyDescent="0.15">
      <c r="A11"/>
      <c r="B11"/>
      <c r="C11"/>
      <c r="D11" s="45"/>
      <c r="E11"/>
      <c r="F11"/>
      <c r="G11"/>
      <c r="H11"/>
      <c r="I11"/>
      <c r="J11"/>
      <c r="K11"/>
      <c r="L11"/>
      <c r="M11" s="42"/>
      <c r="N11"/>
      <c r="O11"/>
      <c r="P11"/>
      <c r="Q11"/>
      <c r="AG11" s="29"/>
    </row>
    <row r="12" spans="1:35" ht="15.75" customHeight="1" x14ac:dyDescent="0.15">
      <c r="A12"/>
      <c r="B12"/>
      <c r="C12"/>
      <c r="D12" s="45"/>
      <c r="E12"/>
      <c r="F12" t="s">
        <v>255</v>
      </c>
      <c r="G12"/>
      <c r="H12"/>
      <c r="I12"/>
      <c r="J12"/>
      <c r="K12"/>
      <c r="L12"/>
      <c r="M12"/>
      <c r="N12"/>
      <c r="O12"/>
      <c r="P12"/>
      <c r="Q12"/>
      <c r="S12" s="28"/>
      <c r="T12" s="28"/>
      <c r="U12" s="28"/>
      <c r="W12" s="28"/>
      <c r="X12" s="28"/>
      <c r="Y12" s="28"/>
      <c r="AG12" s="29"/>
    </row>
    <row r="13" spans="1:35" ht="15.75" customHeight="1" x14ac:dyDescent="0.15">
      <c r="A13"/>
      <c r="B13"/>
      <c r="C13"/>
      <c r="D13" s="45"/>
      <c r="E13"/>
      <c r="F13"/>
      <c r="G13"/>
      <c r="H13"/>
      <c r="I13"/>
      <c r="J13"/>
      <c r="K13"/>
      <c r="L13"/>
      <c r="M13"/>
      <c r="N13" s="42"/>
      <c r="O13" s="43"/>
      <c r="P13" s="43"/>
      <c r="Q13" s="43"/>
      <c r="AG13" s="29"/>
    </row>
    <row r="14" spans="1:35" ht="15.75" customHeight="1" x14ac:dyDescent="0.15">
      <c r="A14"/>
      <c r="B14"/>
      <c r="C14"/>
      <c r="D14" s="45"/>
      <c r="E14"/>
      <c r="F14"/>
      <c r="G14" t="s">
        <v>256</v>
      </c>
      <c r="H14"/>
      <c r="I14"/>
      <c r="J14"/>
      <c r="K14"/>
      <c r="L14"/>
      <c r="M14"/>
      <c r="N14" s="42"/>
      <c r="O14" s="43"/>
      <c r="P14" s="43"/>
      <c r="Q14" s="43"/>
      <c r="AG14" s="29"/>
    </row>
    <row r="15" spans="1:35" ht="15.75" customHeight="1" x14ac:dyDescent="0.15">
      <c r="A15"/>
      <c r="B15"/>
      <c r="C15"/>
      <c r="D15" s="45"/>
      <c r="E15"/>
      <c r="F15"/>
      <c r="G15"/>
      <c r="H15"/>
      <c r="I15"/>
      <c r="J15"/>
      <c r="K15"/>
      <c r="L15"/>
      <c r="M15"/>
      <c r="N15" s="42"/>
      <c r="O15" s="43"/>
      <c r="P15" s="43"/>
      <c r="Q15" s="43"/>
      <c r="AG15" s="29"/>
    </row>
    <row r="16" spans="1:35" ht="15.75" customHeight="1" x14ac:dyDescent="0.15">
      <c r="A16"/>
      <c r="B16"/>
      <c r="C16"/>
      <c r="D16" s="45"/>
      <c r="E16"/>
      <c r="F16"/>
      <c r="G16"/>
      <c r="H16" t="s">
        <v>257</v>
      </c>
      <c r="I16"/>
      <c r="J16"/>
      <c r="K16"/>
      <c r="L16"/>
      <c r="M16"/>
      <c r="N16" s="42"/>
      <c r="O16" s="43"/>
      <c r="P16" s="43"/>
      <c r="Q16" s="43"/>
      <c r="AG16" s="29"/>
    </row>
    <row r="17" spans="1:33" ht="15.75" customHeight="1" x14ac:dyDescent="0.15">
      <c r="A17"/>
      <c r="B17"/>
      <c r="C17"/>
      <c r="D17" s="45"/>
      <c r="E17"/>
      <c r="F17"/>
      <c r="G17"/>
      <c r="H17"/>
      <c r="I17"/>
      <c r="J17"/>
      <c r="K17"/>
      <c r="L17"/>
      <c r="M17"/>
      <c r="N17" s="42"/>
      <c r="O17" s="43"/>
      <c r="P17" s="43"/>
      <c r="Q17" s="43"/>
      <c r="AG17" s="29"/>
    </row>
    <row r="18" spans="1:33" ht="15.75" customHeight="1" x14ac:dyDescent="0.15">
      <c r="A18"/>
      <c r="B18"/>
      <c r="C18"/>
      <c r="D18" s="45"/>
      <c r="E18"/>
      <c r="F18"/>
      <c r="G18"/>
      <c r="H18"/>
      <c r="I18" t="s">
        <v>258</v>
      </c>
      <c r="J18"/>
      <c r="K18"/>
      <c r="L18"/>
      <c r="M18"/>
      <c r="N18" s="42"/>
      <c r="O18" s="43"/>
      <c r="P18" s="43"/>
      <c r="Q18" s="43"/>
      <c r="AG18" s="29"/>
    </row>
    <row r="19" spans="1:33" ht="15.75" customHeight="1" x14ac:dyDescent="0.15">
      <c r="D19" s="29"/>
      <c r="N19" s="47"/>
      <c r="O19" s="28"/>
      <c r="P19" s="28"/>
      <c r="Q19" s="28"/>
      <c r="S19" s="28"/>
      <c r="T19" s="28"/>
      <c r="U19" s="28"/>
      <c r="W19" s="28"/>
      <c r="X19" s="28"/>
      <c r="Y19" s="28"/>
      <c r="AG19" s="29"/>
    </row>
    <row r="20" spans="1:33" ht="15.75" customHeight="1" x14ac:dyDescent="0.15">
      <c r="D20" s="29"/>
      <c r="N20" s="47"/>
      <c r="AG20" s="29"/>
    </row>
    <row r="21" spans="1:33" ht="15.75" customHeight="1" x14ac:dyDescent="0.15">
      <c r="D21" s="29"/>
      <c r="P21" s="28"/>
      <c r="Q21" s="28"/>
      <c r="R21" s="28"/>
      <c r="W21" s="44"/>
      <c r="X21" s="44"/>
      <c r="Y21" s="44"/>
      <c r="AE21" s="44"/>
      <c r="AF21" s="44"/>
      <c r="AG21" s="44"/>
    </row>
    <row r="22" spans="1:33" ht="15.75" customHeight="1" x14ac:dyDescent="0.15">
      <c r="D22" s="29"/>
      <c r="M22" s="47"/>
      <c r="AG22" s="29"/>
    </row>
    <row r="24" spans="1:33" ht="15.75" customHeight="1" x14ac:dyDescent="0.15">
      <c r="AG24" s="29"/>
    </row>
    <row r="25" spans="1:33" ht="15.75" customHeight="1" x14ac:dyDescent="0.15">
      <c r="N25" s="47"/>
      <c r="O25" s="28"/>
      <c r="P25" s="28"/>
      <c r="Q25" s="28"/>
      <c r="S25" s="28"/>
      <c r="T25" s="28"/>
      <c r="U25" s="28"/>
      <c r="W25" s="28"/>
      <c r="X25" s="28"/>
      <c r="Y25" s="28"/>
      <c r="AG25" s="29"/>
    </row>
    <row r="26" spans="1:33" ht="15.75" customHeight="1" x14ac:dyDescent="0.15">
      <c r="N26" s="47"/>
      <c r="AG26" s="29"/>
    </row>
    <row r="27" spans="1:33" ht="15.75" customHeight="1" x14ac:dyDescent="0.15">
      <c r="P27" s="28"/>
      <c r="Q27" s="28"/>
      <c r="R27" s="28"/>
      <c r="W27" s="44"/>
      <c r="X27" s="44"/>
      <c r="Y27" s="44"/>
      <c r="AE27" s="44"/>
      <c r="AF27" s="44"/>
      <c r="AG27" s="44"/>
    </row>
    <row r="28" spans="1:33" ht="15.75" customHeight="1" x14ac:dyDescent="0.15">
      <c r="C28" s="49"/>
      <c r="AF28" s="49"/>
    </row>
    <row r="29" spans="1:33" ht="15.75" customHeight="1" x14ac:dyDescent="0.15">
      <c r="D29" s="29"/>
      <c r="AG29" s="29"/>
    </row>
    <row r="31" spans="1:33" ht="15.75" customHeight="1" x14ac:dyDescent="0.15">
      <c r="D31" s="29"/>
      <c r="AG31" s="29"/>
    </row>
    <row r="33" spans="3:34" ht="15.75" customHeight="1" x14ac:dyDescent="0.15">
      <c r="D33" s="29"/>
      <c r="AG33" s="29"/>
    </row>
    <row r="35" spans="3:34" ht="15.75" customHeight="1" x14ac:dyDescent="0.15">
      <c r="D35" s="29"/>
      <c r="AG35" s="29"/>
    </row>
    <row r="37" spans="3:34" ht="15.75" customHeight="1" x14ac:dyDescent="0.15">
      <c r="D37" s="29"/>
      <c r="AG37" s="29"/>
    </row>
    <row r="40" spans="3:34" ht="15.75" customHeight="1" x14ac:dyDescent="0.15">
      <c r="C40" s="29"/>
      <c r="D40" s="29"/>
      <c r="AF40" s="29"/>
      <c r="AG40" s="29"/>
    </row>
    <row r="41" spans="3:34" ht="15.75" customHeight="1" x14ac:dyDescent="0.15">
      <c r="C41" s="29"/>
      <c r="D41" s="29"/>
      <c r="K41" s="29"/>
      <c r="AF41" s="29"/>
      <c r="AG41" s="29"/>
    </row>
    <row r="42" spans="3:34" ht="15.75" customHeight="1" x14ac:dyDescent="0.15">
      <c r="C42" s="29"/>
      <c r="E42" s="29"/>
      <c r="T42" s="29"/>
      <c r="AF42" s="29"/>
      <c r="AH42" s="29"/>
    </row>
    <row r="43" spans="3:34" ht="15.75" customHeight="1" x14ac:dyDescent="0.15">
      <c r="C43" s="29"/>
      <c r="D43" s="29"/>
      <c r="E43" s="29"/>
      <c r="T43" s="29"/>
      <c r="AF43" s="29"/>
      <c r="AG43" s="29"/>
      <c r="AH43" s="29"/>
    </row>
    <row r="44" spans="3:34" ht="15.75" customHeight="1" x14ac:dyDescent="0.15">
      <c r="C44" s="29"/>
      <c r="D44" s="29"/>
      <c r="AF44" s="29"/>
      <c r="AG44" s="29"/>
    </row>
    <row r="45" spans="3:34" ht="15.75" customHeight="1" x14ac:dyDescent="0.15">
      <c r="D45" s="29"/>
      <c r="E45" s="29"/>
      <c r="AG45" s="29"/>
      <c r="AH45" s="29"/>
    </row>
  </sheetData>
  <phoneticPr fontId="3"/>
  <printOptions horizontalCentered="1" verticalCentered="1"/>
  <pageMargins left="0.98425196850393704" right="0.59055118110236227" top="0.78740157480314965" bottom="0.59055118110236227" header="0.51181102362204722" footer="0.51181102362204722"/>
  <pageSetup paperSize="8" orientation="landscape"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D5D1B-C698-43FD-B485-B0C69759F54D}">
  <sheetPr codeName="Sheet21"/>
  <dimension ref="A3:B10"/>
  <sheetViews>
    <sheetView zoomScaleNormal="100" workbookViewId="0"/>
  </sheetViews>
  <sheetFormatPr defaultColWidth="10.7109375" defaultRowHeight="15.75" customHeight="1" x14ac:dyDescent="0.15"/>
  <sheetData>
    <row r="3" spans="1:2" ht="15.75" customHeight="1" x14ac:dyDescent="0.15">
      <c r="A3" t="s">
        <v>495</v>
      </c>
      <c r="B3" t="s">
        <v>496</v>
      </c>
    </row>
    <row r="4" spans="1:2" ht="15.75" customHeight="1" x14ac:dyDescent="0.15">
      <c r="A4">
        <v>1</v>
      </c>
      <c r="B4" t="s">
        <v>497</v>
      </c>
    </row>
    <row r="5" spans="1:2" ht="15.75" customHeight="1" x14ac:dyDescent="0.15">
      <c r="A5">
        <v>2</v>
      </c>
      <c r="B5" t="s">
        <v>499</v>
      </c>
    </row>
    <row r="6" spans="1:2" ht="15.75" customHeight="1" x14ac:dyDescent="0.15">
      <c r="A6">
        <v>3</v>
      </c>
      <c r="B6" t="s">
        <v>498</v>
      </c>
    </row>
    <row r="7" spans="1:2" ht="15.75" customHeight="1" x14ac:dyDescent="0.15">
      <c r="A7">
        <v>4</v>
      </c>
      <c r="B7" t="s">
        <v>500</v>
      </c>
    </row>
    <row r="8" spans="1:2" ht="15.75" customHeight="1" x14ac:dyDescent="0.15">
      <c r="A8">
        <v>5</v>
      </c>
      <c r="B8" t="s">
        <v>501</v>
      </c>
    </row>
    <row r="9" spans="1:2" ht="15.75" customHeight="1" x14ac:dyDescent="0.15">
      <c r="A9">
        <v>6</v>
      </c>
      <c r="B9" t="s">
        <v>502</v>
      </c>
    </row>
    <row r="10" spans="1:2" ht="15.75" customHeight="1" x14ac:dyDescent="0.15">
      <c r="A10">
        <v>7</v>
      </c>
      <c r="B10" t="s">
        <v>503</v>
      </c>
    </row>
  </sheetData>
  <phoneticPr fontId="3"/>
  <pageMargins left="0.75" right="0.75" top="1" bottom="1" header="0.51200000000000001" footer="0.51200000000000001"/>
  <pageSetup paperSize="9" orientation="portrait" copies="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シート名取得">
                <anchor moveWithCells="1" sizeWithCells="1">
                  <from>
                    <xdr:col>0</xdr:col>
                    <xdr:colOff>19050</xdr:colOff>
                    <xdr:row>0</xdr:row>
                    <xdr:rowOff>9525</xdr:rowOff>
                  </from>
                  <to>
                    <xdr:col>2</xdr:col>
                    <xdr:colOff>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2AF9C-30C7-4E60-A245-A786BC990954}">
  <sheetPr codeName="Sheet4"/>
  <dimension ref="A1:T12"/>
  <sheetViews>
    <sheetView view="pageBreakPreview" zoomScaleNormal="100" workbookViewId="0"/>
  </sheetViews>
  <sheetFormatPr defaultColWidth="2.7109375" defaultRowHeight="15.75" customHeight="1" x14ac:dyDescent="0.15"/>
  <cols>
    <col min="1" max="1" width="6.7109375" style="21" customWidth="1"/>
    <col min="2" max="2" width="8.7109375" style="21" customWidth="1"/>
    <col min="3" max="16384" width="2.7109375" style="21"/>
  </cols>
  <sheetData>
    <row r="1" spans="1:20" ht="15.75" customHeight="1" x14ac:dyDescent="0.15">
      <c r="A1" s="19">
        <v>10</v>
      </c>
      <c r="B1" s="20">
        <v>71.332999999999998</v>
      </c>
      <c r="C1" s="3"/>
      <c r="D1" s="3"/>
      <c r="E1" s="3"/>
      <c r="O1" s="22"/>
      <c r="P1" s="23"/>
      <c r="Q1" s="23"/>
      <c r="R1" s="24"/>
      <c r="S1" s="24"/>
      <c r="T1" s="24"/>
    </row>
    <row r="2" spans="1:20" ht="15.75" customHeight="1" x14ac:dyDescent="0.15">
      <c r="A2" s="19">
        <v>13</v>
      </c>
      <c r="B2" s="25">
        <v>126.7</v>
      </c>
      <c r="C2" s="3"/>
      <c r="D2" s="3"/>
      <c r="E2" s="3"/>
    </row>
    <row r="3" spans="1:20" ht="15.75" customHeight="1" x14ac:dyDescent="0.15">
      <c r="A3" s="19">
        <v>16</v>
      </c>
      <c r="B3" s="25">
        <v>198.6</v>
      </c>
      <c r="C3" s="3"/>
      <c r="D3" s="3"/>
      <c r="E3" s="3"/>
    </row>
    <row r="4" spans="1:20" ht="15.75" customHeight="1" x14ac:dyDescent="0.15">
      <c r="A4" s="19">
        <v>19</v>
      </c>
      <c r="B4" s="25">
        <v>286.5</v>
      </c>
      <c r="C4" s="3"/>
      <c r="D4" s="3"/>
      <c r="E4" s="3"/>
    </row>
    <row r="5" spans="1:20" ht="15.75" customHeight="1" x14ac:dyDescent="0.15">
      <c r="A5" s="19">
        <v>22</v>
      </c>
      <c r="B5" s="25">
        <v>387.1</v>
      </c>
      <c r="C5" s="3"/>
      <c r="D5" s="3"/>
      <c r="E5" s="3"/>
    </row>
    <row r="6" spans="1:20" ht="15.75" customHeight="1" x14ac:dyDescent="0.15">
      <c r="A6" s="19">
        <v>25</v>
      </c>
      <c r="B6" s="25">
        <v>506.7</v>
      </c>
      <c r="C6" s="3"/>
      <c r="D6" s="3"/>
      <c r="E6" s="3"/>
    </row>
    <row r="7" spans="1:20" ht="15.75" customHeight="1" x14ac:dyDescent="0.15">
      <c r="A7" s="19">
        <v>29</v>
      </c>
      <c r="B7" s="25">
        <v>642.4</v>
      </c>
      <c r="C7" s="3"/>
      <c r="D7" s="3"/>
      <c r="E7" s="3"/>
    </row>
    <row r="8" spans="1:20" ht="15.75" customHeight="1" x14ac:dyDescent="0.15">
      <c r="A8" s="19">
        <v>32</v>
      </c>
      <c r="B8" s="25">
        <v>794.2</v>
      </c>
      <c r="C8" s="3"/>
      <c r="D8" s="3"/>
      <c r="E8" s="3"/>
    </row>
    <row r="9" spans="1:20" ht="15.75" customHeight="1" x14ac:dyDescent="0.15">
      <c r="A9" s="19">
        <v>35</v>
      </c>
      <c r="B9" s="25">
        <v>956.6</v>
      </c>
      <c r="C9" s="3"/>
      <c r="D9" s="3"/>
      <c r="E9" s="3"/>
    </row>
    <row r="10" spans="1:20" ht="15.75" customHeight="1" x14ac:dyDescent="0.15">
      <c r="A10" s="19">
        <v>38</v>
      </c>
      <c r="B10" s="25">
        <v>1140</v>
      </c>
      <c r="C10" s="3"/>
      <c r="D10" s="3"/>
      <c r="E10" s="3"/>
    </row>
    <row r="11" spans="1:20" ht="15.75" customHeight="1" x14ac:dyDescent="0.15">
      <c r="A11" s="19">
        <v>41</v>
      </c>
      <c r="B11" s="25">
        <v>1340</v>
      </c>
      <c r="C11" s="3"/>
      <c r="D11" s="3"/>
      <c r="E11" s="3"/>
    </row>
    <row r="12" spans="1:20" ht="15.75" customHeight="1" x14ac:dyDescent="0.15">
      <c r="A12" s="19">
        <v>51</v>
      </c>
      <c r="B12" s="25">
        <v>2027</v>
      </c>
      <c r="C12" s="3"/>
      <c r="D12" s="3"/>
      <c r="E12" s="3"/>
    </row>
  </sheetData>
  <phoneticPr fontId="3"/>
  <printOptions horizontalCentered="1" verticalCentered="1"/>
  <pageMargins left="0.98425196850393704" right="0.59055118110236227" top="0.78740157480314965" bottom="0.59055118110236227" header="0.51181102362204722" footer="0.51181102362204722"/>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10</vt:i4>
      </vt:variant>
    </vt:vector>
  </HeadingPairs>
  <TitlesOfParts>
    <vt:vector size="21" baseType="lpstr">
      <vt:lpstr>躯体（線路）</vt:lpstr>
      <vt:lpstr>躯体（直角）</vt:lpstr>
      <vt:lpstr>Myd（躯体最小）上端</vt:lpstr>
      <vt:lpstr>基礎</vt:lpstr>
      <vt:lpstr>Myd（基礎最小）</vt:lpstr>
      <vt:lpstr>杭の計算</vt:lpstr>
      <vt:lpstr>基本定着長D16</vt:lpstr>
      <vt:lpstr>Ａ４縦</vt:lpstr>
      <vt:lpstr>Ａ３横</vt:lpstr>
      <vt:lpstr>印刷設定</vt:lpstr>
      <vt:lpstr>AS</vt:lpstr>
      <vt:lpstr>Ａ３横!Print_Area</vt:lpstr>
      <vt:lpstr>Ａ４縦!Print_Area</vt:lpstr>
      <vt:lpstr>AS!Print_Area</vt:lpstr>
      <vt:lpstr>'Myd（基礎最小）'!Print_Area</vt:lpstr>
      <vt:lpstr>'Myd（躯体最小）上端'!Print_Area</vt:lpstr>
      <vt:lpstr>基礎!Print_Area</vt:lpstr>
      <vt:lpstr>基本定着長D16!Print_Area</vt:lpstr>
      <vt:lpstr>'躯体（線路）'!Print_Area</vt:lpstr>
      <vt:lpstr>'躯体（直角）'!Print_Area</vt:lpstr>
      <vt:lpstr>杭の計算!Print_Area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内巻きｽﾊﾟｲﾗﾙ筋の照査</dc:title>
  <dc:creator>PC　八島</dc:creator>
  <dc:description/>
  <cp:lastModifiedBy>江本 博之</cp:lastModifiedBy>
  <cp:lastPrinted>2025-10-02T07:49:08Z</cp:lastPrinted>
  <dcterms:created xsi:type="dcterms:W3CDTF">1998-06-23T09:28:30Z</dcterms:created>
  <dcterms:modified xsi:type="dcterms:W3CDTF">2025-10-02T07:57:29Z</dcterms:modified>
</cp:coreProperties>
</file>