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K:\協和土木\22_北海道新幹線_橋脚\03_朝里川温泉Bv_P1橋脚\13_片持ち梁照査\"/>
    </mc:Choice>
  </mc:AlternateContent>
  <xr:revisionPtr revIDLastSave="0" documentId="13_ncr:1_{95DD68F7-CE27-4893-B085-249FC66D1A6E}" xr6:coauthVersionLast="47" xr6:coauthVersionMax="47" xr10:uidLastSave="{00000000-0000-0000-0000-000000000000}"/>
  <bookViews>
    <workbookView xWindow="-120" yWindow="-120" windowWidth="29040" windowHeight="15720" tabRatio="770" activeTab="4" xr2:uid="{00000000-000D-0000-FFFF-FFFF00000000}"/>
  </bookViews>
  <sheets>
    <sheet name="安全性（破壊）の照査" sheetId="45" r:id="rId1"/>
    <sheet name="疲労破壊の照査（曲げ)" sheetId="44" r:id="rId2"/>
    <sheet name="疲労破壊の照査（せん断)" sheetId="46" r:id="rId3"/>
    <sheet name="耐久性の照査" sheetId="49" r:id="rId4"/>
    <sheet name="復旧性の照査" sheetId="48" r:id="rId5"/>
  </sheets>
  <functionGroups builtInGroupCount="19"/>
  <externalReferences>
    <externalReference r:id="rId6"/>
    <externalReference r:id="rId7"/>
  </externalReferences>
  <definedNames>
    <definedName name="_Table1_In1" hidden="1">[1]ｽｲﾍｲ!$C$22</definedName>
    <definedName name="_Table1_Out" hidden="1">[1]ｽｲﾍｲ!$D$22</definedName>
    <definedName name="_Table2" hidden="1">[2]ｽｲﾍｲ!$D$22</definedName>
    <definedName name="_xlnm.Print_Area" localSheetId="0">'安全性（破壊）の照査'!$A$1:$AE$53</definedName>
    <definedName name="_xlnm.Print_Area" localSheetId="3">耐久性の照査!$A$1:$AG$187</definedName>
    <definedName name="_xlnm.Print_Area" localSheetId="2">'疲労破壊の照査（せん断)'!$A$1:$AE$95</definedName>
    <definedName name="_xlnm.Print_Area" localSheetId="1">'疲労破壊の照査（曲げ)'!$A$17:$AG$138</definedName>
    <definedName name="_xlnm.Print_Area" localSheetId="4">復旧性の照査!$A$1:$AE$63</definedName>
    <definedName name="ρf使用">'疲労破壊の照査（曲げ)'!$I$13</definedName>
    <definedName name="ρf破壊" localSheetId="1">'疲労破壊の照査（曲げ)'!$I$14</definedName>
    <definedName name="ρf疲労">'疲労破壊の照査（曲げ)'!$I$15</definedName>
    <definedName name="起点側L1">'疲労破壊の照査（曲げ)'!$C$4</definedName>
    <definedName name="起点側L2">'疲労破壊の照査（曲げ)'!$I$4</definedName>
    <definedName name="起点側スパン">'疲労破壊の照査（曲げ)'!$F$4</definedName>
    <definedName name="軸距a1">'疲労破壊の照査（曲げ)'!$I$8</definedName>
    <definedName name="軸距a2">'疲労破壊の照査（曲げ)'!$I$9</definedName>
    <definedName name="軸重e">'疲労破壊の照査（曲げ)'!$I$11</definedName>
    <definedName name="軸重p">'疲労破壊の照査（曲げ)'!$I$10</definedName>
    <definedName name="車両長" localSheetId="1">'疲労破壊の照査（曲げ)'!$I$7</definedName>
    <definedName name="終点側L1">'疲労破壊の照査（曲げ)'!$C$5</definedName>
    <definedName name="終点側L2">'疲労破壊の照査（曲げ)'!$I$5</definedName>
    <definedName name="終点側スパン">'疲労破壊の照査（曲げ)'!$F$5</definedName>
    <definedName name="抵抗モーメント" hidden="1">[2]ｽｲﾍｲ!$C$22</definedName>
    <definedName name="白紙" hidden="1">[1]ｽｲﾍｲ!$C$22</definedName>
    <definedName name="編成数">'疲労破壊の照査（曲げ)'!$I$12</definedName>
    <definedName name="列車載荷図">'疲労破壊の照査（曲げ)'!$F$81:$AE$89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8" i="44" l="1"/>
  <c r="N115" i="44" l="1"/>
  <c r="AA115" i="44"/>
  <c r="O20" i="46" l="1"/>
  <c r="O19" i="46"/>
  <c r="AQ94" i="44"/>
  <c r="BC94" i="44"/>
  <c r="AU94" i="44"/>
  <c r="S107" i="49" l="1"/>
  <c r="S106" i="49"/>
  <c r="O106" i="49"/>
  <c r="O104" i="49"/>
  <c r="V100" i="49"/>
  <c r="AA99" i="49"/>
  <c r="T96" i="49"/>
  <c r="P96" i="49"/>
  <c r="W95" i="49"/>
  <c r="Y96" i="49" s="1"/>
  <c r="Y99" i="49" s="1"/>
  <c r="AD99" i="49" s="1"/>
  <c r="U90" i="49"/>
  <c r="T102" i="49" s="1"/>
  <c r="R85" i="49"/>
  <c r="J108" i="49" s="1"/>
  <c r="AD84" i="49"/>
  <c r="J107" i="49" s="1"/>
  <c r="O134" i="49" s="1"/>
  <c r="F91" i="44"/>
  <c r="AA144" i="44"/>
  <c r="W144" i="44"/>
  <c r="S144" i="44"/>
  <c r="O144" i="44"/>
  <c r="K144" i="44"/>
  <c r="AY94" i="44"/>
  <c r="AO95" i="44"/>
  <c r="AQ95" i="44"/>
  <c r="BC95" i="44"/>
  <c r="AU95" i="44"/>
  <c r="X106" i="49" l="1"/>
  <c r="S108" i="49" s="1"/>
  <c r="AY95" i="44"/>
  <c r="AD96" i="49"/>
  <c r="R100" i="49" s="1"/>
  <c r="AO96" i="44"/>
  <c r="S104" i="49"/>
  <c r="Z100" i="49"/>
  <c r="BC96" i="44"/>
  <c r="AU96" i="44"/>
  <c r="AQ96" i="44"/>
  <c r="AD100" i="49" l="1"/>
  <c r="W102" i="49" s="1"/>
  <c r="AA101" i="49" s="1"/>
  <c r="K104" i="49" s="1"/>
  <c r="W104" i="49" s="1"/>
  <c r="O107" i="49" s="1"/>
  <c r="Y107" i="49" s="1"/>
  <c r="J109" i="49" s="1"/>
  <c r="AY96" i="44"/>
  <c r="AO97" i="44"/>
  <c r="AQ97" i="44"/>
  <c r="BC97" i="44"/>
  <c r="AU97" i="44"/>
  <c r="U134" i="49" l="1"/>
  <c r="S134" i="49" s="1"/>
  <c r="AY97" i="44"/>
  <c r="AO98" i="44"/>
  <c r="AU98" i="44"/>
  <c r="BC98" i="44"/>
  <c r="AQ98" i="44"/>
  <c r="U135" i="49" l="1"/>
  <c r="S135" i="49" s="1"/>
  <c r="AY98" i="44"/>
  <c r="AO99" i="44"/>
  <c r="AQ99" i="44"/>
  <c r="BC99" i="44"/>
  <c r="AU99" i="44"/>
  <c r="U136" i="49" l="1"/>
  <c r="S136" i="49" s="1"/>
  <c r="AY99" i="44"/>
  <c r="AO100" i="44"/>
  <c r="AU100" i="44"/>
  <c r="AQ100" i="44"/>
  <c r="BC100" i="44"/>
  <c r="AY100" i="44" l="1"/>
  <c r="AO101" i="44"/>
  <c r="AU101" i="44"/>
  <c r="BC101" i="44"/>
  <c r="AQ101" i="44"/>
  <c r="AY101" i="44" l="1"/>
  <c r="AO102" i="44"/>
  <c r="AQ102" i="44"/>
  <c r="AU102" i="44"/>
  <c r="BC102" i="44"/>
  <c r="AY102" i="44" l="1"/>
  <c r="AO103" i="44"/>
  <c r="BC103" i="44"/>
  <c r="AU103" i="44"/>
  <c r="AQ103" i="44"/>
  <c r="AY103" i="44" l="1"/>
  <c r="AO104" i="44"/>
  <c r="AU104" i="44"/>
  <c r="AQ104" i="44"/>
  <c r="BC104" i="44"/>
  <c r="AY104" i="44" l="1"/>
  <c r="AO105" i="44"/>
  <c r="AQ105" i="44"/>
  <c r="AU105" i="44"/>
  <c r="BC105" i="44"/>
  <c r="AY105" i="44" l="1"/>
  <c r="AO106" i="44"/>
  <c r="BC106" i="44"/>
  <c r="AQ106" i="44"/>
  <c r="AU106" i="44"/>
  <c r="AY106" i="44" l="1"/>
  <c r="AO107" i="44"/>
  <c r="AQ107" i="44"/>
  <c r="AU107" i="44"/>
  <c r="BC107" i="44"/>
  <c r="AY107" i="44" l="1"/>
  <c r="AO108" i="44"/>
  <c r="AQ108" i="44"/>
  <c r="BC108" i="44"/>
  <c r="AU108" i="44"/>
  <c r="AY108" i="44" l="1"/>
  <c r="AO109" i="44"/>
  <c r="AU109" i="44"/>
  <c r="AQ109" i="44"/>
  <c r="BC109" i="44"/>
  <c r="AY109" i="44" l="1"/>
  <c r="AO110" i="44"/>
  <c r="BC110" i="44"/>
  <c r="AU110" i="44"/>
  <c r="AQ110" i="44"/>
  <c r="AY110" i="44" l="1"/>
  <c r="AO111" i="44"/>
  <c r="AQ111" i="44"/>
  <c r="BC111" i="44"/>
  <c r="AU111" i="44"/>
  <c r="AY111" i="44" l="1"/>
  <c r="AO112" i="44"/>
  <c r="AQ112" i="44"/>
  <c r="AU112" i="44"/>
  <c r="BC112" i="44"/>
  <c r="AY112" i="44" l="1"/>
  <c r="AQ93" i="44" l="1"/>
  <c r="AY93" i="44" s="1"/>
  <c r="AY113" i="44" l="1"/>
  <c r="BG94" i="44" s="1"/>
  <c r="BG95" i="44" l="1"/>
  <c r="BG96" i="44"/>
  <c r="BG97" i="44"/>
  <c r="BG98" i="44"/>
  <c r="BG99" i="44"/>
  <c r="BG100" i="44"/>
  <c r="BG101" i="44"/>
  <c r="BG102" i="44"/>
  <c r="BG103" i="44"/>
  <c r="BG104" i="44"/>
  <c r="BG105" i="44"/>
  <c r="BG106" i="44"/>
  <c r="BG107" i="44"/>
  <c r="BG108" i="44"/>
  <c r="BG109" i="44"/>
  <c r="BG110" i="44"/>
  <c r="BG111" i="44"/>
  <c r="BG112" i="44"/>
  <c r="BG113" i="44" l="1"/>
</calcChain>
</file>

<file path=xl/sharedStrings.xml><?xml version="1.0" encoding="utf-8"?>
<sst xmlns="http://schemas.openxmlformats.org/spreadsheetml/2006/main" count="829" uniqueCount="402">
  <si>
    <t>x</t>
    <phoneticPr fontId="2"/>
  </si>
  <si>
    <t>(</t>
    <phoneticPr fontId="2"/>
  </si>
  <si>
    <t>+</t>
    <phoneticPr fontId="2"/>
  </si>
  <si>
    <t>)</t>
    <phoneticPr fontId="2"/>
  </si>
  <si>
    <t>／</t>
    <phoneticPr fontId="2"/>
  </si>
  <si>
    <t>m</t>
    <phoneticPr fontId="2"/>
  </si>
  <si>
    <t>=</t>
    <phoneticPr fontId="2"/>
  </si>
  <si>
    <t>起点側</t>
    <rPh sb="0" eb="2">
      <t>キテン</t>
    </rPh>
    <rPh sb="2" eb="3">
      <t>ガワ</t>
    </rPh>
    <phoneticPr fontId="2"/>
  </si>
  <si>
    <t>終点側</t>
    <rPh sb="0" eb="2">
      <t>シュウテン</t>
    </rPh>
    <rPh sb="2" eb="3">
      <t>ガワ</t>
    </rPh>
    <phoneticPr fontId="2"/>
  </si>
  <si>
    <t>-</t>
    <phoneticPr fontId="2"/>
  </si>
  <si>
    <t>使用性</t>
    <rPh sb="0" eb="2">
      <t>シヨウ</t>
    </rPh>
    <rPh sb="2" eb="3">
      <t>セイ</t>
    </rPh>
    <phoneticPr fontId="2"/>
  </si>
  <si>
    <t>L1</t>
    <phoneticPr fontId="2"/>
  </si>
  <si>
    <t>L2</t>
    <phoneticPr fontId="2"/>
  </si>
  <si>
    <t>１両の長さ</t>
    <rPh sb="1" eb="2">
      <t>リョウ</t>
    </rPh>
    <rPh sb="3" eb="4">
      <t>ナガ</t>
    </rPh>
    <phoneticPr fontId="2"/>
  </si>
  <si>
    <t>m</t>
    <phoneticPr fontId="2"/>
  </si>
  <si>
    <t>軸距</t>
    <rPh sb="0" eb="1">
      <t>ジク</t>
    </rPh>
    <rPh sb="1" eb="2">
      <t>キョ</t>
    </rPh>
    <phoneticPr fontId="2"/>
  </si>
  <si>
    <t>a1 連結部</t>
    <rPh sb="3" eb="5">
      <t>レンケツ</t>
    </rPh>
    <rPh sb="5" eb="6">
      <t>ブ</t>
    </rPh>
    <phoneticPr fontId="2"/>
  </si>
  <si>
    <t>a2</t>
    <phoneticPr fontId="2"/>
  </si>
  <si>
    <t>軸重</t>
    <rPh sb="0" eb="1">
      <t>ジク</t>
    </rPh>
    <rPh sb="1" eb="2">
      <t>シゲル</t>
    </rPh>
    <phoneticPr fontId="2"/>
  </si>
  <si>
    <t>地震以外</t>
    <rPh sb="0" eb="2">
      <t>ジシン</t>
    </rPh>
    <rPh sb="2" eb="4">
      <t>イガイ</t>
    </rPh>
    <phoneticPr fontId="2"/>
  </si>
  <si>
    <t>kN</t>
    <phoneticPr fontId="2"/>
  </si>
  <si>
    <t>地震</t>
    <rPh sb="0" eb="2">
      <t>ジシン</t>
    </rPh>
    <phoneticPr fontId="2"/>
  </si>
  <si>
    <t>kN/m</t>
    <phoneticPr fontId="2"/>
  </si>
  <si>
    <t>編成数</t>
    <rPh sb="0" eb="2">
      <t>ヘンセイ</t>
    </rPh>
    <rPh sb="2" eb="3">
      <t>スウ</t>
    </rPh>
    <phoneticPr fontId="2"/>
  </si>
  <si>
    <t>荷重修正係数</t>
    <rPh sb="0" eb="2">
      <t>カジュウ</t>
    </rPh>
    <rPh sb="2" eb="4">
      <t>シュウセイ</t>
    </rPh>
    <rPh sb="4" eb="6">
      <t>ケイスウ</t>
    </rPh>
    <phoneticPr fontId="2"/>
  </si>
  <si>
    <t>安全性(破壊)</t>
    <rPh sb="0" eb="3">
      <t>アンゼンセイ</t>
    </rPh>
    <rPh sb="4" eb="6">
      <t>ハカイ</t>
    </rPh>
    <phoneticPr fontId="2"/>
  </si>
  <si>
    <t>安全性(疲労)</t>
    <rPh sb="0" eb="3">
      <t>アンゼンセイ</t>
    </rPh>
    <rPh sb="4" eb="6">
      <t>ヒロウ</t>
    </rPh>
    <phoneticPr fontId="2"/>
  </si>
  <si>
    <t>桁長(m)</t>
    <rPh sb="0" eb="1">
      <t>ケタ</t>
    </rPh>
    <rPh sb="1" eb="2">
      <t>ナガ</t>
    </rPh>
    <phoneticPr fontId="2"/>
  </si>
  <si>
    <t>スパン長</t>
    <rPh sb="3" eb="4">
      <t>ナガ</t>
    </rPh>
    <phoneticPr fontId="2"/>
  </si>
  <si>
    <t>列車本数</t>
    <rPh sb="0" eb="2">
      <t>レッシャ</t>
    </rPh>
    <rPh sb="2" eb="4">
      <t>ホンスウ</t>
    </rPh>
    <phoneticPr fontId="2"/>
  </si>
  <si>
    <t>・</t>
    <phoneticPr fontId="2"/>
  </si>
  <si>
    <t>：</t>
    <phoneticPr fontId="2"/>
  </si>
  <si>
    <t>(1)</t>
    <phoneticPr fontId="2"/>
  </si>
  <si>
    <t>曲げモーメントに対する照査</t>
    <rPh sb="0" eb="1">
      <t>マ</t>
    </rPh>
    <rPh sb="8" eb="9">
      <t>タイ</t>
    </rPh>
    <rPh sb="11" eb="13">
      <t>ショウサ</t>
    </rPh>
    <phoneticPr fontId="2"/>
  </si>
  <si>
    <t>曲げモーメントを受ける部材の疲労に関する照査は、設計変動応力度 σsrd を</t>
    <rPh sb="0" eb="1">
      <t>マ</t>
    </rPh>
    <rPh sb="8" eb="9">
      <t>ウ</t>
    </rPh>
    <rPh sb="11" eb="13">
      <t>ブザイ</t>
    </rPh>
    <rPh sb="14" eb="16">
      <t>ヒロウ</t>
    </rPh>
    <rPh sb="17" eb="18">
      <t>カン</t>
    </rPh>
    <rPh sb="20" eb="22">
      <t>ショウサ</t>
    </rPh>
    <rPh sb="24" eb="26">
      <t>セッケイ</t>
    </rPh>
    <rPh sb="26" eb="28">
      <t>ヘンドウ</t>
    </rPh>
    <rPh sb="28" eb="30">
      <t>オウリョク</t>
    </rPh>
    <rPh sb="30" eb="31">
      <t>ド</t>
    </rPh>
    <phoneticPr fontId="2"/>
  </si>
  <si>
    <t>設計応答値、設計疲労強度 frd を部材係数で除した値を設計限界値とし、次式</t>
    <rPh sb="0" eb="2">
      <t>セッケイ</t>
    </rPh>
    <rPh sb="2" eb="4">
      <t>オウトウ</t>
    </rPh>
    <rPh sb="4" eb="5">
      <t>チ</t>
    </rPh>
    <rPh sb="6" eb="8">
      <t>セッケイ</t>
    </rPh>
    <rPh sb="8" eb="10">
      <t>ヒロウ</t>
    </rPh>
    <rPh sb="10" eb="12">
      <t>キョウド</t>
    </rPh>
    <rPh sb="18" eb="20">
      <t>ブザイ</t>
    </rPh>
    <rPh sb="20" eb="22">
      <t>ケイスウ</t>
    </rPh>
    <rPh sb="23" eb="24">
      <t>ジョ</t>
    </rPh>
    <rPh sb="26" eb="27">
      <t>アタイ</t>
    </rPh>
    <rPh sb="28" eb="30">
      <t>セッケイ</t>
    </rPh>
    <rPh sb="30" eb="32">
      <t>ゲンカイ</t>
    </rPh>
    <rPh sb="32" eb="33">
      <t>チ</t>
    </rPh>
    <rPh sb="36" eb="38">
      <t>ジシキ</t>
    </rPh>
    <phoneticPr fontId="2"/>
  </si>
  <si>
    <t>により行う。</t>
    <rPh sb="3" eb="4">
      <t>オコナ</t>
    </rPh>
    <phoneticPr fontId="2"/>
  </si>
  <si>
    <t>γi</t>
    <phoneticPr fontId="2"/>
  </si>
  <si>
    <t>IRd</t>
    <phoneticPr fontId="2"/>
  </si>
  <si>
    <t>ILd</t>
    <phoneticPr fontId="2"/>
  </si>
  <si>
    <t>≦</t>
    <phoneticPr fontId="2"/>
  </si>
  <si>
    <t>ここに、</t>
    <phoneticPr fontId="2"/>
  </si>
  <si>
    <t>構造物係数</t>
    <rPh sb="0" eb="2">
      <t>コウゾウ</t>
    </rPh>
    <rPh sb="2" eb="3">
      <t>ブツ</t>
    </rPh>
    <rPh sb="3" eb="5">
      <t>ケイスウ</t>
    </rPh>
    <phoneticPr fontId="2"/>
  </si>
  <si>
    <t>(=</t>
    <phoneticPr fontId="2"/>
  </si>
  <si>
    <t>設計応答値</t>
    <rPh sb="0" eb="2">
      <t>セッケイ</t>
    </rPh>
    <rPh sb="2" eb="4">
      <t>オウトウ</t>
    </rPh>
    <rPh sb="4" eb="5">
      <t>チ</t>
    </rPh>
    <phoneticPr fontId="2"/>
  </si>
  <si>
    <t>σsrd</t>
    <phoneticPr fontId="2"/>
  </si>
  <si>
    <t>設計限界値</t>
    <rPh sb="0" eb="2">
      <t>セッケイ</t>
    </rPh>
    <rPh sb="2" eb="4">
      <t>ゲンカイ</t>
    </rPh>
    <rPh sb="4" eb="5">
      <t>チ</t>
    </rPh>
    <phoneticPr fontId="2"/>
  </si>
  <si>
    <t>frd／γb</t>
    <phoneticPr fontId="2"/>
  </si>
  <si>
    <t>γb</t>
    <phoneticPr fontId="2"/>
  </si>
  <si>
    <t>部材係数</t>
    <rPh sb="0" eb="2">
      <t>ブザイ</t>
    </rPh>
    <rPh sb="2" eb="4">
      <t>ケイスウ</t>
    </rPh>
    <phoneticPr fontId="2"/>
  </si>
  <si>
    <t>1)</t>
    <phoneticPr fontId="2"/>
  </si>
  <si>
    <t>A 列車荷重</t>
    <rPh sb="2" eb="3">
      <t>レツ</t>
    </rPh>
    <rPh sb="3" eb="4">
      <t>シャ</t>
    </rPh>
    <rPh sb="4" eb="6">
      <t>カジュウ</t>
    </rPh>
    <phoneticPr fontId="2"/>
  </si>
  <si>
    <t>旅客列車</t>
    <rPh sb="0" eb="2">
      <t>リョキャク</t>
    </rPh>
    <rPh sb="2" eb="4">
      <t>レッシャ</t>
    </rPh>
    <phoneticPr fontId="2"/>
  </si>
  <si>
    <t>→</t>
    <phoneticPr fontId="2"/>
  </si>
  <si>
    <t xml:space="preserve"> 本/日</t>
    <rPh sb="1" eb="2">
      <t>ホン</t>
    </rPh>
    <rPh sb="3" eb="4">
      <t>ニチ</t>
    </rPh>
    <phoneticPr fontId="2"/>
  </si>
  <si>
    <t>B 列車荷重</t>
    <rPh sb="2" eb="3">
      <t>レツ</t>
    </rPh>
    <rPh sb="3" eb="4">
      <t>シャ</t>
    </rPh>
    <rPh sb="4" eb="6">
      <t>カジュウ</t>
    </rPh>
    <phoneticPr fontId="2"/>
  </si>
  <si>
    <t>貨物列車</t>
    <rPh sb="0" eb="2">
      <t>カモツ</t>
    </rPh>
    <rPh sb="2" eb="4">
      <t>レッシャ</t>
    </rPh>
    <phoneticPr fontId="2"/>
  </si>
  <si>
    <t>設計変動応力度 σsrd と 最小応力度 σmin の算定</t>
    <rPh sb="0" eb="2">
      <t>セッケイ</t>
    </rPh>
    <rPh sb="2" eb="4">
      <t>ヘンドウ</t>
    </rPh>
    <rPh sb="4" eb="6">
      <t>オウリョク</t>
    </rPh>
    <rPh sb="6" eb="7">
      <t>ド</t>
    </rPh>
    <rPh sb="15" eb="17">
      <t>サイショウ</t>
    </rPh>
    <rPh sb="17" eb="19">
      <t>オウリョク</t>
    </rPh>
    <rPh sb="19" eb="20">
      <t>ド</t>
    </rPh>
    <rPh sb="27" eb="29">
      <t>サンテイ</t>
    </rPh>
    <phoneticPr fontId="2"/>
  </si>
  <si>
    <t>標準列車荷重による鉄筋の設計変動応力度 σsrd および 最小応力度 σmin を</t>
    <rPh sb="0" eb="2">
      <t>ヒョウジュン</t>
    </rPh>
    <rPh sb="2" eb="4">
      <t>レッシャ</t>
    </rPh>
    <rPh sb="4" eb="6">
      <t>カジュウ</t>
    </rPh>
    <rPh sb="9" eb="11">
      <t>テッキン</t>
    </rPh>
    <rPh sb="12" eb="14">
      <t>セッケイ</t>
    </rPh>
    <rPh sb="14" eb="16">
      <t>ヘンドウ</t>
    </rPh>
    <rPh sb="16" eb="18">
      <t>オウリョク</t>
    </rPh>
    <rPh sb="18" eb="19">
      <t>ド</t>
    </rPh>
    <phoneticPr fontId="2"/>
  </si>
  <si>
    <t>算定する。 鉄筋の最小応力度 σmin は、鉄筋に生じる最小引張応力度 または</t>
    <rPh sb="6" eb="8">
      <t>テッキン</t>
    </rPh>
    <rPh sb="9" eb="11">
      <t>サイショウ</t>
    </rPh>
    <rPh sb="11" eb="13">
      <t>オウリョク</t>
    </rPh>
    <rPh sb="13" eb="14">
      <t>ド</t>
    </rPh>
    <rPh sb="22" eb="24">
      <t>テッキン</t>
    </rPh>
    <rPh sb="25" eb="26">
      <t>ショウ</t>
    </rPh>
    <rPh sb="28" eb="30">
      <t>サイショウ</t>
    </rPh>
    <rPh sb="30" eb="31">
      <t>ヒ</t>
    </rPh>
    <rPh sb="31" eb="32">
      <t>パ</t>
    </rPh>
    <rPh sb="32" eb="34">
      <t>オウリョク</t>
    </rPh>
    <rPh sb="34" eb="35">
      <t>ド</t>
    </rPh>
    <phoneticPr fontId="2"/>
  </si>
  <si>
    <t>永久作用による設計応力度で、圧縮が生じる場合には 0 とする。</t>
    <rPh sb="0" eb="2">
      <t>エイキュウ</t>
    </rPh>
    <rPh sb="2" eb="4">
      <t>サヨウ</t>
    </rPh>
    <rPh sb="7" eb="9">
      <t>セッケイ</t>
    </rPh>
    <rPh sb="9" eb="11">
      <t>オウリョク</t>
    </rPh>
    <rPh sb="11" eb="12">
      <t>ド</t>
    </rPh>
    <rPh sb="14" eb="16">
      <t>アッシュク</t>
    </rPh>
    <rPh sb="17" eb="18">
      <t>ショウ</t>
    </rPh>
    <rPh sb="20" eb="22">
      <t>バアイ</t>
    </rPh>
    <phoneticPr fontId="2"/>
  </si>
  <si>
    <t>200万回 引張疲労強度 fsr200 の算定</t>
    <rPh sb="3" eb="5">
      <t>マンカイ</t>
    </rPh>
    <rPh sb="6" eb="7">
      <t>ヒ</t>
    </rPh>
    <rPh sb="7" eb="8">
      <t>パ</t>
    </rPh>
    <rPh sb="8" eb="10">
      <t>ヒロウ</t>
    </rPh>
    <rPh sb="10" eb="12">
      <t>キョウド</t>
    </rPh>
    <rPh sb="21" eb="23">
      <t>サンテイ</t>
    </rPh>
    <phoneticPr fontId="2"/>
  </si>
  <si>
    <r>
      <t>照査断面に配置した鉄筋の 200万回強度（N/mm</t>
    </r>
    <r>
      <rPr>
        <vertAlign val="superscript"/>
        <sz val="10"/>
        <rFont val="ＭＳ 明朝"/>
        <family val="1"/>
        <charset val="128"/>
      </rPr>
      <t>2</t>
    </r>
    <r>
      <rPr>
        <sz val="10"/>
        <rFont val="ＭＳ 明朝"/>
        <family val="1"/>
        <charset val="128"/>
      </rPr>
      <t>）を次式により求める。</t>
    </r>
    <rPh sb="0" eb="2">
      <t>ショウサ</t>
    </rPh>
    <rPh sb="2" eb="4">
      <t>ダンメン</t>
    </rPh>
    <rPh sb="5" eb="7">
      <t>ハイチ</t>
    </rPh>
    <rPh sb="9" eb="11">
      <t>テッキン</t>
    </rPh>
    <rPh sb="16" eb="18">
      <t>マンカイ</t>
    </rPh>
    <rPh sb="18" eb="20">
      <t>キョウド</t>
    </rPh>
    <rPh sb="28" eb="30">
      <t>ジシキ</t>
    </rPh>
    <rPh sb="33" eb="34">
      <t>モト</t>
    </rPh>
    <phoneticPr fontId="2"/>
  </si>
  <si>
    <t>fsr200</t>
    <phoneticPr fontId="2"/>
  </si>
  <si>
    <t>γ1</t>
    <phoneticPr fontId="2"/>
  </si>
  <si>
    <t>αr</t>
    <phoneticPr fontId="2"/>
  </si>
  <si>
    <t>ｌ</t>
    <phoneticPr fontId="2"/>
  </si>
  <si>
    <t>σmin</t>
    <phoneticPr fontId="2"/>
  </si>
  <si>
    <t>γs</t>
    <phoneticPr fontId="2"/>
  </si>
  <si>
    <r>
      <t>)</t>
    </r>
    <r>
      <rPr>
        <vertAlign val="superscript"/>
        <sz val="10"/>
        <rFont val="ＭＳ 明朝"/>
        <family val="1"/>
        <charset val="128"/>
      </rPr>
      <t>k</t>
    </r>
    <phoneticPr fontId="2"/>
  </si>
  <si>
    <t>fsuk</t>
    <phoneticPr fontId="2"/>
  </si>
  <si>
    <t>φ</t>
    <phoneticPr fontId="2"/>
  </si>
  <si>
    <t>k</t>
    <phoneticPr fontId="2"/>
  </si>
  <si>
    <r>
      <t>鉄筋の引張最小応力度（N/mm</t>
    </r>
    <r>
      <rPr>
        <vertAlign val="superscript"/>
        <sz val="10"/>
        <rFont val="ＭＳ 明朝"/>
        <family val="1"/>
        <charset val="128"/>
      </rPr>
      <t>2</t>
    </r>
    <r>
      <rPr>
        <sz val="10"/>
        <rFont val="ＭＳ 明朝"/>
        <family val="1"/>
        <charset val="128"/>
      </rPr>
      <t>）で圧縮を受ける場合は</t>
    </r>
    <rPh sb="0" eb="2">
      <t>テッキン</t>
    </rPh>
    <rPh sb="3" eb="4">
      <t>ヒ</t>
    </rPh>
    <rPh sb="4" eb="5">
      <t>パ</t>
    </rPh>
    <rPh sb="5" eb="7">
      <t>サイショウ</t>
    </rPh>
    <rPh sb="7" eb="9">
      <t>オウリョク</t>
    </rPh>
    <rPh sb="9" eb="10">
      <t>ド</t>
    </rPh>
    <rPh sb="18" eb="20">
      <t>アッシュク</t>
    </rPh>
    <rPh sb="21" eb="22">
      <t>ウ</t>
    </rPh>
    <rPh sb="24" eb="25">
      <t>バ</t>
    </rPh>
    <rPh sb="25" eb="26">
      <t>ア</t>
    </rPh>
    <phoneticPr fontId="2"/>
  </si>
  <si>
    <t>0 とする。</t>
    <phoneticPr fontId="2"/>
  </si>
  <si>
    <r>
      <t>鉄筋の引張強度の特性値（N/mm</t>
    </r>
    <r>
      <rPr>
        <vertAlign val="superscript"/>
        <sz val="10"/>
        <rFont val="ＭＳ 明朝"/>
        <family val="1"/>
        <charset val="128"/>
      </rPr>
      <t>2</t>
    </r>
    <r>
      <rPr>
        <sz val="10"/>
        <rFont val="ＭＳ 明朝"/>
        <family val="1"/>
        <charset val="128"/>
      </rPr>
      <t>）</t>
    </r>
    <rPh sb="0" eb="2">
      <t>テッキン</t>
    </rPh>
    <rPh sb="3" eb="4">
      <t>ヒ</t>
    </rPh>
    <rPh sb="4" eb="5">
      <t>パ</t>
    </rPh>
    <rPh sb="5" eb="7">
      <t>キョウド</t>
    </rPh>
    <rPh sb="8" eb="10">
      <t>トクセイ</t>
    </rPh>
    <rPh sb="10" eb="11">
      <t>チ</t>
    </rPh>
    <phoneticPr fontId="2"/>
  </si>
  <si>
    <t>鉄筋の継手、曲げ加工による低減係数（圧接：0.7、</t>
    <rPh sb="0" eb="2">
      <t>テッキン</t>
    </rPh>
    <rPh sb="3" eb="4">
      <t>ツ</t>
    </rPh>
    <rPh sb="4" eb="5">
      <t>テ</t>
    </rPh>
    <rPh sb="6" eb="7">
      <t>マ</t>
    </rPh>
    <rPh sb="8" eb="10">
      <t>カコウ</t>
    </rPh>
    <rPh sb="13" eb="15">
      <t>テイゲン</t>
    </rPh>
    <rPh sb="15" eb="17">
      <t>ケイスウ</t>
    </rPh>
    <rPh sb="18" eb="19">
      <t>アツ</t>
    </rPh>
    <rPh sb="19" eb="20">
      <t>セツ</t>
    </rPh>
    <phoneticPr fontId="2"/>
  </si>
  <si>
    <t>曲げ加工：0.65）</t>
    <rPh sb="0" eb="1">
      <t>マ</t>
    </rPh>
    <rPh sb="2" eb="4">
      <t>カコウ</t>
    </rPh>
    <phoneticPr fontId="2"/>
  </si>
  <si>
    <t>鉄筋の材料係数</t>
    <rPh sb="0" eb="2">
      <t>テッキン</t>
    </rPh>
    <rPh sb="3" eb="5">
      <t>ザイリョウ</t>
    </rPh>
    <rPh sb="5" eb="7">
      <t>ケイスウ</t>
    </rPh>
    <phoneticPr fontId="2"/>
  </si>
  <si>
    <t>照査の対象とする鉄筋の直径 (mm)</t>
    <rPh sb="0" eb="2">
      <t>ショウサ</t>
    </rPh>
    <rPh sb="3" eb="5">
      <t>タイショウ</t>
    </rPh>
    <rPh sb="8" eb="10">
      <t>テッキン</t>
    </rPh>
    <rPh sb="11" eb="13">
      <t>チョッケイ</t>
    </rPh>
    <phoneticPr fontId="2"/>
  </si>
  <si>
    <t>Ｓ－Ｎ線図の係数の選択</t>
    <rPh sb="3" eb="4">
      <t>セン</t>
    </rPh>
    <rPh sb="4" eb="5">
      <t>ズ</t>
    </rPh>
    <rPh sb="6" eb="8">
      <t>ケイスウ</t>
    </rPh>
    <rPh sb="9" eb="11">
      <t>センタク</t>
    </rPh>
    <phoneticPr fontId="2"/>
  </si>
  <si>
    <t>σsrd と fsr200 の大小関係により、Ｓ－Ｎ線図の係数を下表に従い選択する。</t>
    <rPh sb="15" eb="17">
      <t>ダイショウ</t>
    </rPh>
    <rPh sb="17" eb="19">
      <t>カンケイ</t>
    </rPh>
    <rPh sb="26" eb="28">
      <t>センズ</t>
    </rPh>
    <rPh sb="29" eb="31">
      <t>ケイスウ</t>
    </rPh>
    <rPh sb="32" eb="34">
      <t>カヒョウ</t>
    </rPh>
    <rPh sb="35" eb="36">
      <t>シタガ</t>
    </rPh>
    <rPh sb="37" eb="39">
      <t>センタク</t>
    </rPh>
    <phoneticPr fontId="2"/>
  </si>
  <si>
    <t>Ｓ－Ｎ線
パラメータ</t>
    <rPh sb="3" eb="4">
      <t>セン</t>
    </rPh>
    <phoneticPr fontId="2"/>
  </si>
  <si>
    <t>異　形　鉄　筋</t>
    <rPh sb="0" eb="1">
      <t>イ</t>
    </rPh>
    <rPh sb="2" eb="3">
      <t>ケイ</t>
    </rPh>
    <rPh sb="4" eb="5">
      <t>テツ</t>
    </rPh>
    <rPh sb="6" eb="7">
      <t>スジ</t>
    </rPh>
    <phoneticPr fontId="2"/>
  </si>
  <si>
    <t>γi･σsrd/(fsr200/γb)≦1.0</t>
    <phoneticPr fontId="2"/>
  </si>
  <si>
    <r>
      <t>α</t>
    </r>
    <r>
      <rPr>
        <vertAlign val="superscript"/>
        <sz val="10"/>
        <rFont val="ＭＳ 明朝"/>
        <family val="1"/>
        <charset val="128"/>
      </rPr>
      <t>r</t>
    </r>
    <phoneticPr fontId="2"/>
  </si>
  <si>
    <t>総等価繰返し回数の算定</t>
    <rPh sb="0" eb="1">
      <t>ソウ</t>
    </rPh>
    <rPh sb="1" eb="3">
      <t>トウカ</t>
    </rPh>
    <rPh sb="3" eb="4">
      <t>ク</t>
    </rPh>
    <rPh sb="4" eb="5">
      <t>カエ</t>
    </rPh>
    <rPh sb="6" eb="8">
      <t>カイスウ</t>
    </rPh>
    <rPh sb="9" eb="11">
      <t>サンテイ</t>
    </rPh>
    <phoneticPr fontId="2"/>
  </si>
  <si>
    <t>標準列車荷重換算の総等価繰返し回数 ΣN を以下により算定する。</t>
    <rPh sb="0" eb="2">
      <t>ヒョウジュン</t>
    </rPh>
    <rPh sb="2" eb="4">
      <t>レッシャ</t>
    </rPh>
    <rPh sb="4" eb="6">
      <t>カジュウ</t>
    </rPh>
    <rPh sb="6" eb="8">
      <t>カンサン</t>
    </rPh>
    <rPh sb="9" eb="10">
      <t>ソウ</t>
    </rPh>
    <rPh sb="10" eb="12">
      <t>トウカ</t>
    </rPh>
    <rPh sb="12" eb="13">
      <t>ク</t>
    </rPh>
    <rPh sb="13" eb="14">
      <t>カエ</t>
    </rPh>
    <rPh sb="15" eb="17">
      <t>カイスウ</t>
    </rPh>
    <rPh sb="22" eb="24">
      <t>イカ</t>
    </rPh>
    <rPh sb="27" eb="29">
      <t>サンテイ</t>
    </rPh>
    <phoneticPr fontId="2"/>
  </si>
  <si>
    <t>列車荷重による 桁反力の計算</t>
    <rPh sb="0" eb="2">
      <t>レッシャ</t>
    </rPh>
    <rPh sb="2" eb="4">
      <t>カジュウ</t>
    </rPh>
    <rPh sb="8" eb="9">
      <t>ケタ</t>
    </rPh>
    <rPh sb="9" eb="10">
      <t>ハン</t>
    </rPh>
    <rPh sb="10" eb="11">
      <t>リョク</t>
    </rPh>
    <rPh sb="12" eb="14">
      <t>ケイサン</t>
    </rPh>
    <phoneticPr fontId="2"/>
  </si>
  <si>
    <t>2)</t>
    <phoneticPr fontId="2"/>
  </si>
  <si>
    <t>3)</t>
    <phoneticPr fontId="2"/>
  </si>
  <si>
    <t>等価繰り返し回数の算定</t>
    <rPh sb="0" eb="2">
      <t>トウカ</t>
    </rPh>
    <rPh sb="2" eb="3">
      <t>ク</t>
    </rPh>
    <rPh sb="4" eb="5">
      <t>カエ</t>
    </rPh>
    <rPh sb="6" eb="8">
      <t>カイスウ</t>
    </rPh>
    <rPh sb="9" eb="11">
      <t>サンテイ</t>
    </rPh>
    <phoneticPr fontId="2"/>
  </si>
  <si>
    <t>照査位置での発生断面力の推移図より 各山から次式により等価繰り返し回数Ｎを求める</t>
    <rPh sb="0" eb="2">
      <t>ショウサ</t>
    </rPh>
    <rPh sb="2" eb="4">
      <t>イチ</t>
    </rPh>
    <rPh sb="6" eb="8">
      <t>ハッセイ</t>
    </rPh>
    <rPh sb="8" eb="10">
      <t>ダンメン</t>
    </rPh>
    <rPh sb="10" eb="11">
      <t>チカラ</t>
    </rPh>
    <rPh sb="12" eb="14">
      <t>スイイ</t>
    </rPh>
    <rPh sb="14" eb="15">
      <t>ズ</t>
    </rPh>
    <rPh sb="18" eb="19">
      <t>カク</t>
    </rPh>
    <rPh sb="19" eb="20">
      <t>ヤマ</t>
    </rPh>
    <rPh sb="22" eb="23">
      <t>ツギ</t>
    </rPh>
    <rPh sb="23" eb="24">
      <t>シキ</t>
    </rPh>
    <rPh sb="27" eb="29">
      <t>トウカ</t>
    </rPh>
    <rPh sb="29" eb="30">
      <t>ク</t>
    </rPh>
    <rPh sb="31" eb="32">
      <t>カエ</t>
    </rPh>
    <rPh sb="33" eb="35">
      <t>カイスウ</t>
    </rPh>
    <rPh sb="37" eb="38">
      <t>モト</t>
    </rPh>
    <phoneticPr fontId="2"/>
  </si>
  <si>
    <t>N</t>
    <phoneticPr fontId="2"/>
  </si>
  <si>
    <t>Σ</t>
    <phoneticPr fontId="2"/>
  </si>
  <si>
    <t>ni</t>
    <phoneticPr fontId="2"/>
  </si>
  <si>
    <t>･(</t>
    <phoneticPr fontId="2"/>
  </si>
  <si>
    <t>Rri</t>
    <phoneticPr fontId="2"/>
  </si>
  <si>
    <r>
      <t>）</t>
    </r>
    <r>
      <rPr>
        <vertAlign val="superscript"/>
        <sz val="10"/>
        <rFont val="ＭＳ 明朝"/>
        <family val="1"/>
        <charset val="128"/>
      </rPr>
      <t>1/k</t>
    </r>
    <phoneticPr fontId="2"/>
  </si>
  <si>
    <t>k = 0.12</t>
    <phoneticPr fontId="2"/>
  </si>
  <si>
    <t>Rrd</t>
    <phoneticPr fontId="2"/>
  </si>
  <si>
    <t>i=1</t>
    <phoneticPr fontId="2"/>
  </si>
  <si>
    <t>Rrd'</t>
    <phoneticPr fontId="2"/>
  </si>
  <si>
    <t>Rri=
Rrd-Rri'</t>
    <phoneticPr fontId="2"/>
  </si>
  <si>
    <t>1編成当り
の回数</t>
    <rPh sb="1" eb="3">
      <t>ヘンセイ</t>
    </rPh>
    <rPh sb="3" eb="4">
      <t>アタ</t>
    </rPh>
    <rPh sb="7" eb="9">
      <t>カイスウ</t>
    </rPh>
    <phoneticPr fontId="2"/>
  </si>
  <si>
    <t>合計Ｎ＝</t>
    <rPh sb="0" eb="2">
      <t>ゴウケイ</t>
    </rPh>
    <phoneticPr fontId="2"/>
  </si>
  <si>
    <t>設計引張疲労強度 frd の算定</t>
    <rPh sb="0" eb="2">
      <t>セッケイ</t>
    </rPh>
    <rPh sb="2" eb="3">
      <t>ヒ</t>
    </rPh>
    <rPh sb="3" eb="4">
      <t>パ</t>
    </rPh>
    <rPh sb="4" eb="6">
      <t>ヒロウ</t>
    </rPh>
    <rPh sb="6" eb="8">
      <t>キョウド</t>
    </rPh>
    <rPh sb="14" eb="16">
      <t>サンテイ</t>
    </rPh>
    <phoneticPr fontId="2"/>
  </si>
  <si>
    <t>総等価繰返し回数 ΣN を用いて、次式により設計引張疲労強度 frd を求める。</t>
    <rPh sb="0" eb="1">
      <t>ソウ</t>
    </rPh>
    <rPh sb="1" eb="3">
      <t>トウカ</t>
    </rPh>
    <rPh sb="3" eb="4">
      <t>ク</t>
    </rPh>
    <rPh sb="4" eb="5">
      <t>カエ</t>
    </rPh>
    <rPh sb="6" eb="8">
      <t>カイスウ</t>
    </rPh>
    <rPh sb="13" eb="14">
      <t>モチ</t>
    </rPh>
    <rPh sb="17" eb="19">
      <t>ジシキ</t>
    </rPh>
    <rPh sb="22" eb="24">
      <t>セッケイ</t>
    </rPh>
    <rPh sb="24" eb="25">
      <t>ヒ</t>
    </rPh>
    <rPh sb="25" eb="26">
      <t>パ</t>
    </rPh>
    <rPh sb="26" eb="28">
      <t>ヒロウ</t>
    </rPh>
    <rPh sb="28" eb="30">
      <t>キョウド</t>
    </rPh>
    <rPh sb="36" eb="37">
      <t>モト</t>
    </rPh>
    <phoneticPr fontId="2"/>
  </si>
  <si>
    <t>frd</t>
    <phoneticPr fontId="2"/>
  </si>
  <si>
    <t>γ2</t>
    <phoneticPr fontId="2"/>
  </si>
  <si>
    <r>
      <t>･</t>
    </r>
    <r>
      <rPr>
        <sz val="14"/>
        <rFont val="ＭＳ 明朝"/>
        <family val="1"/>
        <charset val="128"/>
      </rPr>
      <t>(</t>
    </r>
    <phoneticPr fontId="2"/>
  </si>
  <si>
    <t>l</t>
    <phoneticPr fontId="2"/>
  </si>
  <si>
    <r>
      <t>鉄筋の設計引張疲労強度（N/mm</t>
    </r>
    <r>
      <rPr>
        <vertAlign val="superscript"/>
        <sz val="10"/>
        <rFont val="ＭＳ 明朝"/>
        <family val="1"/>
        <charset val="128"/>
      </rPr>
      <t>2</t>
    </r>
    <r>
      <rPr>
        <sz val="10"/>
        <rFont val="ＭＳ 明朝"/>
        <family val="1"/>
        <charset val="128"/>
      </rPr>
      <t>）</t>
    </r>
    <rPh sb="0" eb="2">
      <t>テッキン</t>
    </rPh>
    <rPh sb="3" eb="5">
      <t>セッケイ</t>
    </rPh>
    <rPh sb="5" eb="6">
      <t>ヒ</t>
    </rPh>
    <rPh sb="6" eb="7">
      <t>パ</t>
    </rPh>
    <rPh sb="7" eb="9">
      <t>ヒロウ</t>
    </rPh>
    <rPh sb="9" eb="11">
      <t>キョウド</t>
    </rPh>
    <phoneticPr fontId="2"/>
  </si>
  <si>
    <t>標準列車荷重換算の総等価繰返し回数 ΣN</t>
    <rPh sb="0" eb="2">
      <t>ヒョウジュン</t>
    </rPh>
    <rPh sb="2" eb="4">
      <t>レッシャ</t>
    </rPh>
    <rPh sb="4" eb="6">
      <t>カジュウ</t>
    </rPh>
    <rPh sb="6" eb="8">
      <t>カンサン</t>
    </rPh>
    <rPh sb="9" eb="10">
      <t>ソウ</t>
    </rPh>
    <rPh sb="10" eb="12">
      <t>トウカ</t>
    </rPh>
    <rPh sb="12" eb="13">
      <t>ク</t>
    </rPh>
    <rPh sb="13" eb="14">
      <t>カエ</t>
    </rPh>
    <rPh sb="15" eb="17">
      <t>カイスウ</t>
    </rPh>
    <phoneticPr fontId="2"/>
  </si>
  <si>
    <r>
      <t>α</t>
    </r>
    <r>
      <rPr>
        <vertAlign val="superscript"/>
        <sz val="10"/>
        <rFont val="ＭＳ 明朝"/>
        <family val="1"/>
        <charset val="128"/>
      </rPr>
      <t>r</t>
    </r>
    <r>
      <rPr>
        <sz val="10"/>
        <rFont val="ＭＳ 明朝"/>
        <family val="1"/>
        <charset val="128"/>
      </rPr>
      <t>,k</t>
    </r>
    <phoneticPr fontId="2"/>
  </si>
  <si>
    <t>Ｓ－Ｎ線図の係数</t>
    <rPh sb="3" eb="5">
      <t>センズ</t>
    </rPh>
    <rPh sb="6" eb="8">
      <t>ケイスウ</t>
    </rPh>
    <phoneticPr fontId="2"/>
  </si>
  <si>
    <r>
      <t>鉄筋の引張最小応力度（N/mm</t>
    </r>
    <r>
      <rPr>
        <vertAlign val="superscript"/>
        <sz val="10"/>
        <rFont val="ＭＳ 明朝"/>
        <family val="1"/>
        <charset val="128"/>
      </rPr>
      <t>2</t>
    </r>
    <r>
      <rPr>
        <sz val="10"/>
        <rFont val="ＭＳ 明朝"/>
        <family val="1"/>
        <charset val="128"/>
      </rPr>
      <t>）で、圧縮を受ける場合は</t>
    </r>
    <rPh sb="0" eb="2">
      <t>テッキン</t>
    </rPh>
    <rPh sb="3" eb="4">
      <t>ヒ</t>
    </rPh>
    <rPh sb="4" eb="5">
      <t>パ</t>
    </rPh>
    <rPh sb="5" eb="7">
      <t>サイショウ</t>
    </rPh>
    <rPh sb="7" eb="9">
      <t>オウリョク</t>
    </rPh>
    <rPh sb="9" eb="10">
      <t>ド</t>
    </rPh>
    <rPh sb="19" eb="21">
      <t>アッシュク</t>
    </rPh>
    <rPh sb="22" eb="23">
      <t>ウ</t>
    </rPh>
    <rPh sb="25" eb="27">
      <t>バアイ</t>
    </rPh>
    <phoneticPr fontId="2"/>
  </si>
  <si>
    <t>γ2</t>
  </si>
  <si>
    <t>複線を支持する部材における荷重分担比 a による補正係数</t>
    <rPh sb="0" eb="2">
      <t>フクセン</t>
    </rPh>
    <rPh sb="3" eb="5">
      <t>シジ</t>
    </rPh>
    <rPh sb="7" eb="9">
      <t>ブザイ</t>
    </rPh>
    <rPh sb="13" eb="15">
      <t>カジュウ</t>
    </rPh>
    <rPh sb="15" eb="17">
      <t>ブンタン</t>
    </rPh>
    <rPh sb="17" eb="18">
      <t>ヒ</t>
    </rPh>
    <rPh sb="24" eb="26">
      <t>ホセイ</t>
    </rPh>
    <rPh sb="26" eb="28">
      <t>ケイスウ</t>
    </rPh>
    <phoneticPr fontId="2"/>
  </si>
  <si>
    <r>
      <t>a</t>
    </r>
    <r>
      <rPr>
        <vertAlign val="superscript"/>
        <sz val="10"/>
        <rFont val="ＭＳ 明朝"/>
        <family val="1"/>
        <charset val="128"/>
      </rPr>
      <t>1/k</t>
    </r>
    <phoneticPr fontId="2"/>
  </si>
  <si>
    <r>
      <t>(1-a)</t>
    </r>
    <r>
      <rPr>
        <vertAlign val="superscript"/>
        <sz val="10"/>
        <rFont val="ＭＳ 明朝"/>
        <family val="1"/>
        <charset val="128"/>
      </rPr>
      <t>1/k</t>
    </r>
    <phoneticPr fontId="2"/>
  </si>
  <si>
    <t>a</t>
    <phoneticPr fontId="2"/>
  </si>
  <si>
    <t>当該部材の</t>
    <rPh sb="0" eb="2">
      <t>トウガイ</t>
    </rPh>
    <rPh sb="2" eb="4">
      <t>ブザイ</t>
    </rPh>
    <phoneticPr fontId="2"/>
  </si>
  <si>
    <t>(1線載荷による最大断面力)／(複線載荷による最大断面力)</t>
    <phoneticPr fontId="2"/>
  </si>
  <si>
    <t>表 当該部材の(1線載荷による最大断面力)/(複線載荷による最大断面力)</t>
    <rPh sb="0" eb="1">
      <t>ヒョウ</t>
    </rPh>
    <phoneticPr fontId="2"/>
  </si>
  <si>
    <t>片持ち曲げ</t>
    <rPh sb="0" eb="1">
      <t>カタ</t>
    </rPh>
    <rPh sb="1" eb="2">
      <t>モ</t>
    </rPh>
    <rPh sb="3" eb="4">
      <t>マ</t>
    </rPh>
    <phoneticPr fontId="2"/>
  </si>
  <si>
    <t>片持ちせん断</t>
    <rPh sb="0" eb="1">
      <t>カタ</t>
    </rPh>
    <rPh sb="1" eb="2">
      <t>モ</t>
    </rPh>
    <rPh sb="5" eb="6">
      <t>ダン</t>
    </rPh>
    <phoneticPr fontId="2"/>
  </si>
  <si>
    <t>径間中央</t>
    <rPh sb="0" eb="1">
      <t>ケイ</t>
    </rPh>
    <rPh sb="1" eb="2">
      <t>カン</t>
    </rPh>
    <rPh sb="2" eb="4">
      <t>チュウオウ</t>
    </rPh>
    <phoneticPr fontId="2"/>
  </si>
  <si>
    <t>径間せん断</t>
    <rPh sb="0" eb="1">
      <t>ケイ</t>
    </rPh>
    <rPh sb="1" eb="2">
      <t>カン</t>
    </rPh>
    <rPh sb="4" eb="5">
      <t>ダン</t>
    </rPh>
    <phoneticPr fontId="2"/>
  </si>
  <si>
    <t>径間支点</t>
    <rPh sb="0" eb="1">
      <t>ケイ</t>
    </rPh>
    <rPh sb="1" eb="2">
      <t>カン</t>
    </rPh>
    <rPh sb="2" eb="4">
      <t>シテン</t>
    </rPh>
    <phoneticPr fontId="2"/>
  </si>
  <si>
    <t>梁</t>
    <rPh sb="0" eb="1">
      <t>ハリ</t>
    </rPh>
    <phoneticPr fontId="2"/>
  </si>
  <si>
    <t>１線載荷の断面力</t>
    <rPh sb="1" eb="2">
      <t>セン</t>
    </rPh>
    <rPh sb="2" eb="3">
      <t>サイ</t>
    </rPh>
    <rPh sb="3" eb="4">
      <t>カ</t>
    </rPh>
    <rPh sb="5" eb="7">
      <t>ダンメン</t>
    </rPh>
    <rPh sb="7" eb="8">
      <t>リョク</t>
    </rPh>
    <phoneticPr fontId="2"/>
  </si>
  <si>
    <t>複線載荷の断面力</t>
    <rPh sb="0" eb="1">
      <t>フク</t>
    </rPh>
    <rPh sb="1" eb="2">
      <t>セン</t>
    </rPh>
    <rPh sb="2" eb="3">
      <t>サイ</t>
    </rPh>
    <rPh sb="3" eb="4">
      <t>カ</t>
    </rPh>
    <rPh sb="5" eb="7">
      <t>ダンメン</t>
    </rPh>
    <rPh sb="7" eb="8">
      <t>リョク</t>
    </rPh>
    <phoneticPr fontId="2"/>
  </si>
  <si>
    <t>【ＲＣ標準 7.2.2】</t>
    <rPh sb="3" eb="5">
      <t>ヒョウジュン</t>
    </rPh>
    <phoneticPr fontId="2"/>
  </si>
  <si>
    <t>(1) 曲げ耐力の算定</t>
    <phoneticPr fontId="2"/>
  </si>
  <si>
    <t>　曲げモーメントと軸方向力を受ける部材の照査は、設計曲げモーメントMdを設計応答</t>
  </si>
  <si>
    <t>値、設計曲げ耐力Mudを設計限界値として、次式により行う。</t>
  </si>
  <si>
    <t>γi・Md ／ Mud ≦ 1.0</t>
  </si>
  <si>
    <t>ここに、</t>
  </si>
  <si>
    <t>γi</t>
  </si>
  <si>
    <t>:</t>
    <phoneticPr fontId="2"/>
  </si>
  <si>
    <t>構造物係数(＝1.2)</t>
    <phoneticPr fontId="2"/>
  </si>
  <si>
    <t>Md</t>
  </si>
  <si>
    <t>設計曲げモーメント</t>
  </si>
  <si>
    <t>Mud</t>
    <phoneticPr fontId="2"/>
  </si>
  <si>
    <t>設計曲げ耐力(Mud＝Mu／γb)</t>
    <phoneticPr fontId="2"/>
  </si>
  <si>
    <t>γb</t>
  </si>
  <si>
    <t>部材係数(＝1.1)</t>
    <phoneticPr fontId="2"/>
  </si>
  <si>
    <t>(2) せん断に対する照査</t>
    <phoneticPr fontId="2"/>
  </si>
  <si>
    <t>【ＲＣ標準 7.2.3】</t>
    <rPh sb="3" eb="5">
      <t>ヒョウジュン</t>
    </rPh>
    <phoneticPr fontId="2"/>
  </si>
  <si>
    <t>　せん断力を受ける部材の照査は、設計せん断力Vdを設計応答値とし、部材毎にa/dの値に</t>
  </si>
  <si>
    <t>より、設計限界値を設計せん断耐力Vyd、腹部コンクリートの設計斜め圧縮破壊Vwcdまたは、</t>
  </si>
  <si>
    <t>設計せん断圧縮破壊耐力Vddとして、次式により行う。</t>
  </si>
  <si>
    <t>1) a／d≧2.0の場合</t>
    <phoneticPr fontId="2"/>
  </si>
  <si>
    <t>(a) 設計せん断耐力による照査</t>
    <phoneticPr fontId="2"/>
  </si>
  <si>
    <t>γi・Vd／Vyd≦1.0</t>
  </si>
  <si>
    <t>Vd</t>
  </si>
  <si>
    <t>設計せん断力</t>
  </si>
  <si>
    <t>Vyd</t>
  </si>
  <si>
    <t>棒部材の設計せん断耐力(Vyd＝Vcd＋Vwd＋Vsd)</t>
    <phoneticPr fontId="2"/>
  </si>
  <si>
    <t>Vcd</t>
  </si>
  <si>
    <t>せん断補強鋼材を用いない棒部材の設計せん断耐力</t>
  </si>
  <si>
    <t>Vwd</t>
    <phoneticPr fontId="2"/>
  </si>
  <si>
    <t>せん断補強鋼材により受け持たれる棒部材の設計せん断耐力</t>
  </si>
  <si>
    <t>Vsd</t>
  </si>
  <si>
    <t>鉄骨部分により受け持たれる棒部材の設計せん断耐力</t>
    <rPh sb="0" eb="2">
      <t>テッコツ</t>
    </rPh>
    <rPh sb="2" eb="4">
      <t>ブブン</t>
    </rPh>
    <phoneticPr fontId="2"/>
  </si>
  <si>
    <t>(b)腹部コンクリートの斜め圧縮破壊耐力による照査</t>
    <phoneticPr fontId="2"/>
  </si>
  <si>
    <t>γi・Vd／Vwcd≦1.0</t>
  </si>
  <si>
    <t>Vwcd</t>
  </si>
  <si>
    <t>設計斜め圧縮破壊耐力</t>
  </si>
  <si>
    <t>2) a／d＜2.0の場合</t>
    <phoneticPr fontId="2"/>
  </si>
  <si>
    <t>γi・Vd／Vdd≦1.0</t>
  </si>
  <si>
    <t>Vdd</t>
  </si>
  <si>
    <t>設計せん断圧縮破壊耐力</t>
  </si>
  <si>
    <t>曲げモーメントと軸方向力を受ける部材の曲げ耐力は、以下に述べる方法で算定する。</t>
  </si>
  <si>
    <t>曲げ耐力の算定方法</t>
  </si>
  <si>
    <t>軸方向力のつり合いより</t>
  </si>
  <si>
    <t>C ＋ N ＋ T ＝ 0  ･･･････････ (1)</t>
  </si>
  <si>
    <t>C</t>
  </si>
  <si>
    <t>コンクリートの圧縮応力の合力</t>
  </si>
  <si>
    <t>C ＝ 0.85f'cd ･ b ･ 0.8x ＝ 0.68f'cd ･ b ･ x</t>
    <phoneticPr fontId="2"/>
  </si>
  <si>
    <t>N</t>
  </si>
  <si>
    <t>軸方向力</t>
  </si>
  <si>
    <t>T</t>
  </si>
  <si>
    <t>鉄筋の応力の合力</t>
  </si>
  <si>
    <t>n</t>
  </si>
  <si>
    <t>di－x</t>
  </si>
  <si>
    <t>T ＝</t>
    <phoneticPr fontId="2"/>
  </si>
  <si>
    <t>∑</t>
  </si>
  <si>
    <t>Ti</t>
    <phoneticPr fontId="2"/>
  </si>
  <si>
    <t>＝</t>
  </si>
  <si>
    <t xml:space="preserve"> ･ εcu ･ Es ･ Asi</t>
  </si>
  <si>
    <t>x</t>
  </si>
  <si>
    <t>i＝1</t>
  </si>
  <si>
    <t>(1)式を満足するｘを求める。</t>
  </si>
  <si>
    <t>そのxを用いてC，Tiをそれぞれ求める。</t>
  </si>
  <si>
    <t>曲げ耐力Muは，次式で求まる。</t>
  </si>
  <si>
    <t>C・(</t>
    <phoneticPr fontId="2"/>
  </si>
  <si>
    <t>h</t>
  </si>
  <si>
    <t>－</t>
    <phoneticPr fontId="2"/>
  </si>
  <si>
    <t>0.8x</t>
  </si>
  <si>
    <t>)+</t>
    <phoneticPr fontId="2"/>
  </si>
  <si>
    <t>・(di</t>
    <phoneticPr fontId="2"/>
  </si>
  <si>
    <t>)}</t>
    <phoneticPr fontId="2"/>
  </si>
  <si>
    <t>Mu ＝</t>
    <phoneticPr fontId="2"/>
  </si>
  <si>
    <t>∑ {</t>
    <phoneticPr fontId="2"/>
  </si>
  <si>
    <t>4)</t>
    <phoneticPr fontId="2"/>
  </si>
  <si>
    <t>5)</t>
    <phoneticPr fontId="2"/>
  </si>
  <si>
    <t>(a)</t>
    <phoneticPr fontId="2"/>
  </si>
  <si>
    <t>の支点反力の合計における推移を計算する。</t>
    <rPh sb="6" eb="8">
      <t>ゴウケイ</t>
    </rPh>
    <rPh sb="12" eb="14">
      <t>スイイ</t>
    </rPh>
    <rPh sb="15" eb="17">
      <t>ケイサン</t>
    </rPh>
    <phoneticPr fontId="2"/>
  </si>
  <si>
    <t>(b)</t>
    <phoneticPr fontId="2"/>
  </si>
  <si>
    <t>(c)</t>
    <phoneticPr fontId="2"/>
  </si>
  <si>
    <t>部材の照査</t>
    <rPh sb="0" eb="2">
      <t>ブザイ</t>
    </rPh>
    <rPh sb="3" eb="5">
      <t>ショウサ</t>
    </rPh>
    <phoneticPr fontId="2"/>
  </si>
  <si>
    <t>せん断力を受け、せん断補強鉄筋を用いる部材の疲労に関する照査は、設計変動</t>
    <rPh sb="2" eb="3">
      <t>ダン</t>
    </rPh>
    <rPh sb="3" eb="4">
      <t>リョク</t>
    </rPh>
    <rPh sb="5" eb="6">
      <t>ウ</t>
    </rPh>
    <rPh sb="10" eb="11">
      <t>ダン</t>
    </rPh>
    <rPh sb="11" eb="13">
      <t>ホキョウ</t>
    </rPh>
    <rPh sb="13" eb="15">
      <t>テッキン</t>
    </rPh>
    <rPh sb="16" eb="17">
      <t>モチ</t>
    </rPh>
    <rPh sb="19" eb="21">
      <t>ブザイ</t>
    </rPh>
    <rPh sb="22" eb="24">
      <t>ヒロウ</t>
    </rPh>
    <rPh sb="25" eb="26">
      <t>カン</t>
    </rPh>
    <rPh sb="28" eb="30">
      <t>ショウサ</t>
    </rPh>
    <rPh sb="32" eb="34">
      <t>セッケイ</t>
    </rPh>
    <rPh sb="34" eb="36">
      <t>ヘンドウ</t>
    </rPh>
    <phoneticPr fontId="2"/>
  </si>
  <si>
    <t>応力度 σwrd を設計応答値、設計疲労強度 frd を部材係数で除した値を設計</t>
    <rPh sb="10" eb="12">
      <t>セッケイ</t>
    </rPh>
    <rPh sb="12" eb="14">
      <t>オウトウ</t>
    </rPh>
    <rPh sb="14" eb="15">
      <t>チ</t>
    </rPh>
    <rPh sb="16" eb="18">
      <t>セッケイ</t>
    </rPh>
    <rPh sb="18" eb="20">
      <t>ヒロウ</t>
    </rPh>
    <rPh sb="20" eb="22">
      <t>キョウド</t>
    </rPh>
    <rPh sb="28" eb="30">
      <t>ブザイ</t>
    </rPh>
    <rPh sb="30" eb="32">
      <t>ケイスウ</t>
    </rPh>
    <rPh sb="33" eb="34">
      <t>ジョ</t>
    </rPh>
    <rPh sb="36" eb="37">
      <t>アタイ</t>
    </rPh>
    <rPh sb="38" eb="40">
      <t>セッケイ</t>
    </rPh>
    <phoneticPr fontId="2"/>
  </si>
  <si>
    <t>限界値とし、次式により行う。</t>
    <rPh sb="11" eb="12">
      <t>オコナ</t>
    </rPh>
    <phoneticPr fontId="2"/>
  </si>
  <si>
    <t>σwrd</t>
    <phoneticPr fontId="2"/>
  </si>
  <si>
    <t>設計変動応力度 σwpd と 最小応力度 σmin の算定</t>
    <rPh sb="0" eb="2">
      <t>セッケイ</t>
    </rPh>
    <rPh sb="2" eb="4">
      <t>ヘンドウ</t>
    </rPh>
    <rPh sb="4" eb="6">
      <t>オウリョク</t>
    </rPh>
    <rPh sb="6" eb="7">
      <t>ド</t>
    </rPh>
    <rPh sb="15" eb="17">
      <t>サイショウ</t>
    </rPh>
    <rPh sb="17" eb="19">
      <t>オウリョク</t>
    </rPh>
    <rPh sb="19" eb="20">
      <t>ド</t>
    </rPh>
    <rPh sb="27" eb="29">
      <t>サンテイ</t>
    </rPh>
    <phoneticPr fontId="2"/>
  </si>
  <si>
    <t>標準列車荷重による鉄筋（スターラップ）の設計変動応力度 σwpd および 最小</t>
    <rPh sb="0" eb="2">
      <t>ヒョウジュン</t>
    </rPh>
    <rPh sb="2" eb="4">
      <t>レッシャ</t>
    </rPh>
    <rPh sb="4" eb="6">
      <t>カジュウ</t>
    </rPh>
    <rPh sb="9" eb="11">
      <t>テッキン</t>
    </rPh>
    <rPh sb="20" eb="22">
      <t>セッケイ</t>
    </rPh>
    <rPh sb="22" eb="24">
      <t>ヘンドウ</t>
    </rPh>
    <rPh sb="24" eb="26">
      <t>オウリョク</t>
    </rPh>
    <rPh sb="26" eb="27">
      <t>ド</t>
    </rPh>
    <phoneticPr fontId="2"/>
  </si>
  <si>
    <t>応力度 σmin を算定する。 鉄筋（スターラップ）の最小応力度 σmin は、鉄筋</t>
    <rPh sb="16" eb="18">
      <t>テッキン</t>
    </rPh>
    <rPh sb="27" eb="29">
      <t>サイショウ</t>
    </rPh>
    <rPh sb="29" eb="31">
      <t>オウリョク</t>
    </rPh>
    <rPh sb="31" eb="32">
      <t>ド</t>
    </rPh>
    <rPh sb="40" eb="42">
      <t>テッキン</t>
    </rPh>
    <phoneticPr fontId="2"/>
  </si>
  <si>
    <t>（スターラップ）に生じる永久作用による設計応力度 σwpd である。</t>
    <rPh sb="12" eb="14">
      <t>エイキュウ</t>
    </rPh>
    <rPh sb="14" eb="16">
      <t>サヨウ</t>
    </rPh>
    <rPh sb="19" eb="21">
      <t>セッケイ</t>
    </rPh>
    <rPh sb="21" eb="23">
      <t>オウリョク</t>
    </rPh>
    <rPh sb="23" eb="24">
      <t>ド</t>
    </rPh>
    <phoneticPr fontId="2"/>
  </si>
  <si>
    <t>なお、σwrd および σwpd は、次式により算定する。</t>
    <rPh sb="19" eb="21">
      <t>ジシキ</t>
    </rPh>
    <rPh sb="24" eb="26">
      <t>サンテイ</t>
    </rPh>
    <phoneticPr fontId="2"/>
  </si>
  <si>
    <t>σwrd</t>
  </si>
  <si>
    <t>(Vpd + Vrd - Kr ･ Vcd) ･ S</t>
    <phoneticPr fontId="2"/>
  </si>
  <si>
    <t>･</t>
    <phoneticPr fontId="2"/>
  </si>
  <si>
    <t>Vrd</t>
    <phoneticPr fontId="2"/>
  </si>
  <si>
    <t>Aw ･ Z ･ (cosθ + sinθ)</t>
    <phoneticPr fontId="2"/>
  </si>
  <si>
    <t>Vpd + Vrd + Vcd</t>
    <phoneticPr fontId="2"/>
  </si>
  <si>
    <t>σwpd</t>
  </si>
  <si>
    <t>Vpd + Vcd</t>
    <phoneticPr fontId="2"/>
  </si>
  <si>
    <t>Vpd</t>
    <phoneticPr fontId="2"/>
  </si>
  <si>
    <t>永久作用による設計せん断力（N）</t>
    <rPh sb="0" eb="2">
      <t>エイキュウ</t>
    </rPh>
    <rPh sb="2" eb="4">
      <t>サヨウ</t>
    </rPh>
    <rPh sb="7" eb="9">
      <t>セッケイ</t>
    </rPh>
    <rPh sb="11" eb="12">
      <t>ダン</t>
    </rPh>
    <rPh sb="12" eb="13">
      <t>リョク</t>
    </rPh>
    <phoneticPr fontId="2"/>
  </si>
  <si>
    <t>変動作用による設計せん断力（N）</t>
    <rPh sb="0" eb="2">
      <t>ヘンドウ</t>
    </rPh>
    <rPh sb="2" eb="4">
      <t>サヨウ</t>
    </rPh>
    <rPh sb="7" eb="9">
      <t>セッケイ</t>
    </rPh>
    <rPh sb="11" eb="12">
      <t>ダン</t>
    </rPh>
    <rPh sb="12" eb="13">
      <t>リョク</t>
    </rPh>
    <phoneticPr fontId="2"/>
  </si>
  <si>
    <t>Vcd</t>
    <phoneticPr fontId="2"/>
  </si>
  <si>
    <t>せん断補強鉄筋鋼材を用いない棒部材の設計せん断耐力</t>
    <rPh sb="2" eb="3">
      <t>ダン</t>
    </rPh>
    <rPh sb="3" eb="5">
      <t>ホキョウ</t>
    </rPh>
    <rPh sb="5" eb="7">
      <t>テッキン</t>
    </rPh>
    <rPh sb="7" eb="9">
      <t>コウザイ</t>
    </rPh>
    <rPh sb="10" eb="11">
      <t>モチ</t>
    </rPh>
    <rPh sb="14" eb="15">
      <t>ボウ</t>
    </rPh>
    <rPh sb="15" eb="17">
      <t>ブザイ</t>
    </rPh>
    <rPh sb="18" eb="20">
      <t>セッケイ</t>
    </rPh>
    <rPh sb="22" eb="23">
      <t>ダン</t>
    </rPh>
    <rPh sb="23" eb="24">
      <t>タイ</t>
    </rPh>
    <rPh sb="24" eb="25">
      <t>チカラ</t>
    </rPh>
    <phoneticPr fontId="2"/>
  </si>
  <si>
    <t>（この場合の部材係数 γb は 1.3 とする）</t>
    <rPh sb="3" eb="5">
      <t>バアイ</t>
    </rPh>
    <rPh sb="6" eb="8">
      <t>ブザイ</t>
    </rPh>
    <rPh sb="8" eb="10">
      <t>ケイスウ</t>
    </rPh>
    <phoneticPr fontId="2"/>
  </si>
  <si>
    <t>kr</t>
    <phoneticPr fontId="2"/>
  </si>
  <si>
    <t>変動作用の頻度の影響を考慮するための係数で、一般に</t>
    <rPh sb="0" eb="2">
      <t>ヘンドウ</t>
    </rPh>
    <rPh sb="2" eb="4">
      <t>サヨウ</t>
    </rPh>
    <rPh sb="5" eb="7">
      <t>ヒンド</t>
    </rPh>
    <rPh sb="8" eb="10">
      <t>エイキョウ</t>
    </rPh>
    <rPh sb="11" eb="13">
      <t>コウリョ</t>
    </rPh>
    <rPh sb="18" eb="20">
      <t>ケイスウ</t>
    </rPh>
    <rPh sb="22" eb="24">
      <t>イッパン</t>
    </rPh>
    <phoneticPr fontId="2"/>
  </si>
  <si>
    <t>0.5 とする。</t>
    <phoneticPr fontId="2"/>
  </si>
  <si>
    <t>S</t>
    <phoneticPr fontId="2"/>
  </si>
  <si>
    <t>せん断補強鉄筋の配置間隔（mm）</t>
    <rPh sb="2" eb="3">
      <t>ダン</t>
    </rPh>
    <rPh sb="3" eb="5">
      <t>ホキョウ</t>
    </rPh>
    <rPh sb="5" eb="7">
      <t>テッキン</t>
    </rPh>
    <rPh sb="8" eb="10">
      <t>ハイチ</t>
    </rPh>
    <rPh sb="10" eb="12">
      <t>カンカク</t>
    </rPh>
    <phoneticPr fontId="2"/>
  </si>
  <si>
    <t>Aw</t>
    <phoneticPr fontId="2"/>
  </si>
  <si>
    <r>
      <t>区間Sにおけるせん断補強鉄筋の総断面積（mm</t>
    </r>
    <r>
      <rPr>
        <vertAlign val="superscript"/>
        <sz val="10"/>
        <rFont val="ＭＳ 明朝"/>
        <family val="1"/>
        <charset val="128"/>
      </rPr>
      <t>2</t>
    </r>
    <r>
      <rPr>
        <sz val="10"/>
        <rFont val="ＭＳ 明朝"/>
        <family val="1"/>
        <charset val="128"/>
      </rPr>
      <t>）</t>
    </r>
    <rPh sb="0" eb="2">
      <t>クカン</t>
    </rPh>
    <rPh sb="9" eb="10">
      <t>ダン</t>
    </rPh>
    <rPh sb="10" eb="12">
      <t>ホキョウ</t>
    </rPh>
    <rPh sb="12" eb="14">
      <t>テッキン</t>
    </rPh>
    <rPh sb="15" eb="16">
      <t>ソウ</t>
    </rPh>
    <rPh sb="16" eb="18">
      <t>ダンメン</t>
    </rPh>
    <rPh sb="18" eb="19">
      <t>セキ</t>
    </rPh>
    <phoneticPr fontId="2"/>
  </si>
  <si>
    <t>θ</t>
    <phoneticPr fontId="2"/>
  </si>
  <si>
    <t>せん断補強鉄筋が部材軸となす角度</t>
    <rPh sb="2" eb="3">
      <t>ダン</t>
    </rPh>
    <rPh sb="3" eb="5">
      <t>ホキョウ</t>
    </rPh>
    <rPh sb="5" eb="7">
      <t>テッキン</t>
    </rPh>
    <rPh sb="8" eb="10">
      <t>ブザイ</t>
    </rPh>
    <rPh sb="10" eb="11">
      <t>ジク</t>
    </rPh>
    <rPh sb="14" eb="16">
      <t>カクド</t>
    </rPh>
    <phoneticPr fontId="2"/>
  </si>
  <si>
    <t>Z</t>
    <phoneticPr fontId="2"/>
  </si>
  <si>
    <t>圧縮応力の合力の載荷位置から引張鋼材の図心までの距離で、</t>
    <rPh sb="0" eb="2">
      <t>アッシュク</t>
    </rPh>
    <rPh sb="2" eb="4">
      <t>オウリョク</t>
    </rPh>
    <rPh sb="5" eb="7">
      <t>ゴウリキ</t>
    </rPh>
    <rPh sb="8" eb="9">
      <t>ミツル</t>
    </rPh>
    <rPh sb="9" eb="10">
      <t>カ</t>
    </rPh>
    <rPh sb="10" eb="12">
      <t>イチ</t>
    </rPh>
    <rPh sb="14" eb="15">
      <t>ヒ</t>
    </rPh>
    <rPh sb="15" eb="16">
      <t>パ</t>
    </rPh>
    <rPh sb="16" eb="18">
      <t>コウザイ</t>
    </rPh>
    <rPh sb="19" eb="20">
      <t>ズ</t>
    </rPh>
    <rPh sb="20" eb="21">
      <t>シン</t>
    </rPh>
    <rPh sb="24" eb="26">
      <t>キョリ</t>
    </rPh>
    <phoneticPr fontId="2"/>
  </si>
  <si>
    <t>一般に d/1.15 とする。</t>
    <rPh sb="0" eb="2">
      <t>イッパン</t>
    </rPh>
    <phoneticPr fontId="2"/>
  </si>
  <si>
    <t>d</t>
    <phoneticPr fontId="2"/>
  </si>
  <si>
    <t>有効高さ（mm）</t>
    <rPh sb="0" eb="2">
      <t>ユウコウ</t>
    </rPh>
    <rPh sb="2" eb="3">
      <t>タカ</t>
    </rPh>
    <phoneticPr fontId="2"/>
  </si>
  <si>
    <t>曲げモーメントに対する照査と同様に算定する。</t>
    <rPh sb="0" eb="1">
      <t>マ</t>
    </rPh>
    <rPh sb="8" eb="9">
      <t>タイ</t>
    </rPh>
    <rPh sb="11" eb="13">
      <t>ショウサ</t>
    </rPh>
    <rPh sb="14" eb="16">
      <t>ドウヨウ</t>
    </rPh>
    <rPh sb="17" eb="19">
      <t>サンテイ</t>
    </rPh>
    <phoneticPr fontId="2"/>
  </si>
  <si>
    <t>総等価繰返し回数 ΣN を用いて、設計引張疲労強度 frd を求める。</t>
    <rPh sb="0" eb="1">
      <t>ソウ</t>
    </rPh>
    <rPh sb="1" eb="3">
      <t>トウカ</t>
    </rPh>
    <rPh sb="3" eb="4">
      <t>ク</t>
    </rPh>
    <rPh sb="4" eb="5">
      <t>カエ</t>
    </rPh>
    <rPh sb="6" eb="8">
      <t>カイスウ</t>
    </rPh>
    <rPh sb="13" eb="14">
      <t>モチ</t>
    </rPh>
    <rPh sb="17" eb="19">
      <t>セッケイ</t>
    </rPh>
    <rPh sb="19" eb="20">
      <t>ヒ</t>
    </rPh>
    <rPh sb="20" eb="21">
      <t>パ</t>
    </rPh>
    <rPh sb="21" eb="23">
      <t>ヒロウ</t>
    </rPh>
    <rPh sb="23" eb="25">
      <t>キョウド</t>
    </rPh>
    <rPh sb="31" eb="32">
      <t>モト</t>
    </rPh>
    <phoneticPr fontId="2"/>
  </si>
  <si>
    <t>また、算定方法は、曲げモーメントに対する照査と同様である。</t>
    <rPh sb="3" eb="5">
      <t>サンテイ</t>
    </rPh>
    <rPh sb="5" eb="7">
      <t>ホウホウ</t>
    </rPh>
    <rPh sb="9" eb="10">
      <t>マ</t>
    </rPh>
    <rPh sb="17" eb="18">
      <t>タイ</t>
    </rPh>
    <rPh sb="20" eb="22">
      <t>ショウサ</t>
    </rPh>
    <rPh sb="23" eb="25">
      <t>ドウヨウ</t>
    </rPh>
    <phoneticPr fontId="2"/>
  </si>
  <si>
    <t>　曲げひび割れに対する部材の検討は、全断面を有効としたコンクリートの縁引張</t>
  </si>
  <si>
    <t>応力度σbが断面高さに応じた縁引張応力度の制限値σbl以下の場合は、永久作用に</t>
    <phoneticPr fontId="2"/>
  </si>
  <si>
    <t>よる引張鉄筋の応力度σsによる検討を行い、σbがσbl以上の場合には、曲げひび</t>
  </si>
  <si>
    <t>割れ幅Wdによる検討を行う。</t>
  </si>
  <si>
    <t>　永久作用による引張鉄筋の応力度σsが永久作用による引張鉄筋応力度の制限値</t>
  </si>
  <si>
    <t>σsl1に対し、以下の式を満たすことを検討する。</t>
  </si>
  <si>
    <t>σs ／ σsl1 ≦ 1.0</t>
  </si>
  <si>
    <t>σs</t>
  </si>
  <si>
    <t>永久作用による引張鉄筋の設計応力度</t>
  </si>
  <si>
    <t>σsl1</t>
    <phoneticPr fontId="2"/>
  </si>
  <si>
    <t>永久作用による引張鉄筋応力度の制限値</t>
  </si>
  <si>
    <t>　曲げひび割れの検討は、コンクリート表面の設計曲げひび割れ幅Wdがひび割れ幅</t>
  </si>
  <si>
    <t>の限界値Wlimに対して次式の条件を満たす方法により行う。</t>
  </si>
  <si>
    <t>【ＲＣ標準 9.2】</t>
    <rPh sb="3" eb="5">
      <t>ヒョウジュン</t>
    </rPh>
    <phoneticPr fontId="2"/>
  </si>
  <si>
    <t>　曲げモーメントと軸方向力を受ける部材の照査は、設計曲げモーメントMdを設計応答</t>
    <phoneticPr fontId="2"/>
  </si>
  <si>
    <t>値、設計曲げ降伏耐力Mydを設計限界値として、次式により行う。以上の照査により</t>
    <rPh sb="31" eb="33">
      <t>イジョウ</t>
    </rPh>
    <rPh sb="34" eb="36">
      <t>ショウサ</t>
    </rPh>
    <phoneticPr fontId="2"/>
  </si>
  <si>
    <t>性能照査レベル１を満足することを確認する。</t>
    <rPh sb="0" eb="2">
      <t>セイノウ</t>
    </rPh>
    <rPh sb="2" eb="4">
      <t>ショウサ</t>
    </rPh>
    <rPh sb="9" eb="11">
      <t>マンゾク</t>
    </rPh>
    <rPh sb="16" eb="18">
      <t>カクニン</t>
    </rPh>
    <phoneticPr fontId="2"/>
  </si>
  <si>
    <t>γi・Md ／ Myd ≦ 1.0</t>
  </si>
  <si>
    <t>構造物係数(＝1.0)</t>
    <phoneticPr fontId="2"/>
  </si>
  <si>
    <t>Myd</t>
  </si>
  <si>
    <t>設計曲げ降伏耐力(Myd＝My／γb)</t>
  </si>
  <si>
    <t>復旧性の照査に用いる設計せん断耐力は, 安全性（破壊）の照査で用いる</t>
    <rPh sb="0" eb="2">
      <t>フッキュウ</t>
    </rPh>
    <rPh sb="2" eb="3">
      <t>セイ</t>
    </rPh>
    <rPh sb="4" eb="6">
      <t>ショウサ</t>
    </rPh>
    <rPh sb="7" eb="8">
      <t>モチ</t>
    </rPh>
    <rPh sb="10" eb="12">
      <t>セッケイ</t>
    </rPh>
    <rPh sb="14" eb="15">
      <t>ダン</t>
    </rPh>
    <rPh sb="15" eb="17">
      <t>タイリョク</t>
    </rPh>
    <rPh sb="20" eb="23">
      <t>アンゼンセイ</t>
    </rPh>
    <rPh sb="24" eb="26">
      <t>ハカイ</t>
    </rPh>
    <rPh sb="28" eb="30">
      <t>ショウサ</t>
    </rPh>
    <rPh sb="31" eb="32">
      <t>モチ</t>
    </rPh>
    <phoneticPr fontId="2"/>
  </si>
  <si>
    <t xml:space="preserve">設計せん断耐力と同じであり, 設計せん断力は 安全性（破壊）の照査 </t>
    <rPh sb="15" eb="17">
      <t>セッケイ</t>
    </rPh>
    <rPh sb="19" eb="20">
      <t>ダン</t>
    </rPh>
    <rPh sb="20" eb="21">
      <t>リョク</t>
    </rPh>
    <phoneticPr fontId="2"/>
  </si>
  <si>
    <t xml:space="preserve">におけるせん断力より小さいため, 安全性（破壊）の照査 を満足することで </t>
    <rPh sb="29" eb="31">
      <t>マンゾク</t>
    </rPh>
    <phoneticPr fontId="2"/>
  </si>
  <si>
    <t>復旧性のせん断耐力の照査は満足される.したがって, ここでは照査を省略する.</t>
    <rPh sb="30" eb="32">
      <t>ショウサ</t>
    </rPh>
    <rPh sb="33" eb="35">
      <t>ショウリャク</t>
    </rPh>
    <phoneticPr fontId="2"/>
  </si>
  <si>
    <t>C ＝</t>
    <phoneticPr fontId="2"/>
  </si>
  <si>
    <t>・εcy ･ Ec ･ x ･</t>
    <phoneticPr fontId="2"/>
  </si>
  <si>
    <t>dn－x</t>
    <phoneticPr fontId="2"/>
  </si>
  <si>
    <t>di－x</t>
    <phoneticPr fontId="2"/>
  </si>
  <si>
    <t xml:space="preserve"> ･ εcy ･ Es ･ Asi</t>
    <phoneticPr fontId="2"/>
  </si>
  <si>
    <t>曲げ降伏耐力Myは，次式で求まる。</t>
  </si>
  <si>
    <t>My ＝</t>
    <phoneticPr fontId="2"/>
  </si>
  <si>
    <t>(c) せん断に対する照査</t>
    <phoneticPr fontId="2"/>
  </si>
  <si>
    <t>a) a／d≧2.0の場合</t>
    <phoneticPr fontId="2"/>
  </si>
  <si>
    <t>ｲ) 設計せん断耐力による照査</t>
    <phoneticPr fontId="2"/>
  </si>
  <si>
    <t>ﾛ) 腹部コンクリートの斜め圧縮破壊耐力による照査</t>
    <phoneticPr fontId="2"/>
  </si>
  <si>
    <t>b) a／d＜2.0の場合</t>
    <phoneticPr fontId="2"/>
  </si>
  <si>
    <t>γi・Wd ／ Wlim ≦ 1.0</t>
  </si>
  <si>
    <t>設計曲げひび割れ耐力 Ｍcrd が下表に示す設計作用と比較して決定する.</t>
    <rPh sb="17" eb="18">
      <t>シタ</t>
    </rPh>
    <rPh sb="18" eb="19">
      <t>ヒョウ</t>
    </rPh>
    <rPh sb="20" eb="21">
      <t>シメ</t>
    </rPh>
    <rPh sb="22" eb="24">
      <t>セッケイ</t>
    </rPh>
    <rPh sb="24" eb="26">
      <t>サヨウ</t>
    </rPh>
    <rPh sb="27" eb="29">
      <t>ヒカク</t>
    </rPh>
    <rPh sb="31" eb="33">
      <t>ケッテイ</t>
    </rPh>
    <phoneticPr fontId="2"/>
  </si>
  <si>
    <t>Ｍcrd =</t>
    <phoneticPr fontId="2"/>
  </si>
  <si>
    <t>Ｉ</t>
    <phoneticPr fontId="2"/>
  </si>
  <si>
    <t>σcrd</t>
    <phoneticPr fontId="2"/>
  </si>
  <si>
    <t>N'd</t>
    <phoneticPr fontId="2"/>
  </si>
  <si>
    <t>ｙ</t>
    <phoneticPr fontId="2"/>
  </si>
  <si>
    <t>A</t>
    <phoneticPr fontId="2"/>
  </si>
  <si>
    <t>断面二次モーメント</t>
    <rPh sb="0" eb="2">
      <t>ダンメン</t>
    </rPh>
    <rPh sb="2" eb="4">
      <t>ニジ</t>
    </rPh>
    <phoneticPr fontId="2"/>
  </si>
  <si>
    <t>( =</t>
    <phoneticPr fontId="2"/>
  </si>
  <si>
    <t>×</t>
    <phoneticPr fontId="2"/>
  </si>
  <si>
    <t>中立軸の高さ</t>
    <rPh sb="0" eb="2">
      <t>チュウリツ</t>
    </rPh>
    <rPh sb="2" eb="3">
      <t>ジク</t>
    </rPh>
    <rPh sb="4" eb="5">
      <t>タカ</t>
    </rPh>
    <phoneticPr fontId="2"/>
  </si>
  <si>
    <t>mm</t>
    <phoneticPr fontId="2"/>
  </si>
  <si>
    <t>fbck = kob・k1b・ftk</t>
    <phoneticPr fontId="2"/>
  </si>
  <si>
    <t>【RC標準 式(5.3.4)】</t>
    <rPh sb="3" eb="5">
      <t>ヒョウジュン</t>
    </rPh>
    <rPh sb="6" eb="7">
      <t>シキ</t>
    </rPh>
    <phoneticPr fontId="2"/>
  </si>
  <si>
    <t>kob =</t>
    <phoneticPr fontId="2"/>
  </si>
  <si>
    <t>1+</t>
    <phoneticPr fontId="2"/>
  </si>
  <si>
    <t>0.85+4.5(h/lch)</t>
    <phoneticPr fontId="2"/>
  </si>
  <si>
    <t>h</t>
    <phoneticPr fontId="2"/>
  </si>
  <si>
    <t>部材の高さ</t>
    <rPh sb="0" eb="1">
      <t>ブ</t>
    </rPh>
    <rPh sb="1" eb="2">
      <t>ザイ</t>
    </rPh>
    <rPh sb="3" eb="4">
      <t>タカ</t>
    </rPh>
    <phoneticPr fontId="2"/>
  </si>
  <si>
    <t>mm )</t>
    <phoneticPr fontId="2"/>
  </si>
  <si>
    <t>lch</t>
    <phoneticPr fontId="2"/>
  </si>
  <si>
    <r>
      <t>特性長さ（= 1000Ｇ</t>
    </r>
    <r>
      <rPr>
        <vertAlign val="subscript"/>
        <sz val="10"/>
        <rFont val="ＭＳ 明朝"/>
        <family val="1"/>
        <charset val="128"/>
      </rPr>
      <t>F</t>
    </r>
    <r>
      <rPr>
        <sz val="10"/>
        <rFont val="ＭＳ 明朝"/>
        <family val="1"/>
        <charset val="128"/>
      </rPr>
      <t>Ｅ</t>
    </r>
    <r>
      <rPr>
        <vertAlign val="subscript"/>
        <sz val="10"/>
        <rFont val="ＭＳ 明朝"/>
        <family val="1"/>
        <charset val="128"/>
      </rPr>
      <t>c</t>
    </r>
    <r>
      <rPr>
        <sz val="10"/>
        <rFont val="ＭＳ 明朝"/>
        <family val="1"/>
        <charset val="128"/>
      </rPr>
      <t>／f</t>
    </r>
    <r>
      <rPr>
        <vertAlign val="subscript"/>
        <sz val="10"/>
        <rFont val="ＭＳ 明朝"/>
        <family val="1"/>
        <charset val="128"/>
      </rPr>
      <t>tk</t>
    </r>
    <r>
      <rPr>
        <vertAlign val="superscript"/>
        <sz val="10"/>
        <rFont val="ＭＳ 明朝"/>
        <family val="1"/>
        <charset val="128"/>
      </rPr>
      <t>2</t>
    </r>
    <r>
      <rPr>
        <sz val="10"/>
        <rFont val="ＭＳ 明朝"/>
        <family val="1"/>
        <charset val="128"/>
      </rPr>
      <t>）</t>
    </r>
    <rPh sb="0" eb="2">
      <t>トクセイ</t>
    </rPh>
    <rPh sb="2" eb="3">
      <t>ナガ</t>
    </rPh>
    <phoneticPr fontId="2"/>
  </si>
  <si>
    <r>
      <t>Ｇ</t>
    </r>
    <r>
      <rPr>
        <vertAlign val="subscript"/>
        <sz val="10"/>
        <rFont val="ＭＳ 明朝"/>
        <family val="1"/>
        <charset val="128"/>
      </rPr>
      <t>F</t>
    </r>
    <r>
      <rPr>
        <sz val="10"/>
        <rFont val="ＭＳ 明朝"/>
        <family val="1"/>
        <charset val="128"/>
      </rPr>
      <t/>
    </r>
    <phoneticPr fontId="2"/>
  </si>
  <si>
    <r>
      <t>1/100・(d</t>
    </r>
    <r>
      <rPr>
        <vertAlign val="subscript"/>
        <sz val="10"/>
        <rFont val="ＭＳ 明朝"/>
        <family val="1"/>
        <charset val="128"/>
      </rPr>
      <t>max</t>
    </r>
    <r>
      <rPr>
        <sz val="10"/>
        <rFont val="ＭＳ 明朝"/>
        <family val="1"/>
        <charset val="128"/>
      </rPr>
      <t>)</t>
    </r>
    <r>
      <rPr>
        <vertAlign val="superscript"/>
        <sz val="10"/>
        <rFont val="ＭＳ 明朝"/>
        <family val="1"/>
        <charset val="128"/>
      </rPr>
      <t>1/3</t>
    </r>
    <r>
      <rPr>
        <sz val="10"/>
        <rFont val="ＭＳ 明朝"/>
        <family val="1"/>
        <charset val="128"/>
      </rPr>
      <t>・f'ck</t>
    </r>
    <r>
      <rPr>
        <vertAlign val="superscript"/>
        <sz val="10"/>
        <rFont val="ＭＳ 明朝"/>
        <family val="1"/>
        <charset val="128"/>
      </rPr>
      <t>1/3</t>
    </r>
    <phoneticPr fontId="2"/>
  </si>
  <si>
    <r>
      <t>ここに、d</t>
    </r>
    <r>
      <rPr>
        <vertAlign val="subscript"/>
        <sz val="10"/>
        <rFont val="ＭＳ 明朝"/>
        <family val="1"/>
        <charset val="128"/>
      </rPr>
      <t>max</t>
    </r>
    <r>
      <rPr>
        <sz val="10"/>
        <rFont val="ＭＳ 明朝"/>
        <family val="1"/>
        <charset val="128"/>
      </rPr>
      <t/>
    </r>
    <phoneticPr fontId="2"/>
  </si>
  <si>
    <t>粗骨材の最大寸法</t>
    <rPh sb="0" eb="1">
      <t>ソ</t>
    </rPh>
    <rPh sb="1" eb="3">
      <t>コツザイ</t>
    </rPh>
    <rPh sb="4" eb="6">
      <t>サイダイ</t>
    </rPh>
    <rPh sb="6" eb="8">
      <t>スンポウ</t>
    </rPh>
    <phoneticPr fontId="2"/>
  </si>
  <si>
    <t>f'ck</t>
    <phoneticPr fontId="2"/>
  </si>
  <si>
    <t>圧縮強度の特性値（設計基準強度）</t>
    <rPh sb="0" eb="2">
      <t>アッシュク</t>
    </rPh>
    <rPh sb="2" eb="4">
      <t>キョウド</t>
    </rPh>
    <rPh sb="5" eb="7">
      <t>トクセイ</t>
    </rPh>
    <rPh sb="7" eb="8">
      <t>チ</t>
    </rPh>
    <rPh sb="9" eb="11">
      <t>セッケイ</t>
    </rPh>
    <rPh sb="11" eb="13">
      <t>キジュン</t>
    </rPh>
    <rPh sb="13" eb="15">
      <t>キョウド</t>
    </rPh>
    <phoneticPr fontId="2"/>
  </si>
  <si>
    <t>（ =</t>
    <phoneticPr fontId="2"/>
  </si>
  <si>
    <r>
      <t>N/mm</t>
    </r>
    <r>
      <rPr>
        <vertAlign val="superscript"/>
        <sz val="10"/>
        <rFont val="ＭＳ 明朝"/>
        <family val="1"/>
        <charset val="128"/>
      </rPr>
      <t>2</t>
    </r>
    <phoneticPr fontId="2"/>
  </si>
  <si>
    <t>(ρm=1.0 ))</t>
    <phoneticPr fontId="2"/>
  </si>
  <si>
    <t>∴</t>
    <phoneticPr fontId="2"/>
  </si>
  <si>
    <r>
      <t>Ｅ</t>
    </r>
    <r>
      <rPr>
        <vertAlign val="subscript"/>
        <sz val="10"/>
        <rFont val="ＭＳ 明朝"/>
        <family val="1"/>
        <charset val="128"/>
      </rPr>
      <t>c</t>
    </r>
    <phoneticPr fontId="2"/>
  </si>
  <si>
    <t>コンクリートのﾔﾝｸﾞ係数</t>
    <rPh sb="11" eb="13">
      <t>ケイスウ</t>
    </rPh>
    <phoneticPr fontId="2"/>
  </si>
  <si>
    <r>
      <t>kN/mm</t>
    </r>
    <r>
      <rPr>
        <vertAlign val="superscript"/>
        <sz val="10"/>
        <rFont val="ＭＳ 明朝"/>
        <family val="1"/>
        <charset val="128"/>
      </rPr>
      <t>2</t>
    </r>
    <r>
      <rPr>
        <sz val="10"/>
        <rFont val="ＭＳ 明朝"/>
        <family val="1"/>
        <charset val="128"/>
      </rPr>
      <t xml:space="preserve"> )</t>
    </r>
    <phoneticPr fontId="2"/>
  </si>
  <si>
    <r>
      <t>f</t>
    </r>
    <r>
      <rPr>
        <vertAlign val="subscript"/>
        <sz val="10"/>
        <rFont val="ＭＳ 明朝"/>
        <family val="1"/>
        <charset val="128"/>
      </rPr>
      <t>tk</t>
    </r>
    <phoneticPr fontId="2"/>
  </si>
  <si>
    <t>引張強度の特性値</t>
    <rPh sb="0" eb="2">
      <t>ヒッパリ</t>
    </rPh>
    <rPh sb="2" eb="4">
      <t>キョウド</t>
    </rPh>
    <rPh sb="5" eb="7">
      <t>トクセイ</t>
    </rPh>
    <rPh sb="7" eb="8">
      <t>チ</t>
    </rPh>
    <phoneticPr fontId="2"/>
  </si>
  <si>
    <r>
      <t>0.23 f'ck</t>
    </r>
    <r>
      <rPr>
        <vertAlign val="superscript"/>
        <sz val="10"/>
        <rFont val="ＭＳ 明朝"/>
        <family val="1"/>
        <charset val="128"/>
      </rPr>
      <t>2/3</t>
    </r>
    <phoneticPr fontId="2"/>
  </si>
  <si>
    <t>∴lch</t>
    <phoneticPr fontId="2"/>
  </si>
  <si>
    <t>∴k1b</t>
    <phoneticPr fontId="2"/>
  </si>
  <si>
    <t>∴σcrd</t>
    <phoneticPr fontId="2"/>
  </si>
  <si>
    <r>
      <t>Ｎ/mm</t>
    </r>
    <r>
      <rPr>
        <vertAlign val="superscript"/>
        <sz val="10"/>
        <rFont val="ＭＳ 明朝"/>
        <family val="1"/>
        <charset val="128"/>
      </rPr>
      <t>2</t>
    </r>
    <phoneticPr fontId="2"/>
  </si>
  <si>
    <t>∴N'd</t>
    <phoneticPr fontId="2"/>
  </si>
  <si>
    <t>設計軸方向圧縮力</t>
    <rPh sb="0" eb="2">
      <t>セッケイ</t>
    </rPh>
    <rPh sb="2" eb="5">
      <t>ジクホウコウ</t>
    </rPh>
    <rPh sb="5" eb="7">
      <t>アッシュク</t>
    </rPh>
    <rPh sb="7" eb="8">
      <t>リョク</t>
    </rPh>
    <phoneticPr fontId="2"/>
  </si>
  <si>
    <r>
      <t>kN</t>
    </r>
    <r>
      <rPr>
        <sz val="10"/>
        <rFont val="ＭＳ 明朝"/>
        <family val="1"/>
        <charset val="128"/>
      </rPr>
      <t xml:space="preserve"> )</t>
    </r>
    <phoneticPr fontId="2"/>
  </si>
  <si>
    <t>∴A</t>
    <phoneticPr fontId="2"/>
  </si>
  <si>
    <t>断面積</t>
    <rPh sb="0" eb="3">
      <t>ダンメンセキ</t>
    </rPh>
    <phoneticPr fontId="2"/>
  </si>
  <si>
    <r>
      <t>mm</t>
    </r>
    <r>
      <rPr>
        <vertAlign val="superscript"/>
        <sz val="10"/>
        <rFont val="ＭＳ 明朝"/>
        <family val="1"/>
        <charset val="128"/>
      </rPr>
      <t>2</t>
    </r>
    <r>
      <rPr>
        <sz val="10"/>
        <rFont val="ＭＳ 明朝"/>
        <family val="1"/>
        <charset val="128"/>
      </rPr>
      <t xml:space="preserve"> )</t>
    </r>
    <phoneticPr fontId="2"/>
  </si>
  <si>
    <t xml:space="preserve">∴Ｍcrd = </t>
    <phoneticPr fontId="2"/>
  </si>
  <si>
    <t>Ｎ/mm</t>
    <phoneticPr fontId="2"/>
  </si>
  <si>
    <t>　永久作用と変動作用が組み合わされた時の設計せん断力Vdが、せん断補強鋼材を用</t>
  </si>
  <si>
    <t>いない棒部材の設計せん断耐力Vcdの70％よりも小さい場合には、せん断ひび割れの</t>
  </si>
  <si>
    <t>検討を省略する。</t>
  </si>
  <si>
    <t>Vd＜0.7Vcdの場合</t>
  </si>
  <si>
    <t>以下の検討を省略する。</t>
  </si>
  <si>
    <t>Vd≧0.7Vcdの場合</t>
  </si>
  <si>
    <t>以下の検討を行う。</t>
  </si>
  <si>
    <t>　せん断ひび割れの検討においては、永久作用によるせん断補強鉄筋の応力度σwpd</t>
  </si>
  <si>
    <t>が鉄筋応力度の制限値σsl2以内とすることにより、せん断ひび割れ幅に関する検討</t>
  </si>
  <si>
    <t>を省略する。</t>
  </si>
  <si>
    <t>σwpd ／ σsl2 ≦ 1.0</t>
  </si>
  <si>
    <t>最大値＝</t>
    <rPh sb="0" eb="2">
      <t>サイダイ</t>
    </rPh>
    <rPh sb="2" eb="3">
      <t>アタイ</t>
    </rPh>
    <phoneticPr fontId="2"/>
  </si>
  <si>
    <t>6)</t>
    <phoneticPr fontId="2"/>
  </si>
  <si>
    <t>(2)</t>
    <phoneticPr fontId="2"/>
  </si>
  <si>
    <t>せん断に対する照査</t>
    <rPh sb="2" eb="3">
      <t>ダン</t>
    </rPh>
    <rPh sb="4" eb="5">
      <t>タイ</t>
    </rPh>
    <rPh sb="7" eb="9">
      <t>ショウサ</t>
    </rPh>
    <phoneticPr fontId="2"/>
  </si>
  <si>
    <t>7)</t>
    <phoneticPr fontId="2"/>
  </si>
  <si>
    <t>＝</t>
    <phoneticPr fontId="8"/>
  </si>
  <si>
    <t>Md</t>
    <phoneticPr fontId="8"/>
  </si>
  <si>
    <t>kN・m</t>
    <phoneticPr fontId="8"/>
  </si>
  <si>
    <r>
      <t>M</t>
    </r>
    <r>
      <rPr>
        <vertAlign val="subscript"/>
        <sz val="10"/>
        <color theme="1"/>
        <rFont val="ＭＳ 明朝"/>
        <family val="1"/>
        <charset val="128"/>
      </rPr>
      <t>d</t>
    </r>
    <r>
      <rPr>
        <sz val="10"/>
        <color theme="1"/>
        <rFont val="ＭＳ 明朝"/>
        <family val="1"/>
        <charset val="128"/>
      </rPr>
      <t xml:space="preserve"> (kN・m)</t>
    </r>
    <phoneticPr fontId="20"/>
  </si>
  <si>
    <r>
      <t>M</t>
    </r>
    <r>
      <rPr>
        <vertAlign val="subscript"/>
        <sz val="10"/>
        <color theme="1"/>
        <rFont val="ＭＳ 明朝"/>
        <family val="1"/>
        <charset val="128"/>
      </rPr>
      <t>cr</t>
    </r>
    <r>
      <rPr>
        <sz val="10"/>
        <color theme="1"/>
        <rFont val="ＭＳ 明朝"/>
        <family val="1"/>
        <charset val="128"/>
      </rPr>
      <t xml:space="preserve"> (kN・m)</t>
    </r>
    <phoneticPr fontId="20"/>
  </si>
  <si>
    <t>部材自重</t>
    <rPh sb="0" eb="2">
      <t>ブザイ</t>
    </rPh>
    <rPh sb="2" eb="4">
      <t>ジジュウ</t>
    </rPh>
    <phoneticPr fontId="20"/>
  </si>
  <si>
    <t>永久作用および変動作用</t>
    <rPh sb="0" eb="2">
      <t>エイキュウ</t>
    </rPh>
    <rPh sb="2" eb="4">
      <t>サヨウ</t>
    </rPh>
    <rPh sb="7" eb="9">
      <t>ヘンドウ</t>
    </rPh>
    <rPh sb="9" eb="11">
      <t>サヨウ</t>
    </rPh>
    <phoneticPr fontId="20"/>
  </si>
  <si>
    <t>永久作用</t>
    <rPh sb="0" eb="4">
      <t>エイキュウサヨウ</t>
    </rPh>
    <phoneticPr fontId="2"/>
  </si>
  <si>
    <t>よって、ε'csd　=</t>
    <phoneticPr fontId="20"/>
  </si>
  <si>
    <t>×</t>
    <phoneticPr fontId="20"/>
  </si>
  <si>
    <t>をひび割れの照査に用いる。</t>
    <rPh sb="3" eb="4">
      <t>ワ</t>
    </rPh>
    <rPh sb="6" eb="8">
      <t>ショウサ</t>
    </rPh>
    <rPh sb="9" eb="10">
      <t>モチ</t>
    </rPh>
    <phoneticPr fontId="20"/>
  </si>
  <si>
    <t>(1) 曲げひび割れの検討</t>
    <phoneticPr fontId="2"/>
  </si>
  <si>
    <t>1) 曲げひび割れに対する部材の検討方法</t>
    <phoneticPr fontId="2"/>
  </si>
  <si>
    <t>2) 永久作用による引張鉄筋の応力度による検討</t>
    <phoneticPr fontId="2"/>
  </si>
  <si>
    <t>3) 曲げひび割れ幅の検討</t>
    <phoneticPr fontId="2"/>
  </si>
  <si>
    <t xml:space="preserve">(a) 設計曲げひび割れ耐力 Ｍcrd </t>
    <phoneticPr fontId="2"/>
  </si>
  <si>
    <t>(b) 部材自重による曲げモーメント</t>
    <phoneticPr fontId="2"/>
  </si>
  <si>
    <t>(c) ε'csd の設定</t>
    <rPh sb="11" eb="13">
      <t>セッテイ</t>
    </rPh>
    <phoneticPr fontId="2"/>
  </si>
  <si>
    <r>
      <t>曲げひび割れ幅の検討に用いるε'</t>
    </r>
    <r>
      <rPr>
        <vertAlign val="subscript"/>
        <sz val="10"/>
        <color theme="1"/>
        <rFont val="ＭＳ 明朝"/>
        <family val="1"/>
        <charset val="128"/>
      </rPr>
      <t>csd</t>
    </r>
    <r>
      <rPr>
        <sz val="10"/>
        <color theme="1"/>
        <rFont val="ＭＳ 明朝"/>
        <family val="1"/>
        <charset val="128"/>
      </rPr>
      <t>について次表に示される中から適切なものを設定する。</t>
    </r>
    <rPh sb="0" eb="1">
      <t>マ</t>
    </rPh>
    <rPh sb="4" eb="5">
      <t>ワ</t>
    </rPh>
    <rPh sb="6" eb="7">
      <t>ハバ</t>
    </rPh>
    <rPh sb="8" eb="10">
      <t>ケントウ</t>
    </rPh>
    <rPh sb="11" eb="12">
      <t>モチ</t>
    </rPh>
    <rPh sb="23" eb="24">
      <t>ツギ</t>
    </rPh>
    <rPh sb="24" eb="25">
      <t>ヒョウ</t>
    </rPh>
    <rPh sb="26" eb="27">
      <t>シメ</t>
    </rPh>
    <rPh sb="30" eb="31">
      <t>ナカ</t>
    </rPh>
    <rPh sb="33" eb="35">
      <t>テキセツ</t>
    </rPh>
    <rPh sb="39" eb="41">
      <t>セッテイ</t>
    </rPh>
    <phoneticPr fontId="2"/>
  </si>
  <si>
    <r>
      <t>ε'</t>
    </r>
    <r>
      <rPr>
        <vertAlign val="subscript"/>
        <sz val="10"/>
        <color theme="1"/>
        <rFont val="ＭＳ 明朝"/>
        <family val="1"/>
        <charset val="128"/>
      </rPr>
      <t>csd</t>
    </r>
    <r>
      <rPr>
        <sz val="10"/>
        <color theme="1"/>
        <rFont val="ＭＳ 明朝"/>
        <family val="1"/>
        <charset val="128"/>
      </rPr>
      <t>(×10</t>
    </r>
    <r>
      <rPr>
        <vertAlign val="superscript"/>
        <sz val="10"/>
        <color theme="1"/>
        <rFont val="ＭＳ 明朝"/>
        <family val="1"/>
        <charset val="128"/>
      </rPr>
      <t>-6</t>
    </r>
    <r>
      <rPr>
        <sz val="10"/>
        <color theme="1"/>
        <rFont val="ＭＳ 明朝"/>
        <family val="1"/>
        <charset val="128"/>
      </rPr>
      <t>)</t>
    </r>
    <phoneticPr fontId="2"/>
  </si>
  <si>
    <t>ひび割れ発生材齢</t>
    <rPh sb="2" eb="3">
      <t>ワ</t>
    </rPh>
    <rPh sb="4" eb="6">
      <t>ハッセイ</t>
    </rPh>
    <rPh sb="6" eb="8">
      <t>ザイレイ</t>
    </rPh>
    <phoneticPr fontId="2"/>
  </si>
  <si>
    <r>
      <t>ε'</t>
    </r>
    <r>
      <rPr>
        <sz val="8"/>
        <color theme="1"/>
        <rFont val="ＭＳ 明朝"/>
        <family val="1"/>
        <charset val="128"/>
      </rPr>
      <t>csd</t>
    </r>
    <phoneticPr fontId="2"/>
  </si>
  <si>
    <t>備考</t>
    <rPh sb="0" eb="2">
      <t>ビコウ</t>
    </rPh>
    <phoneticPr fontId="2"/>
  </si>
  <si>
    <t>30日</t>
    <rPh sb="2" eb="3">
      <t>ニチ</t>
    </rPh>
    <phoneticPr fontId="2"/>
  </si>
  <si>
    <t>部材自重により曲げひび割れが発生する場合</t>
    <rPh sb="0" eb="2">
      <t>ブザイ</t>
    </rPh>
    <rPh sb="2" eb="4">
      <t>ジジュウ</t>
    </rPh>
    <rPh sb="7" eb="8">
      <t>マ</t>
    </rPh>
    <rPh sb="11" eb="12">
      <t>ワ</t>
    </rPh>
    <rPh sb="14" eb="16">
      <t>ハッセイ</t>
    </rPh>
    <rPh sb="18" eb="20">
      <t>バアイ</t>
    </rPh>
    <phoneticPr fontId="2"/>
  </si>
  <si>
    <t>(RC構造の桁または梁等)</t>
    <rPh sb="3" eb="5">
      <t>コウゾウ</t>
    </rPh>
    <rPh sb="6" eb="7">
      <t>ケタ</t>
    </rPh>
    <rPh sb="10" eb="11">
      <t>ハリ</t>
    </rPh>
    <rPh sb="11" eb="12">
      <t>ナド</t>
    </rPh>
    <phoneticPr fontId="2"/>
  </si>
  <si>
    <t>100日</t>
    <rPh sb="3" eb="4">
      <t>ニチ</t>
    </rPh>
    <phoneticPr fontId="2"/>
  </si>
  <si>
    <t>永久作用により曲げひび割れが発生する場合</t>
    <rPh sb="0" eb="4">
      <t>エイキュウサヨウ</t>
    </rPh>
    <rPh sb="7" eb="8">
      <t>マ</t>
    </rPh>
    <rPh sb="11" eb="12">
      <t>ワ</t>
    </rPh>
    <rPh sb="14" eb="16">
      <t>ハッセイ</t>
    </rPh>
    <rPh sb="18" eb="20">
      <t>バアイ</t>
    </rPh>
    <phoneticPr fontId="2"/>
  </si>
  <si>
    <t>(外ケーブル方式によるPRC構造の桁、スラブ等)</t>
    <rPh sb="1" eb="2">
      <t>ソト</t>
    </rPh>
    <rPh sb="6" eb="8">
      <t>ホウシキ</t>
    </rPh>
    <rPh sb="14" eb="16">
      <t>コウゾウ</t>
    </rPh>
    <rPh sb="17" eb="18">
      <t>ケタ</t>
    </rPh>
    <rPh sb="22" eb="23">
      <t>ナド</t>
    </rPh>
    <phoneticPr fontId="2"/>
  </si>
  <si>
    <t>200日以上</t>
    <rPh sb="3" eb="4">
      <t>ニチ</t>
    </rPh>
    <rPh sb="4" eb="6">
      <t>イジョウ</t>
    </rPh>
    <phoneticPr fontId="2"/>
  </si>
  <si>
    <t>永久作用および変動作用により曲げひび割れが発生する場合</t>
    <rPh sb="0" eb="4">
      <t>エイキュウサヨウ</t>
    </rPh>
    <rPh sb="7" eb="9">
      <t>ヘンドウ</t>
    </rPh>
    <rPh sb="9" eb="11">
      <t>サヨウ</t>
    </rPh>
    <rPh sb="14" eb="15">
      <t>マ</t>
    </rPh>
    <rPh sb="18" eb="19">
      <t>ワ</t>
    </rPh>
    <rPh sb="21" eb="23">
      <t>ハッセイ</t>
    </rPh>
    <rPh sb="25" eb="27">
      <t>バアイ</t>
    </rPh>
    <phoneticPr fontId="2"/>
  </si>
  <si>
    <t>(内ケーブル方式によるPRC構造の桁、ラーメン高架橋の柱部材等)</t>
    <rPh sb="1" eb="2">
      <t>ウチ</t>
    </rPh>
    <rPh sb="6" eb="8">
      <t>ホウシキ</t>
    </rPh>
    <rPh sb="14" eb="16">
      <t>コウゾウ</t>
    </rPh>
    <rPh sb="17" eb="18">
      <t>ケタ</t>
    </rPh>
    <rPh sb="23" eb="26">
      <t>コウカキョウ</t>
    </rPh>
    <rPh sb="27" eb="28">
      <t>ハシラ</t>
    </rPh>
    <rPh sb="28" eb="30">
      <t>ブザイ</t>
    </rPh>
    <rPh sb="30" eb="31">
      <t>ナド</t>
    </rPh>
    <phoneticPr fontId="2"/>
  </si>
  <si>
    <r>
      <t>曲げひび割れモーメントを計算し、設計作用と比較することにより、ε'</t>
    </r>
    <r>
      <rPr>
        <vertAlign val="subscript"/>
        <sz val="10"/>
        <color theme="1"/>
        <rFont val="ＭＳ 明朝"/>
        <family val="1"/>
        <charset val="128"/>
      </rPr>
      <t>csd</t>
    </r>
    <r>
      <rPr>
        <sz val="10"/>
        <color theme="1"/>
        <rFont val="ＭＳ 明朝"/>
        <family val="1"/>
        <charset val="128"/>
      </rPr>
      <t>を設定する。</t>
    </r>
    <rPh sb="0" eb="1">
      <t>マ</t>
    </rPh>
    <rPh sb="4" eb="5">
      <t>ワ</t>
    </rPh>
    <rPh sb="12" eb="14">
      <t>ケイサン</t>
    </rPh>
    <rPh sb="16" eb="18">
      <t>セッケイ</t>
    </rPh>
    <rPh sb="18" eb="20">
      <t>サヨウ</t>
    </rPh>
    <rPh sb="21" eb="23">
      <t>ヒカク</t>
    </rPh>
    <rPh sb="37" eb="39">
      <t>セッテイ</t>
    </rPh>
    <phoneticPr fontId="20"/>
  </si>
  <si>
    <t>(2) せん断ひび割れの検討</t>
    <phoneticPr fontId="2"/>
  </si>
  <si>
    <t>1) せん断ひび割れの検討を省略できる部材</t>
    <phoneticPr fontId="2"/>
  </si>
  <si>
    <t>2) せん断ひび割れの検討</t>
    <phoneticPr fontId="2"/>
  </si>
  <si>
    <t>ΣＮ</t>
    <phoneticPr fontId="2"/>
  </si>
  <si>
    <t>＝</t>
    <phoneticPr fontId="2"/>
  </si>
  <si>
    <r>
      <t>10</t>
    </r>
    <r>
      <rPr>
        <vertAlign val="superscript"/>
        <sz val="10"/>
        <rFont val="ＭＳ 明朝"/>
        <family val="1"/>
        <charset val="128"/>
      </rPr>
      <t>3</t>
    </r>
    <r>
      <rPr>
        <sz val="10"/>
        <rFont val="ＭＳ 明朝"/>
        <family val="1"/>
        <charset val="128"/>
      </rPr>
      <t xml:space="preserve"> 回</t>
    </r>
    <rPh sb="4" eb="5">
      <t>カイ</t>
    </rPh>
    <phoneticPr fontId="2"/>
  </si>
  <si>
    <t>13.3 安全性（破壊）の照査</t>
    <rPh sb="5" eb="8">
      <t>アンゼンセイ</t>
    </rPh>
    <rPh sb="9" eb="11">
      <t>ハカイ</t>
    </rPh>
    <rPh sb="13" eb="15">
      <t>ショウサ</t>
    </rPh>
    <phoneticPr fontId="2"/>
  </si>
  <si>
    <t>13.4 安全性（疲労破壊）の照査</t>
    <rPh sb="5" eb="8">
      <t>アンゼンセイ</t>
    </rPh>
    <rPh sb="9" eb="11">
      <t>ヒロウ</t>
    </rPh>
    <rPh sb="11" eb="13">
      <t>ハカイ</t>
    </rPh>
    <rPh sb="15" eb="17">
      <t>ショウサ</t>
    </rPh>
    <phoneticPr fontId="2"/>
  </si>
  <si>
    <t>13.5 耐久性の照査</t>
    <rPh sb="5" eb="7">
      <t>タイキュウ</t>
    </rPh>
    <rPh sb="7" eb="8">
      <t>セイ</t>
    </rPh>
    <rPh sb="9" eb="11">
      <t>ショウサ</t>
    </rPh>
    <phoneticPr fontId="2"/>
  </si>
  <si>
    <t>13.6 復旧性の照査</t>
    <phoneticPr fontId="2"/>
  </si>
  <si>
    <t>部材係数</t>
    <phoneticPr fontId="2"/>
  </si>
  <si>
    <t>構造物係数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</si>
</sst>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0.00_ "/>
    <numFmt numFmtId="177" formatCode="0.000"/>
    <numFmt numFmtId="178" formatCode="0.000_ "/>
    <numFmt numFmtId="179" formatCode="0.0"/>
    <numFmt numFmtId="180" formatCode="0.0000"/>
    <numFmt numFmtId="181" formatCode="#\ ?/2"/>
    <numFmt numFmtId="182" formatCode="&quot;（&quot;@&quot;）&quot;"/>
    <numFmt numFmtId="183" formatCode="0_ "/>
    <numFmt numFmtId="184" formatCode="0.0_ "/>
    <numFmt numFmtId="185" formatCode="#\ ?/100"/>
    <numFmt numFmtId="186" formatCode="#\ ?/3"/>
    <numFmt numFmtId="187" formatCode="0.0000_ "/>
    <numFmt numFmtId="188" formatCode="0_);[Red]\(0\)"/>
    <numFmt numFmtId="189" formatCode="&quot;1/&quot;0.00"/>
  </numFmts>
  <fonts count="28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ＭＳ 明朝"/>
      <family val="1"/>
      <charset val="128"/>
    </font>
    <font>
      <sz val="11"/>
      <name val="ＭＳ Ｐゴシック"/>
      <family val="3"/>
      <charset val="128"/>
    </font>
    <font>
      <vertAlign val="superscript"/>
      <sz val="10"/>
      <name val="ＭＳ 明朝"/>
      <family val="1"/>
      <charset val="128"/>
    </font>
    <font>
      <sz val="10"/>
      <color indexed="10"/>
      <name val="ＭＳ 明朝"/>
      <family val="1"/>
      <charset val="128"/>
    </font>
    <font>
      <sz val="10"/>
      <name val="ＭＳ ゴシック"/>
      <family val="3"/>
      <charset val="128"/>
    </font>
    <font>
      <sz val="6"/>
      <name val="ＭＳ 明朝"/>
      <family val="1"/>
      <charset val="128"/>
    </font>
    <font>
      <sz val="11"/>
      <name val="ＭＳ 明朝"/>
      <family val="1"/>
      <charset val="128"/>
    </font>
    <font>
      <sz val="7"/>
      <name val="Small Fonts"/>
      <family val="3"/>
      <charset val="128"/>
    </font>
    <font>
      <sz val="10"/>
      <name val="MS Sans Serif"/>
      <family val="2"/>
    </font>
    <font>
      <sz val="14"/>
      <name val="ＭＳ 明朝"/>
      <family val="1"/>
      <charset val="128"/>
    </font>
    <font>
      <sz val="10"/>
      <color indexed="10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2"/>
      <charset val="128"/>
      <scheme val="minor"/>
    </font>
    <font>
      <sz val="10.5"/>
      <name val="ＭＳ 明朝"/>
      <family val="1"/>
      <charset val="128"/>
    </font>
    <font>
      <vertAlign val="subscript"/>
      <sz val="10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10"/>
      <color rgb="FFFF000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vertAlign val="superscript"/>
      <sz val="10"/>
      <color theme="1"/>
      <name val="ＭＳ 明朝"/>
      <family val="1"/>
      <charset val="128"/>
    </font>
    <font>
      <vertAlign val="subscript"/>
      <sz val="10"/>
      <color theme="1"/>
      <name val="ＭＳ 明朝"/>
      <family val="1"/>
      <charset val="128"/>
    </font>
    <font>
      <sz val="11"/>
      <name val="ＭＳ Ｐゴシック"/>
      <family val="2"/>
      <charset val="128"/>
      <scheme val="minor"/>
    </font>
    <font>
      <sz val="10"/>
      <color theme="1"/>
      <name val="ＭＳ ゴシック"/>
      <family val="3"/>
      <charset val="128"/>
    </font>
    <font>
      <sz val="8"/>
      <color theme="1"/>
      <name val="ＭＳ 明朝"/>
      <family val="1"/>
      <charset val="128"/>
    </font>
    <font>
      <sz val="9.5"/>
      <name val="ＭＳ 明朝"/>
      <family val="1"/>
      <charset val="128"/>
    </font>
    <font>
      <vertAlign val="superscript"/>
      <sz val="8"/>
      <color rgb="FFFF0000"/>
      <name val="ＭＳ 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</fills>
  <borders count="5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</borders>
  <cellStyleXfs count="162">
    <xf numFmtId="0" fontId="0" fillId="0" borderId="0"/>
    <xf numFmtId="182" fontId="3" fillId="2" borderId="0" applyFill="0" applyBorder="0" applyProtection="0">
      <protection locked="0"/>
    </xf>
    <xf numFmtId="1" fontId="3" fillId="0" borderId="0" applyFont="0" applyFill="0" applyBorder="0" applyProtection="0"/>
    <xf numFmtId="179" fontId="3" fillId="0" borderId="0" applyFill="0" applyBorder="0" applyProtection="0"/>
    <xf numFmtId="2" fontId="3" fillId="0" borderId="0" applyFont="0" applyFill="0" applyBorder="0" applyProtection="0"/>
    <xf numFmtId="177" fontId="3" fillId="2" borderId="0" applyFill="0" applyBorder="0" applyProtection="0"/>
    <xf numFmtId="180" fontId="3" fillId="2" borderId="0" applyFill="0" applyBorder="0" applyProtection="0"/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" fontId="3" fillId="2" borderId="0" applyFill="0" applyBorder="0" applyProtection="0">
      <alignment horizontal="center"/>
    </xf>
    <xf numFmtId="181" fontId="3" fillId="0" borderId="0" applyFont="0" applyFill="0" applyBorder="0" applyProtection="0">
      <alignment horizontal="center"/>
    </xf>
    <xf numFmtId="12" fontId="3" fillId="0" borderId="0" applyFont="0" applyFill="0" applyBorder="0" applyProtection="0">
      <alignment horizontal="center"/>
    </xf>
    <xf numFmtId="37" fontId="10" fillId="0" borderId="0"/>
    <xf numFmtId="0" fontId="11" fillId="0" borderId="0"/>
    <xf numFmtId="0" fontId="3" fillId="0" borderId="0">
      <alignment vertical="center"/>
      <protection locked="0"/>
    </xf>
    <xf numFmtId="0" fontId="9" fillId="0" borderId="0"/>
    <xf numFmtId="0" fontId="12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6" fontId="16" fillId="0" borderId="0"/>
    <xf numFmtId="0" fontId="1" fillId="0" borderId="0">
      <alignment vertical="center"/>
    </xf>
  </cellStyleXfs>
  <cellXfs count="268">
    <xf numFmtId="0" fontId="0" fillId="0" borderId="0" xfId="0"/>
    <xf numFmtId="0" fontId="3" fillId="0" borderId="0" xfId="0" applyFo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/>
    <xf numFmtId="0" fontId="7" fillId="3" borderId="1" xfId="0" applyFont="1" applyFill="1" applyBorder="1" applyAlignment="1">
      <alignment horizontal="center"/>
    </xf>
    <xf numFmtId="183" fontId="13" fillId="0" borderId="0" xfId="0" applyNumberFormat="1" applyFont="1" applyBorder="1" applyAlignment="1">
      <alignment horizontal="center"/>
    </xf>
    <xf numFmtId="178" fontId="13" fillId="0" borderId="0" xfId="0" applyNumberFormat="1" applyFont="1" applyBorder="1" applyAlignment="1">
      <alignment horizontal="center"/>
    </xf>
    <xf numFmtId="0" fontId="7" fillId="0" borderId="0" xfId="0" applyFont="1" applyBorder="1"/>
    <xf numFmtId="178" fontId="13" fillId="0" borderId="1" xfId="0" applyNumberFormat="1" applyFont="1" applyBorder="1" applyAlignment="1">
      <alignment horizontal="center"/>
    </xf>
    <xf numFmtId="0" fontId="3" fillId="0" borderId="0" xfId="156" applyFont="1" applyAlignment="1">
      <alignment vertical="center"/>
    </xf>
    <xf numFmtId="0" fontId="7" fillId="0" borderId="0" xfId="157" applyFont="1" applyAlignment="1">
      <alignment vertical="center"/>
    </xf>
    <xf numFmtId="0" fontId="7" fillId="0" borderId="0" xfId="156" quotePrefix="1" applyFont="1" applyAlignment="1">
      <alignment horizontal="right" vertical="center"/>
    </xf>
    <xf numFmtId="0" fontId="7" fillId="0" borderId="0" xfId="156" applyFont="1" applyAlignment="1">
      <alignment vertical="center"/>
    </xf>
    <xf numFmtId="0" fontId="3" fillId="0" borderId="0" xfId="156" applyFont="1" applyAlignment="1">
      <alignment horizontal="center" vertical="center"/>
    </xf>
    <xf numFmtId="0" fontId="5" fillId="0" borderId="0" xfId="156" applyFont="1" applyAlignment="1">
      <alignment vertical="center"/>
    </xf>
    <xf numFmtId="0" fontId="3" fillId="0" borderId="1" xfId="156" applyFont="1" applyBorder="1" applyAlignment="1">
      <alignment horizontal="center" vertical="center"/>
    </xf>
    <xf numFmtId="0" fontId="3" fillId="0" borderId="1" xfId="156" applyFont="1" applyBorder="1" applyAlignment="1">
      <alignment vertical="center"/>
    </xf>
    <xf numFmtId="0" fontId="5" fillId="0" borderId="1" xfId="156" applyFont="1" applyBorder="1" applyAlignment="1">
      <alignment horizontal="left" vertical="center"/>
    </xf>
    <xf numFmtId="0" fontId="3" fillId="0" borderId="16" xfId="156" applyFont="1" applyBorder="1" applyAlignment="1">
      <alignment vertical="center"/>
    </xf>
    <xf numFmtId="0" fontId="3" fillId="0" borderId="17" xfId="156" applyFont="1" applyBorder="1" applyAlignment="1">
      <alignment vertical="center"/>
    </xf>
    <xf numFmtId="0" fontId="3" fillId="0" borderId="17" xfId="156" applyFont="1" applyBorder="1" applyAlignment="1">
      <alignment horizontal="center" vertical="center"/>
    </xf>
    <xf numFmtId="0" fontId="3" fillId="0" borderId="18" xfId="156" applyFont="1" applyBorder="1" applyAlignment="1">
      <alignment vertical="center"/>
    </xf>
    <xf numFmtId="0" fontId="3" fillId="0" borderId="0" xfId="156" applyFont="1" applyAlignment="1">
      <alignment horizontal="right" vertical="center"/>
    </xf>
    <xf numFmtId="0" fontId="8" fillId="0" borderId="0" xfId="156" applyFont="1" applyAlignment="1">
      <alignment horizontal="center"/>
    </xf>
    <xf numFmtId="0" fontId="3" fillId="0" borderId="0" xfId="156" applyFont="1" applyAlignment="1">
      <alignment vertical="center"/>
    </xf>
    <xf numFmtId="0" fontId="8" fillId="0" borderId="0" xfId="156" applyFont="1" applyAlignment="1">
      <alignment horizontal="center" vertical="top"/>
    </xf>
    <xf numFmtId="0" fontId="5" fillId="0" borderId="0" xfId="156" applyFont="1" applyAlignment="1">
      <alignment horizontal="left" vertical="center"/>
    </xf>
    <xf numFmtId="0" fontId="3" fillId="0" borderId="3" xfId="156" applyFont="1" applyBorder="1" applyAlignment="1">
      <alignment vertical="center"/>
    </xf>
    <xf numFmtId="0" fontId="3" fillId="0" borderId="1" xfId="156" applyFont="1" applyBorder="1" applyAlignment="1">
      <alignment horizontal="right" vertical="center"/>
    </xf>
    <xf numFmtId="0" fontId="3" fillId="0" borderId="0" xfId="156" applyFont="1"/>
    <xf numFmtId="0" fontId="3" fillId="0" borderId="0" xfId="157" applyFont="1" applyAlignment="1">
      <alignment vertical="center"/>
    </xf>
    <xf numFmtId="0" fontId="7" fillId="0" borderId="0" xfId="158" applyFont="1" applyAlignment="1">
      <alignment vertical="center"/>
    </xf>
    <xf numFmtId="179" fontId="3" fillId="0" borderId="0" xfId="157" applyNumberFormat="1" applyFont="1" applyAlignment="1">
      <alignment vertical="center"/>
    </xf>
    <xf numFmtId="0" fontId="3" fillId="0" borderId="0" xfId="157" applyFont="1" applyAlignment="1">
      <alignment horizontal="right" vertical="center"/>
    </xf>
    <xf numFmtId="0" fontId="3" fillId="0" borderId="0" xfId="157" applyFont="1" applyAlignment="1">
      <alignment horizontal="center" vertical="center"/>
    </xf>
    <xf numFmtId="0" fontId="6" fillId="0" borderId="0" xfId="157" applyFont="1" applyAlignment="1">
      <alignment vertical="center"/>
    </xf>
    <xf numFmtId="0" fontId="3" fillId="0" borderId="0" xfId="157" applyFont="1" applyAlignment="1">
      <alignment horizontal="left" vertical="center"/>
    </xf>
    <xf numFmtId="0" fontId="7" fillId="0" borderId="0" xfId="156" applyFont="1" applyAlignment="1">
      <alignment horizontal="right" vertical="center"/>
    </xf>
    <xf numFmtId="0" fontId="3" fillId="0" borderId="0" xfId="159" applyFont="1" applyAlignment="1">
      <alignment vertical="center"/>
    </xf>
    <xf numFmtId="0" fontId="7" fillId="0" borderId="0" xfId="159" applyFont="1" applyAlignment="1">
      <alignment vertical="center"/>
    </xf>
    <xf numFmtId="179" fontId="3" fillId="0" borderId="0" xfId="159" applyNumberFormat="1" applyFont="1" applyAlignment="1">
      <alignment vertical="center"/>
    </xf>
    <xf numFmtId="0" fontId="3" fillId="0" borderId="0" xfId="159" applyFont="1" applyAlignment="1">
      <alignment horizontal="right" vertical="center"/>
    </xf>
    <xf numFmtId="0" fontId="3" fillId="0" borderId="0" xfId="159" applyFont="1" applyAlignment="1">
      <alignment horizontal="center" vertical="center"/>
    </xf>
    <xf numFmtId="0" fontId="6" fillId="0" borderId="0" xfId="159" applyFont="1" applyAlignment="1">
      <alignment vertical="center"/>
    </xf>
    <xf numFmtId="0" fontId="3" fillId="0" borderId="0" xfId="158" applyFont="1" applyAlignment="1">
      <alignment vertical="center"/>
    </xf>
    <xf numFmtId="176" fontId="3" fillId="0" borderId="0" xfId="160" applyFont="1"/>
    <xf numFmtId="176" fontId="3" fillId="0" borderId="3" xfId="160" applyFont="1" applyBorder="1" applyAlignment="1">
      <alignment horizontal="center"/>
    </xf>
    <xf numFmtId="176" fontId="3" fillId="0" borderId="0" xfId="160" applyFont="1" applyAlignment="1">
      <alignment horizontal="center" vertical="center"/>
    </xf>
    <xf numFmtId="176" fontId="3" fillId="0" borderId="0" xfId="160" applyFont="1" applyAlignment="1">
      <alignment horizontal="right"/>
    </xf>
    <xf numFmtId="0" fontId="5" fillId="0" borderId="0" xfId="160" applyNumberFormat="1" applyFont="1" applyAlignment="1">
      <alignment horizontal="left"/>
    </xf>
    <xf numFmtId="0" fontId="3" fillId="0" borderId="0" xfId="160" applyNumberFormat="1" applyFont="1"/>
    <xf numFmtId="0" fontId="5" fillId="0" borderId="0" xfId="160" quotePrefix="1" applyNumberFormat="1" applyFont="1" applyAlignment="1">
      <alignment horizontal="left"/>
    </xf>
    <xf numFmtId="176" fontId="3" fillId="0" borderId="0" xfId="160" applyFont="1" applyAlignment="1">
      <alignment vertical="center"/>
    </xf>
    <xf numFmtId="176" fontId="3" fillId="0" borderId="0" xfId="160" applyFont="1" applyAlignment="1">
      <alignment horizontal="right" vertical="center"/>
    </xf>
    <xf numFmtId="11" fontId="3" fillId="0" borderId="0" xfId="160" applyNumberFormat="1" applyFont="1" applyAlignment="1">
      <alignment horizontal="center"/>
    </xf>
    <xf numFmtId="11" fontId="3" fillId="0" borderId="0" xfId="160" applyNumberFormat="1" applyFont="1" applyAlignment="1">
      <alignment vertical="center"/>
    </xf>
    <xf numFmtId="184" fontId="3" fillId="0" borderId="0" xfId="160" applyNumberFormat="1" applyFont="1" applyAlignment="1">
      <alignment vertical="center"/>
    </xf>
    <xf numFmtId="178" fontId="13" fillId="0" borderId="3" xfId="0" applyNumberFormat="1" applyFont="1" applyBorder="1" applyAlignment="1">
      <alignment horizontal="center"/>
    </xf>
    <xf numFmtId="183" fontId="13" fillId="0" borderId="3" xfId="0" applyNumberFormat="1" applyFont="1" applyBorder="1" applyAlignment="1">
      <alignment horizontal="center"/>
    </xf>
    <xf numFmtId="0" fontId="18" fillId="0" borderId="0" xfId="161" applyFont="1">
      <alignment vertical="center"/>
    </xf>
    <xf numFmtId="0" fontId="18" fillId="0" borderId="3" xfId="161" applyFont="1" applyBorder="1">
      <alignment vertical="center"/>
    </xf>
    <xf numFmtId="0" fontId="21" fillId="0" borderId="0" xfId="161" applyFont="1" applyAlignment="1">
      <alignment horizontal="left" vertical="center"/>
    </xf>
    <xf numFmtId="0" fontId="18" fillId="0" borderId="0" xfId="161" applyFont="1" applyAlignment="1">
      <alignment horizontal="right" vertical="center"/>
    </xf>
    <xf numFmtId="0" fontId="24" fillId="0" borderId="0" xfId="161" applyFont="1">
      <alignment vertical="center"/>
    </xf>
    <xf numFmtId="0" fontId="18" fillId="0" borderId="36" xfId="161" applyFont="1" applyBorder="1">
      <alignment vertical="center"/>
    </xf>
    <xf numFmtId="0" fontId="18" fillId="0" borderId="1" xfId="161" applyFont="1" applyBorder="1">
      <alignment vertical="center"/>
    </xf>
    <xf numFmtId="0" fontId="18" fillId="0" borderId="44" xfId="161" applyFont="1" applyBorder="1">
      <alignment vertical="center"/>
    </xf>
    <xf numFmtId="0" fontId="3" fillId="0" borderId="0" xfId="156" applyFont="1" applyAlignment="1">
      <alignment vertical="center"/>
    </xf>
    <xf numFmtId="0" fontId="3" fillId="0" borderId="0" xfId="158" applyFont="1"/>
    <xf numFmtId="0" fontId="3" fillId="0" borderId="0" xfId="158" applyFont="1" applyAlignment="1">
      <alignment horizontal="right"/>
    </xf>
    <xf numFmtId="0" fontId="3" fillId="0" borderId="0" xfId="158" applyFont="1" applyAlignment="1">
      <alignment horizontal="center" wrapText="1"/>
    </xf>
    <xf numFmtId="0" fontId="3" fillId="0" borderId="0" xfId="158" applyFont="1" applyAlignment="1">
      <alignment horizontal="center"/>
    </xf>
    <xf numFmtId="183" fontId="3" fillId="0" borderId="0" xfId="158" applyNumberFormat="1" applyFont="1"/>
    <xf numFmtId="177" fontId="3" fillId="0" borderId="0" xfId="158" applyNumberFormat="1" applyFont="1"/>
    <xf numFmtId="0" fontId="3" fillId="0" borderId="0" xfId="157" applyFont="1" applyAlignment="1">
      <alignment vertical="center"/>
    </xf>
    <xf numFmtId="0" fontId="3" fillId="0" borderId="0" xfId="157" applyFont="1" applyAlignment="1">
      <alignment horizontal="right" vertical="center"/>
    </xf>
    <xf numFmtId="0" fontId="3" fillId="0" borderId="0" xfId="157" applyFont="1" applyAlignment="1">
      <alignment horizontal="center" vertical="center"/>
    </xf>
    <xf numFmtId="11" fontId="3" fillId="0" borderId="0" xfId="160" applyNumberFormat="1" applyFont="1" applyAlignment="1">
      <alignment horizontal="center"/>
    </xf>
    <xf numFmtId="176" fontId="3" fillId="0" borderId="0" xfId="160" applyFont="1" applyAlignment="1">
      <alignment horizontal="right" vertical="center"/>
    </xf>
    <xf numFmtId="176" fontId="3" fillId="0" borderId="0" xfId="160" applyFont="1" applyAlignment="1">
      <alignment horizontal="center" vertical="center"/>
    </xf>
    <xf numFmtId="11" fontId="3" fillId="0" borderId="0" xfId="160" applyNumberFormat="1" applyFont="1" applyAlignment="1">
      <alignment vertical="center"/>
    </xf>
    <xf numFmtId="184" fontId="3" fillId="0" borderId="0" xfId="16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157" applyFont="1" applyAlignment="1">
      <alignment horizontal="center"/>
    </xf>
    <xf numFmtId="0" fontId="3" fillId="0" borderId="3" xfId="157" applyFont="1" applyBorder="1" applyAlignment="1">
      <alignment horizontal="center"/>
    </xf>
    <xf numFmtId="0" fontId="3" fillId="0" borderId="0" xfId="157" applyFont="1" applyAlignment="1">
      <alignment vertical="center"/>
    </xf>
    <xf numFmtId="0" fontId="3" fillId="0" borderId="0" xfId="157" applyFont="1" applyAlignment="1">
      <alignment horizontal="right" vertical="center"/>
    </xf>
    <xf numFmtId="0" fontId="3" fillId="0" borderId="0" xfId="157" applyFont="1" applyAlignment="1">
      <alignment horizontal="left" vertical="center"/>
    </xf>
    <xf numFmtId="0" fontId="3" fillId="0" borderId="0" xfId="157" applyFont="1" applyAlignment="1">
      <alignment horizontal="center" vertical="center"/>
    </xf>
    <xf numFmtId="0" fontId="3" fillId="0" borderId="0" xfId="157" applyFont="1" applyAlignment="1">
      <alignment horizontal="center" vertical="top"/>
    </xf>
    <xf numFmtId="177" fontId="3" fillId="0" borderId="0" xfId="158" applyNumberFormat="1" applyFont="1" applyAlignment="1">
      <alignment horizontal="center"/>
    </xf>
    <xf numFmtId="189" fontId="27" fillId="0" borderId="0" xfId="158" applyNumberFormat="1" applyFont="1" applyAlignment="1">
      <alignment horizontal="left" vertical="center" shrinkToFit="1"/>
    </xf>
    <xf numFmtId="184" fontId="3" fillId="0" borderId="0" xfId="158" applyNumberFormat="1" applyFont="1" applyAlignment="1">
      <alignment horizontal="right"/>
    </xf>
    <xf numFmtId="178" fontId="3" fillId="0" borderId="10" xfId="156" applyNumberFormat="1" applyFont="1" applyBorder="1" applyAlignment="1">
      <alignment horizontal="right"/>
    </xf>
    <xf numFmtId="178" fontId="3" fillId="0" borderId="35" xfId="156" applyNumberFormat="1" applyFont="1" applyBorder="1" applyAlignment="1">
      <alignment horizontal="right"/>
    </xf>
    <xf numFmtId="176" fontId="6" fillId="0" borderId="5" xfId="156" applyNumberFormat="1" applyFont="1" applyBorder="1" applyAlignment="1">
      <alignment horizontal="right"/>
    </xf>
    <xf numFmtId="176" fontId="6" fillId="0" borderId="9" xfId="156" applyNumberFormat="1" applyFont="1" applyBorder="1" applyAlignment="1">
      <alignment horizontal="right"/>
    </xf>
    <xf numFmtId="0" fontId="3" fillId="0" borderId="31" xfId="156" applyFont="1" applyBorder="1" applyAlignment="1">
      <alignment horizontal="center"/>
    </xf>
    <xf numFmtId="176" fontId="6" fillId="0" borderId="8" xfId="156" applyNumberFormat="1" applyFont="1" applyBorder="1" applyAlignment="1">
      <alignment horizontal="right"/>
    </xf>
    <xf numFmtId="176" fontId="6" fillId="0" borderId="6" xfId="156" applyNumberFormat="1" applyFont="1" applyBorder="1" applyAlignment="1">
      <alignment horizontal="right"/>
    </xf>
    <xf numFmtId="176" fontId="6" fillId="0" borderId="7" xfId="156" applyNumberFormat="1" applyFont="1" applyBorder="1" applyAlignment="1">
      <alignment horizontal="right"/>
    </xf>
    <xf numFmtId="0" fontId="3" fillId="0" borderId="0" xfId="156" applyFont="1" applyAlignment="1">
      <alignment horizontal="center" vertical="center"/>
    </xf>
    <xf numFmtId="2" fontId="3" fillId="0" borderId="0" xfId="156" applyNumberFormat="1" applyFont="1" applyAlignment="1">
      <alignment horizontal="center" vertical="center"/>
    </xf>
    <xf numFmtId="0" fontId="3" fillId="0" borderId="0" xfId="156" applyFont="1" applyAlignment="1">
      <alignment horizontal="center"/>
    </xf>
    <xf numFmtId="0" fontId="3" fillId="0" borderId="18" xfId="156" applyFont="1" applyBorder="1"/>
    <xf numFmtId="0" fontId="3" fillId="0" borderId="2" xfId="156" applyFont="1" applyBorder="1"/>
    <xf numFmtId="0" fontId="3" fillId="0" borderId="27" xfId="156" applyFont="1" applyBorder="1" applyAlignment="1">
      <alignment horizontal="center" shrinkToFit="1"/>
    </xf>
    <xf numFmtId="0" fontId="3" fillId="0" borderId="28" xfId="156" applyFont="1" applyBorder="1" applyAlignment="1">
      <alignment horizontal="center" shrinkToFit="1"/>
    </xf>
    <xf numFmtId="0" fontId="3" fillId="0" borderId="30" xfId="156" applyFont="1" applyBorder="1" applyAlignment="1">
      <alignment horizontal="center" shrinkToFit="1"/>
    </xf>
    <xf numFmtId="0" fontId="12" fillId="0" borderId="0" xfId="156" applyFont="1" applyAlignment="1">
      <alignment horizontal="center" vertical="center"/>
    </xf>
    <xf numFmtId="0" fontId="3" fillId="0" borderId="14" xfId="156" applyFont="1" applyBorder="1" applyAlignment="1">
      <alignment horizontal="center" vertical="center" wrapText="1"/>
    </xf>
    <xf numFmtId="0" fontId="3" fillId="0" borderId="25" xfId="156" applyFont="1" applyBorder="1" applyAlignment="1">
      <alignment horizontal="center" vertical="center"/>
    </xf>
    <xf numFmtId="0" fontId="3" fillId="0" borderId="21" xfId="156" applyFont="1" applyBorder="1" applyAlignment="1">
      <alignment horizontal="center" vertical="center"/>
    </xf>
    <xf numFmtId="0" fontId="3" fillId="0" borderId="31" xfId="156" applyFont="1" applyBorder="1" applyAlignment="1">
      <alignment horizontal="center" vertical="center"/>
    </xf>
    <xf numFmtId="0" fontId="3" fillId="0" borderId="32" xfId="156" applyFont="1" applyBorder="1" applyAlignment="1">
      <alignment horizontal="center" vertical="center"/>
    </xf>
    <xf numFmtId="0" fontId="3" fillId="0" borderId="26" xfId="156" applyFont="1" applyBorder="1" applyAlignment="1">
      <alignment horizontal="center" vertical="center"/>
    </xf>
    <xf numFmtId="0" fontId="3" fillId="0" borderId="25" xfId="156" applyFont="1" applyBorder="1" applyAlignment="1">
      <alignment horizontal="center"/>
    </xf>
    <xf numFmtId="176" fontId="6" fillId="0" borderId="4" xfId="156" applyNumberFormat="1" applyFont="1" applyBorder="1" applyAlignment="1">
      <alignment horizontal="right"/>
    </xf>
    <xf numFmtId="0" fontId="3" fillId="0" borderId="26" xfId="156" applyFont="1" applyBorder="1" applyAlignment="1">
      <alignment horizontal="center"/>
    </xf>
    <xf numFmtId="178" fontId="3" fillId="0" borderId="11" xfId="156" applyNumberFormat="1" applyFont="1" applyBorder="1" applyAlignment="1">
      <alignment horizontal="right"/>
    </xf>
    <xf numFmtId="0" fontId="3" fillId="0" borderId="3" xfId="156" applyFont="1" applyBorder="1" applyAlignment="1">
      <alignment horizontal="center" vertical="center"/>
    </xf>
    <xf numFmtId="0" fontId="3" fillId="0" borderId="1" xfId="156" applyFont="1" applyBorder="1" applyAlignment="1">
      <alignment horizontal="center" vertical="center"/>
    </xf>
    <xf numFmtId="2" fontId="3" fillId="0" borderId="17" xfId="156" applyNumberFormat="1" applyFont="1" applyBorder="1" applyAlignment="1">
      <alignment horizontal="right"/>
    </xf>
    <xf numFmtId="2" fontId="3" fillId="0" borderId="18" xfId="156" applyNumberFormat="1" applyFont="1" applyBorder="1" applyAlignment="1">
      <alignment horizontal="right"/>
    </xf>
    <xf numFmtId="0" fontId="3" fillId="0" borderId="30" xfId="156" applyFont="1" applyBorder="1" applyAlignment="1">
      <alignment horizontal="right"/>
    </xf>
    <xf numFmtId="0" fontId="3" fillId="0" borderId="17" xfId="156" applyFont="1" applyBorder="1" applyAlignment="1">
      <alignment horizontal="right"/>
    </xf>
    <xf numFmtId="2" fontId="3" fillId="0" borderId="17" xfId="156" applyNumberFormat="1" applyFont="1" applyBorder="1" applyAlignment="1">
      <alignment horizontal="center"/>
    </xf>
    <xf numFmtId="2" fontId="3" fillId="0" borderId="34" xfId="156" applyNumberFormat="1" applyFont="1" applyBorder="1" applyAlignment="1">
      <alignment horizontal="center"/>
    </xf>
    <xf numFmtId="0" fontId="3" fillId="0" borderId="27" xfId="156" applyFont="1" applyBorder="1" applyAlignment="1">
      <alignment vertical="center"/>
    </xf>
    <xf numFmtId="0" fontId="3" fillId="0" borderId="30" xfId="156" applyFont="1" applyBorder="1" applyAlignment="1">
      <alignment vertical="center"/>
    </xf>
    <xf numFmtId="176" fontId="6" fillId="0" borderId="34" xfId="156" applyNumberFormat="1" applyFont="1" applyBorder="1" applyAlignment="1">
      <alignment horizontal="right"/>
    </xf>
    <xf numFmtId="176" fontId="6" fillId="0" borderId="28" xfId="156" applyNumberFormat="1" applyFont="1" applyBorder="1" applyAlignment="1">
      <alignment horizontal="right"/>
    </xf>
    <xf numFmtId="183" fontId="6" fillId="0" borderId="0" xfId="158" applyNumberFormat="1" applyFont="1"/>
    <xf numFmtId="183" fontId="3" fillId="0" borderId="0" xfId="158" applyNumberFormat="1" applyFont="1"/>
    <xf numFmtId="2" fontId="19" fillId="0" borderId="0" xfId="158" applyNumberFormat="1" applyFont="1" applyAlignment="1">
      <alignment horizontal="center"/>
    </xf>
    <xf numFmtId="0" fontId="3" fillId="0" borderId="15" xfId="156" applyFont="1" applyBorder="1" applyAlignment="1">
      <alignment vertical="center"/>
    </xf>
    <xf numFmtId="0" fontId="3" fillId="0" borderId="21" xfId="156" applyFont="1" applyBorder="1" applyAlignment="1">
      <alignment vertical="center"/>
    </xf>
    <xf numFmtId="176" fontId="3" fillId="0" borderId="6" xfId="156" applyNumberFormat="1" applyFont="1" applyBorder="1" applyAlignment="1">
      <alignment horizontal="right"/>
    </xf>
    <xf numFmtId="2" fontId="6" fillId="0" borderId="6" xfId="156" applyNumberFormat="1" applyFont="1" applyBorder="1" applyAlignment="1">
      <alignment horizontal="right"/>
    </xf>
    <xf numFmtId="2" fontId="6" fillId="0" borderId="7" xfId="156" applyNumberFormat="1" applyFont="1" applyBorder="1" applyAlignment="1">
      <alignment horizontal="right"/>
    </xf>
    <xf numFmtId="2" fontId="6" fillId="0" borderId="20" xfId="156" applyNumberFormat="1" applyFont="1" applyBorder="1" applyAlignment="1">
      <alignment horizontal="right"/>
    </xf>
    <xf numFmtId="0" fontId="3" fillId="0" borderId="28" xfId="156" applyFont="1" applyBorder="1" applyAlignment="1">
      <alignment horizontal="center" vertical="center" wrapText="1"/>
    </xf>
    <xf numFmtId="0" fontId="3" fillId="0" borderId="30" xfId="156" applyFont="1" applyBorder="1" applyAlignment="1">
      <alignment horizontal="center" vertical="center" wrapText="1"/>
    </xf>
    <xf numFmtId="0" fontId="3" fillId="0" borderId="29" xfId="156" applyFont="1" applyBorder="1" applyAlignment="1">
      <alignment horizontal="center" vertical="center"/>
    </xf>
    <xf numFmtId="0" fontId="3" fillId="0" borderId="13" xfId="156" applyFont="1" applyBorder="1" applyAlignment="1">
      <alignment vertical="center"/>
    </xf>
    <xf numFmtId="0" fontId="3" fillId="0" borderId="14" xfId="156" applyFont="1" applyBorder="1" applyAlignment="1">
      <alignment vertical="center"/>
    </xf>
    <xf numFmtId="176" fontId="3" fillId="0" borderId="5" xfId="156" applyNumberFormat="1" applyFont="1" applyBorder="1" applyAlignment="1">
      <alignment horizontal="right"/>
    </xf>
    <xf numFmtId="2" fontId="6" fillId="0" borderId="5" xfId="156" applyNumberFormat="1" applyFont="1" applyBorder="1" applyAlignment="1">
      <alignment horizontal="right"/>
    </xf>
    <xf numFmtId="2" fontId="6" fillId="0" borderId="9" xfId="156" applyNumberFormat="1" applyFont="1" applyBorder="1" applyAlignment="1">
      <alignment horizontal="right"/>
    </xf>
    <xf numFmtId="2" fontId="6" fillId="0" borderId="12" xfId="156" applyNumberFormat="1" applyFont="1" applyBorder="1" applyAlignment="1">
      <alignment horizontal="right"/>
    </xf>
    <xf numFmtId="0" fontId="3" fillId="0" borderId="0" xfId="156" applyFont="1" applyAlignment="1">
      <alignment vertical="center"/>
    </xf>
    <xf numFmtId="0" fontId="3" fillId="0" borderId="16" xfId="156" applyFont="1" applyBorder="1" applyAlignment="1">
      <alignment vertical="center"/>
    </xf>
    <xf numFmtId="0" fontId="3" fillId="0" borderId="18" xfId="156" applyFont="1" applyBorder="1" applyAlignment="1">
      <alignment vertical="center"/>
    </xf>
    <xf numFmtId="0" fontId="3" fillId="0" borderId="27" xfId="156" applyFont="1" applyBorder="1" applyAlignment="1">
      <alignment horizontal="center" vertical="center"/>
    </xf>
    <xf numFmtId="0" fontId="3" fillId="0" borderId="28" xfId="156" applyFont="1" applyBorder="1" applyAlignment="1">
      <alignment horizontal="center" vertical="center"/>
    </xf>
    <xf numFmtId="0" fontId="3" fillId="0" borderId="16" xfId="156" applyFont="1" applyBorder="1" applyAlignment="1">
      <alignment horizontal="center" vertical="center"/>
    </xf>
    <xf numFmtId="0" fontId="3" fillId="0" borderId="17" xfId="156" applyFont="1" applyBorder="1" applyAlignment="1">
      <alignment horizontal="center" vertical="center"/>
    </xf>
    <xf numFmtId="0" fontId="3" fillId="0" borderId="18" xfId="156" applyFont="1" applyBorder="1" applyAlignment="1">
      <alignment horizontal="center" vertical="center"/>
    </xf>
    <xf numFmtId="2" fontId="3" fillId="0" borderId="17" xfId="156" applyNumberFormat="1" applyFont="1" applyBorder="1" applyAlignment="1">
      <alignment horizontal="center" vertical="center"/>
    </xf>
    <xf numFmtId="177" fontId="3" fillId="0" borderId="17" xfId="156" applyNumberFormat="1" applyFont="1" applyBorder="1" applyAlignment="1">
      <alignment horizontal="center" vertical="center"/>
    </xf>
    <xf numFmtId="2" fontId="3" fillId="0" borderId="16" xfId="156" applyNumberFormat="1" applyFont="1" applyBorder="1" applyAlignment="1">
      <alignment horizontal="center" vertical="center"/>
    </xf>
    <xf numFmtId="2" fontId="3" fillId="0" borderId="18" xfId="156" applyNumberFormat="1" applyFont="1" applyBorder="1" applyAlignment="1">
      <alignment horizontal="center" vertical="center"/>
    </xf>
    <xf numFmtId="0" fontId="3" fillId="0" borderId="16" xfId="156" applyFont="1" applyBorder="1" applyAlignment="1">
      <alignment horizontal="center" vertical="center" wrapText="1"/>
    </xf>
    <xf numFmtId="0" fontId="3" fillId="0" borderId="2" xfId="156" applyFont="1" applyBorder="1" applyAlignment="1">
      <alignment horizontal="center" vertical="center"/>
    </xf>
    <xf numFmtId="177" fontId="3" fillId="0" borderId="0" xfId="156" applyNumberFormat="1" applyFont="1" applyAlignment="1">
      <alignment horizontal="center" vertical="center"/>
    </xf>
    <xf numFmtId="0" fontId="6" fillId="0" borderId="0" xfId="156" applyFont="1" applyAlignment="1">
      <alignment vertical="center"/>
    </xf>
    <xf numFmtId="179" fontId="3" fillId="0" borderId="0" xfId="156" applyNumberFormat="1" applyFont="1" applyAlignment="1">
      <alignment horizontal="center" vertical="center"/>
    </xf>
    <xf numFmtId="176" fontId="13" fillId="0" borderId="6" xfId="0" applyNumberFormat="1" applyFont="1" applyBorder="1" applyAlignment="1">
      <alignment horizontal="center"/>
    </xf>
    <xf numFmtId="176" fontId="13" fillId="0" borderId="20" xfId="0" applyNumberFormat="1" applyFont="1" applyBorder="1" applyAlignment="1">
      <alignment horizontal="center"/>
    </xf>
    <xf numFmtId="0" fontId="7" fillId="3" borderId="22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13" fillId="0" borderId="6" xfId="0" applyNumberFormat="1" applyFont="1" applyBorder="1" applyAlignment="1">
      <alignment horizontal="center"/>
    </xf>
    <xf numFmtId="0" fontId="13" fillId="0" borderId="20" xfId="0" applyNumberFormat="1" applyFont="1" applyBorder="1" applyAlignment="1">
      <alignment horizontal="center"/>
    </xf>
    <xf numFmtId="176" fontId="13" fillId="0" borderId="5" xfId="0" applyNumberFormat="1" applyFont="1" applyBorder="1" applyAlignment="1">
      <alignment horizontal="center"/>
    </xf>
    <xf numFmtId="176" fontId="13" fillId="0" borderId="12" xfId="0" applyNumberFormat="1" applyFont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6" xfId="0" applyFont="1" applyFill="1" applyBorder="1" applyAlignment="1"/>
    <xf numFmtId="0" fontId="3" fillId="0" borderId="0" xfId="0" applyFont="1" applyAlignment="1">
      <alignment horizontal="center"/>
    </xf>
    <xf numFmtId="0" fontId="7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shrinkToFit="1"/>
    </xf>
    <xf numFmtId="0" fontId="7" fillId="3" borderId="6" xfId="0" applyFont="1" applyFill="1" applyBorder="1" applyAlignment="1">
      <alignment shrinkToFit="1"/>
    </xf>
    <xf numFmtId="0" fontId="7" fillId="3" borderId="10" xfId="0" applyFont="1" applyFill="1" applyBorder="1" applyAlignment="1">
      <alignment horizontal="center"/>
    </xf>
    <xf numFmtId="178" fontId="13" fillId="0" borderId="6" xfId="0" applyNumberFormat="1" applyFont="1" applyBorder="1" applyAlignment="1">
      <alignment horizontal="center"/>
    </xf>
    <xf numFmtId="178" fontId="13" fillId="0" borderId="20" xfId="0" applyNumberFormat="1" applyFont="1" applyBorder="1" applyAlignment="1">
      <alignment horizontal="center"/>
    </xf>
    <xf numFmtId="178" fontId="13" fillId="0" borderId="10" xfId="0" applyNumberFormat="1" applyFont="1" applyBorder="1" applyAlignment="1">
      <alignment horizontal="center"/>
    </xf>
    <xf numFmtId="178" fontId="13" fillId="0" borderId="19" xfId="0" applyNumberFormat="1" applyFont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left"/>
    </xf>
    <xf numFmtId="0" fontId="7" fillId="3" borderId="2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26" xfId="0" applyFont="1" applyFill="1" applyBorder="1" applyAlignment="1">
      <alignment horizontal="center"/>
    </xf>
    <xf numFmtId="178" fontId="13" fillId="0" borderId="51" xfId="0" applyNumberFormat="1" applyFont="1" applyBorder="1" applyAlignment="1">
      <alignment horizontal="center"/>
    </xf>
    <xf numFmtId="178" fontId="13" fillId="0" borderId="50" xfId="0" applyNumberFormat="1" applyFont="1" applyBorder="1" applyAlignment="1">
      <alignment horizontal="center"/>
    </xf>
    <xf numFmtId="178" fontId="13" fillId="0" borderId="48" xfId="0" applyNumberFormat="1" applyFont="1" applyBorder="1" applyAlignment="1">
      <alignment horizontal="center"/>
    </xf>
    <xf numFmtId="178" fontId="13" fillId="0" borderId="35" xfId="0" applyNumberFormat="1" applyFont="1" applyBorder="1" applyAlignment="1">
      <alignment horizontal="center"/>
    </xf>
    <xf numFmtId="178" fontId="13" fillId="0" borderId="32" xfId="0" applyNumberFormat="1" applyFont="1" applyBorder="1" applyAlignment="1">
      <alignment horizontal="center"/>
    </xf>
    <xf numFmtId="178" fontId="13" fillId="0" borderId="13" xfId="0" applyNumberFormat="1" applyFont="1" applyBorder="1" applyAlignment="1">
      <alignment horizontal="center"/>
    </xf>
    <xf numFmtId="178" fontId="13" fillId="0" borderId="49" xfId="0" applyNumberFormat="1" applyFont="1" applyBorder="1" applyAlignment="1">
      <alignment horizontal="center"/>
    </xf>
    <xf numFmtId="178" fontId="13" fillId="0" borderId="47" xfId="0" applyNumberFormat="1" applyFont="1" applyBorder="1" applyAlignment="1">
      <alignment horizontal="center"/>
    </xf>
    <xf numFmtId="178" fontId="13" fillId="0" borderId="9" xfId="0" applyNumberFormat="1" applyFont="1" applyBorder="1" applyAlignment="1">
      <alignment horizontal="center"/>
    </xf>
    <xf numFmtId="178" fontId="13" fillId="0" borderId="14" xfId="0" applyNumberFormat="1" applyFont="1" applyBorder="1" applyAlignment="1">
      <alignment horizontal="center"/>
    </xf>
    <xf numFmtId="183" fontId="6" fillId="0" borderId="0" xfId="160" applyNumberFormat="1" applyFont="1"/>
    <xf numFmtId="11" fontId="3" fillId="0" borderId="0" xfId="160" applyNumberFormat="1" applyFont="1" applyAlignment="1">
      <alignment horizontal="center"/>
    </xf>
    <xf numFmtId="0" fontId="3" fillId="0" borderId="0" xfId="160" applyNumberFormat="1" applyFont="1" applyAlignment="1">
      <alignment horizontal="center"/>
    </xf>
    <xf numFmtId="176" fontId="3" fillId="0" borderId="0" xfId="160" applyFont="1" applyAlignment="1">
      <alignment vertical="center"/>
    </xf>
    <xf numFmtId="176" fontId="3" fillId="0" borderId="0" xfId="160" applyFont="1" applyAlignment="1">
      <alignment horizontal="right" vertical="center"/>
    </xf>
    <xf numFmtId="176" fontId="3" fillId="0" borderId="3" xfId="160" applyFont="1" applyBorder="1" applyAlignment="1">
      <alignment horizontal="center" vertical="center"/>
    </xf>
    <xf numFmtId="176" fontId="3" fillId="0" borderId="0" xfId="160" applyFont="1" applyAlignment="1">
      <alignment horizontal="center" vertical="center"/>
    </xf>
    <xf numFmtId="176" fontId="3" fillId="0" borderId="3" xfId="160" applyFont="1" applyBorder="1" applyAlignment="1">
      <alignment horizontal="center"/>
    </xf>
    <xf numFmtId="176" fontId="3" fillId="0" borderId="0" xfId="160" applyFont="1" applyAlignment="1">
      <alignment horizontal="center"/>
    </xf>
    <xf numFmtId="176" fontId="3" fillId="0" borderId="0" xfId="160" applyFont="1" applyAlignment="1">
      <alignment horizontal="center" vertical="center" shrinkToFit="1"/>
    </xf>
    <xf numFmtId="187" fontId="3" fillId="0" borderId="0" xfId="160" applyNumberFormat="1" applyFont="1"/>
    <xf numFmtId="184" fontId="6" fillId="0" borderId="0" xfId="160" applyNumberFormat="1" applyFont="1"/>
    <xf numFmtId="176" fontId="3" fillId="0" borderId="0" xfId="160" quotePrefix="1" applyFont="1"/>
    <xf numFmtId="0" fontId="3" fillId="0" borderId="0" xfId="160" applyNumberFormat="1" applyFont="1"/>
    <xf numFmtId="186" fontId="5" fillId="0" borderId="0" xfId="160" quotePrefix="1" applyNumberFormat="1" applyFont="1" applyAlignment="1">
      <alignment horizontal="left"/>
    </xf>
    <xf numFmtId="183" fontId="3" fillId="0" borderId="0" xfId="160" applyNumberFormat="1" applyFont="1"/>
    <xf numFmtId="0" fontId="6" fillId="0" borderId="0" xfId="160" applyNumberFormat="1" applyFont="1"/>
    <xf numFmtId="176" fontId="6" fillId="0" borderId="0" xfId="160" applyFont="1" applyAlignment="1">
      <alignment horizontal="center"/>
    </xf>
    <xf numFmtId="184" fontId="3" fillId="0" borderId="0" xfId="160" applyNumberFormat="1" applyFont="1"/>
    <xf numFmtId="185" fontId="3" fillId="0" borderId="0" xfId="160" applyNumberFormat="1" applyFont="1"/>
    <xf numFmtId="183" fontId="3" fillId="0" borderId="0" xfId="160" applyNumberFormat="1" applyFont="1" applyAlignment="1">
      <alignment horizontal="right"/>
    </xf>
    <xf numFmtId="188" fontId="3" fillId="0" borderId="0" xfId="160" applyNumberFormat="1" applyFont="1"/>
    <xf numFmtId="176" fontId="26" fillId="0" borderId="0" xfId="160" applyFont="1"/>
    <xf numFmtId="0" fontId="3" fillId="0" borderId="0" xfId="160" applyNumberFormat="1" applyFont="1" applyAlignment="1">
      <alignment horizontal="right" vertical="center"/>
    </xf>
    <xf numFmtId="176" fontId="3" fillId="0" borderId="0" xfId="160" applyFont="1" applyAlignment="1">
      <alignment horizontal="right"/>
    </xf>
    <xf numFmtId="183" fontId="3" fillId="0" borderId="0" xfId="160" applyNumberFormat="1" applyFont="1" applyAlignment="1">
      <alignment vertical="center"/>
    </xf>
    <xf numFmtId="188" fontId="3" fillId="0" borderId="0" xfId="160" applyNumberFormat="1" applyFont="1" applyAlignment="1">
      <alignment vertical="center"/>
    </xf>
    <xf numFmtId="11" fontId="3" fillId="0" borderId="0" xfId="160" applyNumberFormat="1" applyFont="1" applyAlignment="1">
      <alignment vertical="center"/>
    </xf>
    <xf numFmtId="176" fontId="3" fillId="0" borderId="1" xfId="160" applyFont="1" applyBorder="1" applyAlignment="1">
      <alignment horizontal="center" vertical="center"/>
    </xf>
    <xf numFmtId="11" fontId="3" fillId="0" borderId="1" xfId="160" applyNumberFormat="1" applyFont="1" applyBorder="1" applyAlignment="1">
      <alignment horizontal="center" vertical="center"/>
    </xf>
    <xf numFmtId="184" fontId="3" fillId="0" borderId="0" xfId="160" applyNumberFormat="1" applyFont="1" applyAlignment="1">
      <alignment vertical="center"/>
    </xf>
    <xf numFmtId="11" fontId="3" fillId="0" borderId="3" xfId="160" applyNumberFormat="1" applyFont="1" applyBorder="1" applyAlignment="1">
      <alignment horizontal="center"/>
    </xf>
    <xf numFmtId="0" fontId="3" fillId="0" borderId="0" xfId="0" applyFont="1" applyAlignment="1">
      <alignment horizontal="left" vertical="center"/>
    </xf>
    <xf numFmtId="0" fontId="18" fillId="0" borderId="0" xfId="161" applyFont="1" applyAlignment="1">
      <alignment horizontal="center" vertical="center"/>
    </xf>
    <xf numFmtId="0" fontId="1" fillId="0" borderId="0" xfId="161" applyAlignment="1">
      <alignment horizontal="center" vertical="center"/>
    </xf>
    <xf numFmtId="184" fontId="3" fillId="0" borderId="0" xfId="161" applyNumberFormat="1" applyFont="1" applyAlignment="1">
      <alignment horizontal="right" vertical="center"/>
    </xf>
    <xf numFmtId="184" fontId="23" fillId="0" borderId="0" xfId="161" applyNumberFormat="1" applyFont="1" applyAlignment="1">
      <alignment horizontal="right" vertical="center"/>
    </xf>
    <xf numFmtId="0" fontId="18" fillId="0" borderId="1" xfId="161" applyFont="1" applyBorder="1" applyAlignment="1">
      <alignment horizontal="center" vertical="center"/>
    </xf>
    <xf numFmtId="0" fontId="18" fillId="0" borderId="40" xfId="161" applyFont="1" applyBorder="1" applyAlignment="1">
      <alignment horizontal="center" vertical="center"/>
    </xf>
    <xf numFmtId="0" fontId="18" fillId="0" borderId="44" xfId="161" applyFont="1" applyBorder="1" applyAlignment="1">
      <alignment horizontal="center" vertical="center"/>
    </xf>
    <xf numFmtId="0" fontId="18" fillId="0" borderId="45" xfId="161" applyFont="1" applyBorder="1" applyAlignment="1">
      <alignment horizontal="center" vertical="center"/>
    </xf>
    <xf numFmtId="0" fontId="18" fillId="0" borderId="41" xfId="161" applyFont="1" applyBorder="1" applyAlignment="1">
      <alignment horizontal="center" vertical="center"/>
    </xf>
    <xf numFmtId="0" fontId="18" fillId="0" borderId="46" xfId="161" applyFont="1" applyBorder="1" applyAlignment="1">
      <alignment horizontal="center" vertical="center"/>
    </xf>
    <xf numFmtId="2" fontId="3" fillId="0" borderId="0" xfId="161" applyNumberFormat="1" applyFont="1" applyAlignment="1">
      <alignment horizontal="right" vertical="center"/>
    </xf>
    <xf numFmtId="0" fontId="18" fillId="0" borderId="36" xfId="161" applyFont="1" applyBorder="1" applyAlignment="1">
      <alignment horizontal="center" vertical="center"/>
    </xf>
    <xf numFmtId="0" fontId="18" fillId="0" borderId="37" xfId="161" applyFont="1" applyBorder="1" applyAlignment="1">
      <alignment horizontal="center" vertical="center"/>
    </xf>
    <xf numFmtId="0" fontId="18" fillId="0" borderId="38" xfId="161" applyFont="1" applyBorder="1" applyAlignment="1">
      <alignment horizontal="center" vertical="center"/>
    </xf>
    <xf numFmtId="0" fontId="18" fillId="0" borderId="39" xfId="161" applyFont="1" applyBorder="1" applyAlignment="1">
      <alignment horizontal="center" vertical="center"/>
    </xf>
    <xf numFmtId="0" fontId="18" fillId="0" borderId="33" xfId="161" applyFont="1" applyBorder="1" applyAlignment="1">
      <alignment horizontal="center" vertical="center"/>
    </xf>
    <xf numFmtId="0" fontId="18" fillId="0" borderId="3" xfId="161" applyFont="1" applyBorder="1" applyAlignment="1">
      <alignment horizontal="center" vertical="center"/>
    </xf>
    <xf numFmtId="0" fontId="18" fillId="0" borderId="42" xfId="161" applyFont="1" applyBorder="1" applyAlignment="1">
      <alignment horizontal="center" vertical="center"/>
    </xf>
    <xf numFmtId="0" fontId="18" fillId="0" borderId="43" xfId="161" applyFont="1" applyBorder="1" applyAlignment="1">
      <alignment horizontal="center" vertical="center"/>
    </xf>
    <xf numFmtId="184" fontId="19" fillId="0" borderId="0" xfId="161" applyNumberFormat="1" applyFont="1">
      <alignment vertical="center"/>
    </xf>
    <xf numFmtId="184" fontId="15" fillId="0" borderId="0" xfId="161" applyNumberFormat="1" applyFont="1">
      <alignment vertical="center"/>
    </xf>
    <xf numFmtId="184" fontId="19" fillId="0" borderId="0" xfId="0" applyNumberFormat="1" applyFont="1" applyAlignment="1">
      <alignment horizontal="right" vertical="center"/>
    </xf>
    <xf numFmtId="0" fontId="19" fillId="0" borderId="0" xfId="161" applyFont="1" applyAlignment="1">
      <alignment horizontal="right" vertical="center"/>
    </xf>
  </cellXfs>
  <cellStyles count="162">
    <cellStyle name="（@）" xfId="1" xr:uid="{00000000-0005-0000-0000-000000000000}"/>
    <cellStyle name="0" xfId="2" xr:uid="{00000000-0005-0000-0000-000001000000}"/>
    <cellStyle name="0.0" xfId="3" xr:uid="{00000000-0005-0000-0000-000002000000}"/>
    <cellStyle name="0.00" xfId="4" xr:uid="{00000000-0005-0000-0000-000003000000}"/>
    <cellStyle name="0.000" xfId="5" xr:uid="{00000000-0005-0000-0000-000004000000}"/>
    <cellStyle name="0.0000" xfId="6" xr:uid="{00000000-0005-0000-0000-000005000000}"/>
    <cellStyle name="0_center" xfId="7" xr:uid="{00000000-0005-0000-0000-000006000000}"/>
    <cellStyle name="0_center__横桁の断面定数（ねじり有り）" xfId="8" xr:uid="{00000000-0005-0000-0000-000007000000}"/>
    <cellStyle name="0_center__主桁定数" xfId="9" xr:uid="{00000000-0005-0000-0000-000008000000}"/>
    <cellStyle name="0_center__主桁定数_02 RA19中間スラブの計算" xfId="10" xr:uid="{00000000-0005-0000-0000-000009000000}"/>
    <cellStyle name="0_center__主桁定数_03 RA19中間ｽﾗﾌﾞBの計算" xfId="11" xr:uid="{00000000-0005-0000-0000-00000A000000}"/>
    <cellStyle name="0_center__主桁定数_荷重ケース" xfId="12" xr:uid="{00000000-0005-0000-0000-00000B000000}"/>
    <cellStyle name="0_center__主桁定数_荷重ケース_02 RA19中間スラブの計算" xfId="13" xr:uid="{00000000-0005-0000-0000-00000C000000}"/>
    <cellStyle name="0_center__主桁定数_荷重ケース_03 RA19中間ｽﾗﾌﾞBの計算" xfId="14" xr:uid="{00000000-0005-0000-0000-00000D000000}"/>
    <cellStyle name="0_center__主桁定数_主桁定数" xfId="15" xr:uid="{00000000-0005-0000-0000-00000E000000}"/>
    <cellStyle name="0_center__主桁定数_主桁定数_02 RA19中間スラブの計算" xfId="16" xr:uid="{00000000-0005-0000-0000-00000F000000}"/>
    <cellStyle name="0_center__主桁定数_主桁定数_03 RA19中間ｽﾗﾌﾞBの計算" xfId="17" xr:uid="{00000000-0005-0000-0000-000010000000}"/>
    <cellStyle name="0_center__主桁定数_主桁定数_荷重ケース" xfId="18" xr:uid="{00000000-0005-0000-0000-000011000000}"/>
    <cellStyle name="0_center__主桁定数_主桁定数_荷重ケース_02 RA19中間スラブの計算" xfId="19" xr:uid="{00000000-0005-0000-0000-000012000000}"/>
    <cellStyle name="0_center__主桁定数_主桁定数_荷重ケース_03 RA19中間ｽﾗﾌﾞBの計算" xfId="20" xr:uid="{00000000-0005-0000-0000-000013000000}"/>
    <cellStyle name="0_center_02 RA19中間スラブの計算" xfId="21" xr:uid="{00000000-0005-0000-0000-000014000000}"/>
    <cellStyle name="0_center_03 RA19中間ｽﾗﾌﾞBの計算" xfId="22" xr:uid="{00000000-0005-0000-0000-000015000000}"/>
    <cellStyle name="0_center_Book1" xfId="23" xr:uid="{00000000-0005-0000-0000-000016000000}"/>
    <cellStyle name="0_center_Book1_02 RA19中間スラブの計算" xfId="24" xr:uid="{00000000-0005-0000-0000-000017000000}"/>
    <cellStyle name="0_center_Book1_03 RA19中間ｽﾗﾌﾞBの計算" xfId="25" xr:uid="{00000000-0005-0000-0000-000018000000}"/>
    <cellStyle name="0_center_Book1_荷重ケース" xfId="26" xr:uid="{00000000-0005-0000-0000-000019000000}"/>
    <cellStyle name="0_center_Book1_荷重ケース_02 RA19中間スラブの計算" xfId="27" xr:uid="{00000000-0005-0000-0000-00001A000000}"/>
    <cellStyle name="0_center_Book1_荷重ケース_03 RA19中間ｽﾗﾌﾞBの計算" xfId="28" xr:uid="{00000000-0005-0000-0000-00001B000000}"/>
    <cellStyle name="0_center_Book1_主桁定数" xfId="29" xr:uid="{00000000-0005-0000-0000-00001C000000}"/>
    <cellStyle name="0_center_Book1_主桁定数_02 RA19中間スラブの計算" xfId="30" xr:uid="{00000000-0005-0000-0000-00001D000000}"/>
    <cellStyle name="0_center_Book1_主桁定数_03 RA19中間ｽﾗﾌﾞBの計算" xfId="31" xr:uid="{00000000-0005-0000-0000-00001E000000}"/>
    <cellStyle name="0_center_Book1_主桁定数_荷重ケース" xfId="32" xr:uid="{00000000-0005-0000-0000-00001F000000}"/>
    <cellStyle name="0_center_Book1_主桁定数_荷重ケース_02 RA19中間スラブの計算" xfId="33" xr:uid="{00000000-0005-0000-0000-000020000000}"/>
    <cellStyle name="0_center_Book1_主桁定数_荷重ケース_03 RA19中間ｽﾗﾌﾞBの計算" xfId="34" xr:uid="{00000000-0005-0000-0000-000021000000}"/>
    <cellStyle name="0_center_SPACERデータ" xfId="35" xr:uid="{00000000-0005-0000-0000-000022000000}"/>
    <cellStyle name="0_center_SPACERデータ1" xfId="36" xr:uid="{00000000-0005-0000-0000-000023000000}"/>
    <cellStyle name="0_center_ｺﾋﾟｰ ～ 横桁の断面定数" xfId="37" xr:uid="{00000000-0005-0000-0000-000024000000}"/>
    <cellStyle name="0_center_ｺﾋﾟｰ ～ 横桁の断面定数_02 RA19中間スラブの計算" xfId="38" xr:uid="{00000000-0005-0000-0000-000025000000}"/>
    <cellStyle name="0_center_ｺﾋﾟｰ ～ 横桁の断面定数_03 RA19中間ｽﾗﾌﾞBの計算" xfId="39" xr:uid="{00000000-0005-0000-0000-000026000000}"/>
    <cellStyle name="0_center_ｺﾋﾟｰ ～ 横桁の断面定数_荷重ケース" xfId="40" xr:uid="{00000000-0005-0000-0000-000027000000}"/>
    <cellStyle name="0_center_ｺﾋﾟｰ ～ 横桁の断面定数_荷重ケース_02 RA19中間スラブの計算" xfId="41" xr:uid="{00000000-0005-0000-0000-000028000000}"/>
    <cellStyle name="0_center_ｺﾋﾟｰ ～ 横桁の断面定数_荷重ケース_03 RA19中間ｽﾗﾌﾞBの計算" xfId="42" xr:uid="{00000000-0005-0000-0000-000029000000}"/>
    <cellStyle name="0_center_ｺﾋﾟｰ ～ 横桁の断面定数_主桁定数" xfId="43" xr:uid="{00000000-0005-0000-0000-00002A000000}"/>
    <cellStyle name="0_center_ｺﾋﾟｰ ～ 横桁の断面定数_主桁定数_02 RA19中間スラブの計算" xfId="44" xr:uid="{00000000-0005-0000-0000-00002B000000}"/>
    <cellStyle name="0_center_ｺﾋﾟｰ ～ 横桁の断面定数_主桁定数_03 RA19中間ｽﾗﾌﾞBの計算" xfId="45" xr:uid="{00000000-0005-0000-0000-00002C000000}"/>
    <cellStyle name="0_center_ｺﾋﾟｰ ～ 横桁の断面定数_主桁定数_荷重ケース" xfId="46" xr:uid="{00000000-0005-0000-0000-00002D000000}"/>
    <cellStyle name="0_center_ｺﾋﾟｰ ～ 横桁の断面定数_主桁定数_荷重ケース_02 RA19中間スラブの計算" xfId="47" xr:uid="{00000000-0005-0000-0000-00002E000000}"/>
    <cellStyle name="0_center_ｺﾋﾟｰ ～ 横桁の断面定数_主桁定数_荷重ケース_03 RA19中間ｽﾗﾌﾞBの計算" xfId="48" xr:uid="{00000000-0005-0000-0000-00002F000000}"/>
    <cellStyle name="0_center_サンプル" xfId="49" xr:uid="{00000000-0005-0000-0000-000030000000}"/>
    <cellStyle name="0_center_横桁の断面定数" xfId="50" xr:uid="{00000000-0005-0000-0000-000031000000}"/>
    <cellStyle name="0_center_横桁の断面定数（ねじり有り）" xfId="51" xr:uid="{00000000-0005-0000-0000-000032000000}"/>
    <cellStyle name="0_center_横桁の断面定数_02 RA19中間スラブの計算" xfId="52" xr:uid="{00000000-0005-0000-0000-000033000000}"/>
    <cellStyle name="0_center_横桁の断面定数_03 RA19中間ｽﾗﾌﾞBの計算" xfId="53" xr:uid="{00000000-0005-0000-0000-000034000000}"/>
    <cellStyle name="0_center_横桁の断面定数_荷重ケース" xfId="54" xr:uid="{00000000-0005-0000-0000-000035000000}"/>
    <cellStyle name="0_center_横桁の断面定数_荷重ケース_02 RA19中間スラブの計算" xfId="55" xr:uid="{00000000-0005-0000-0000-000036000000}"/>
    <cellStyle name="0_center_横桁の断面定数_荷重ケース_03 RA19中間ｽﾗﾌﾞBの計算" xfId="56" xr:uid="{00000000-0005-0000-0000-000037000000}"/>
    <cellStyle name="0_center_横桁の断面定数_主桁定数" xfId="57" xr:uid="{00000000-0005-0000-0000-000038000000}"/>
    <cellStyle name="0_center_横桁の断面定数_主桁定数_02 RA19中間スラブの計算" xfId="58" xr:uid="{00000000-0005-0000-0000-000039000000}"/>
    <cellStyle name="0_center_横桁の断面定数_主桁定数_03 RA19中間ｽﾗﾌﾞBの計算" xfId="59" xr:uid="{00000000-0005-0000-0000-00003A000000}"/>
    <cellStyle name="0_center_横桁の断面定数_主桁定数_荷重ケース" xfId="60" xr:uid="{00000000-0005-0000-0000-00003B000000}"/>
    <cellStyle name="0_center_横桁の断面定数_主桁定数_荷重ケース_02 RA19中間スラブの計算" xfId="61" xr:uid="{00000000-0005-0000-0000-00003C000000}"/>
    <cellStyle name="0_center_横桁の断面定数_主桁定数_荷重ケース_03 RA19中間ｽﾗﾌﾞBの計算" xfId="62" xr:uid="{00000000-0005-0000-0000-00003D000000}"/>
    <cellStyle name="0_center_横桁断面" xfId="63" xr:uid="{00000000-0005-0000-0000-00003E000000}"/>
    <cellStyle name="0_center_横桁断面_02 RA19中間スラブの計算" xfId="64" xr:uid="{00000000-0005-0000-0000-00003F000000}"/>
    <cellStyle name="0_center_横桁断面_03 RA19中間ｽﾗﾌﾞBの計算" xfId="65" xr:uid="{00000000-0005-0000-0000-000040000000}"/>
    <cellStyle name="0_center_横桁断面_荷重ケース" xfId="66" xr:uid="{00000000-0005-0000-0000-000041000000}"/>
    <cellStyle name="0_center_横桁断面_荷重ケース_02 RA19中間スラブの計算" xfId="67" xr:uid="{00000000-0005-0000-0000-000042000000}"/>
    <cellStyle name="0_center_横桁断面_荷重ケース_03 RA19中間ｽﾗﾌﾞBの計算" xfId="68" xr:uid="{00000000-0005-0000-0000-000043000000}"/>
    <cellStyle name="0_center_横桁断面_主桁定数" xfId="69" xr:uid="{00000000-0005-0000-0000-000044000000}"/>
    <cellStyle name="0_center_横桁断面_主桁定数_02 RA19中間スラブの計算" xfId="70" xr:uid="{00000000-0005-0000-0000-000045000000}"/>
    <cellStyle name="0_center_横桁断面_主桁定数_03 RA19中間ｽﾗﾌﾞBの計算" xfId="71" xr:uid="{00000000-0005-0000-0000-000046000000}"/>
    <cellStyle name="0_center_横桁断面_主桁定数_荷重ケース" xfId="72" xr:uid="{00000000-0005-0000-0000-000047000000}"/>
    <cellStyle name="0_center_横桁断面_主桁定数_荷重ケース_02 RA19中間スラブの計算" xfId="73" xr:uid="{00000000-0005-0000-0000-000048000000}"/>
    <cellStyle name="0_center_横桁断面_主桁定数_荷重ケース_03 RA19中間ｽﾗﾌﾞBの計算" xfId="74" xr:uid="{00000000-0005-0000-0000-000049000000}"/>
    <cellStyle name="0_center_荷重" xfId="75" xr:uid="{00000000-0005-0000-0000-00004A000000}"/>
    <cellStyle name="0_center_荷重_02 RA19中間スラブの計算" xfId="76" xr:uid="{00000000-0005-0000-0000-00004B000000}"/>
    <cellStyle name="0_center_荷重_03 RA19中間ｽﾗﾌﾞBの計算" xfId="77" xr:uid="{00000000-0005-0000-0000-00004C000000}"/>
    <cellStyle name="0_center_荷重_荷重ケース" xfId="78" xr:uid="{00000000-0005-0000-0000-00004D000000}"/>
    <cellStyle name="0_center_荷重_荷重ケース_02 RA19中間スラブの計算" xfId="79" xr:uid="{00000000-0005-0000-0000-00004E000000}"/>
    <cellStyle name="0_center_荷重_荷重ケース_03 RA19中間ｽﾗﾌﾞBの計算" xfId="80" xr:uid="{00000000-0005-0000-0000-00004F000000}"/>
    <cellStyle name="0_center_荷重_主桁定数" xfId="81" xr:uid="{00000000-0005-0000-0000-000050000000}"/>
    <cellStyle name="0_center_荷重_主桁定数_02 RA19中間スラブの計算" xfId="82" xr:uid="{00000000-0005-0000-0000-000051000000}"/>
    <cellStyle name="0_center_荷重_主桁定数_03 RA19中間ｽﾗﾌﾞBの計算" xfId="83" xr:uid="{00000000-0005-0000-0000-000052000000}"/>
    <cellStyle name="0_center_荷重_主桁定数_荷重ケース" xfId="84" xr:uid="{00000000-0005-0000-0000-000053000000}"/>
    <cellStyle name="0_center_荷重_主桁定数_荷重ケース_02 RA19中間スラブの計算" xfId="85" xr:uid="{00000000-0005-0000-0000-000054000000}"/>
    <cellStyle name="0_center_荷重_主桁定数_荷重ケース_03 RA19中間ｽﾗﾌﾞBの計算" xfId="86" xr:uid="{00000000-0005-0000-0000-000055000000}"/>
    <cellStyle name="0_center_荷重ケース" xfId="87" xr:uid="{00000000-0005-0000-0000-000056000000}"/>
    <cellStyle name="0_center_荷重ケース_02 RA19中間スラブの計算" xfId="88" xr:uid="{00000000-0005-0000-0000-000057000000}"/>
    <cellStyle name="0_center_荷重ケース_03 RA19中間ｽﾗﾌﾞBの計算" xfId="89" xr:uid="{00000000-0005-0000-0000-000058000000}"/>
    <cellStyle name="0_center_絵" xfId="90" xr:uid="{00000000-0005-0000-0000-000059000000}"/>
    <cellStyle name="0_center_絵_02 RA19中間スラブの計算" xfId="91" xr:uid="{00000000-0005-0000-0000-00005A000000}"/>
    <cellStyle name="0_center_絵_03 RA19中間ｽﾗﾌﾞBの計算" xfId="92" xr:uid="{00000000-0005-0000-0000-00005B000000}"/>
    <cellStyle name="0_center_絵_荷重ケース" xfId="93" xr:uid="{00000000-0005-0000-0000-00005C000000}"/>
    <cellStyle name="0_center_絵_荷重ケース_02 RA19中間スラブの計算" xfId="94" xr:uid="{00000000-0005-0000-0000-00005D000000}"/>
    <cellStyle name="0_center_絵_荷重ケース_03 RA19中間ｽﾗﾌﾞBの計算" xfId="95" xr:uid="{00000000-0005-0000-0000-00005E000000}"/>
    <cellStyle name="0_center_絵_主桁定数" xfId="96" xr:uid="{00000000-0005-0000-0000-00005F000000}"/>
    <cellStyle name="0_center_絵_主桁定数_02 RA19中間スラブの計算" xfId="97" xr:uid="{00000000-0005-0000-0000-000060000000}"/>
    <cellStyle name="0_center_絵_主桁定数_03 RA19中間ｽﾗﾌﾞBの計算" xfId="98" xr:uid="{00000000-0005-0000-0000-000061000000}"/>
    <cellStyle name="0_center_絵_主桁定数_荷重ケース" xfId="99" xr:uid="{00000000-0005-0000-0000-000062000000}"/>
    <cellStyle name="0_center_絵_主桁定数_荷重ケース_02 RA19中間スラブの計算" xfId="100" xr:uid="{00000000-0005-0000-0000-000063000000}"/>
    <cellStyle name="0_center_絵_主桁定数_荷重ケース_03 RA19中間ｽﾗﾌﾞBの計算" xfId="101" xr:uid="{00000000-0005-0000-0000-000064000000}"/>
    <cellStyle name="0_center_格子" xfId="102" xr:uid="{00000000-0005-0000-0000-000065000000}"/>
    <cellStyle name="0_center_橋面荷重" xfId="103" xr:uid="{00000000-0005-0000-0000-000066000000}"/>
    <cellStyle name="0_center_橋面荷重_02 RA19中間スラブの計算" xfId="104" xr:uid="{00000000-0005-0000-0000-000067000000}"/>
    <cellStyle name="0_center_橋面荷重_03 RA19中間ｽﾗﾌﾞBの計算" xfId="105" xr:uid="{00000000-0005-0000-0000-000068000000}"/>
    <cellStyle name="0_center_橋面荷重_荷重ケース" xfId="106" xr:uid="{00000000-0005-0000-0000-000069000000}"/>
    <cellStyle name="0_center_橋面荷重_荷重ケース_02 RA19中間スラブの計算" xfId="107" xr:uid="{00000000-0005-0000-0000-00006A000000}"/>
    <cellStyle name="0_center_橋面荷重_荷重ケース_03 RA19中間ｽﾗﾌﾞBの計算" xfId="108" xr:uid="{00000000-0005-0000-0000-00006B000000}"/>
    <cellStyle name="0_center_橋面荷重_主桁定数" xfId="109" xr:uid="{00000000-0005-0000-0000-00006C000000}"/>
    <cellStyle name="0_center_橋面荷重_主桁定数_02 RA19中間スラブの計算" xfId="110" xr:uid="{00000000-0005-0000-0000-00006D000000}"/>
    <cellStyle name="0_center_橋面荷重_主桁定数_03 RA19中間ｽﾗﾌﾞBの計算" xfId="111" xr:uid="{00000000-0005-0000-0000-00006E000000}"/>
    <cellStyle name="0_center_橋面荷重_主桁定数_荷重ケース" xfId="112" xr:uid="{00000000-0005-0000-0000-00006F000000}"/>
    <cellStyle name="0_center_橋面荷重_主桁定数_荷重ケース_02 RA19中間スラブの計算" xfId="113" xr:uid="{00000000-0005-0000-0000-000070000000}"/>
    <cellStyle name="0_center_橋面荷重_主桁定数_荷重ケース_03 RA19中間ｽﾗﾌﾞBの計算" xfId="114" xr:uid="{00000000-0005-0000-0000-000071000000}"/>
    <cellStyle name="0_center_主桁定数" xfId="115" xr:uid="{00000000-0005-0000-0000-000072000000}"/>
    <cellStyle name="0_center_主桁定数_02 RA19中間スラブの計算" xfId="116" xr:uid="{00000000-0005-0000-0000-000073000000}"/>
    <cellStyle name="0_center_主桁定数_03 RA19中間ｽﾗﾌﾞBの計算" xfId="117" xr:uid="{00000000-0005-0000-0000-000074000000}"/>
    <cellStyle name="0_center_主桁定数_1" xfId="118" xr:uid="{00000000-0005-0000-0000-000075000000}"/>
    <cellStyle name="0_center_主桁定数_1_02 RA19中間スラブの計算" xfId="119" xr:uid="{00000000-0005-0000-0000-000076000000}"/>
    <cellStyle name="0_center_主桁定数_1_03 RA19中間ｽﾗﾌﾞBの計算" xfId="120" xr:uid="{00000000-0005-0000-0000-000077000000}"/>
    <cellStyle name="0_center_主桁定数_1_荷重ケース" xfId="121" xr:uid="{00000000-0005-0000-0000-000078000000}"/>
    <cellStyle name="0_center_主桁定数_1_荷重ケース_02 RA19中間スラブの計算" xfId="122" xr:uid="{00000000-0005-0000-0000-000079000000}"/>
    <cellStyle name="0_center_主桁定数_1_荷重ケース_03 RA19中間ｽﾗﾌﾞBの計算" xfId="123" xr:uid="{00000000-0005-0000-0000-00007A000000}"/>
    <cellStyle name="0_center_主桁定数_荷重ケース" xfId="124" xr:uid="{00000000-0005-0000-0000-00007B000000}"/>
    <cellStyle name="0_center_主桁定数_荷重ケース_02 RA19中間スラブの計算" xfId="125" xr:uid="{00000000-0005-0000-0000-00007C000000}"/>
    <cellStyle name="0_center_主桁定数_荷重ケース_03 RA19中間ｽﾗﾌﾞBの計算" xfId="126" xr:uid="{00000000-0005-0000-0000-00007D000000}"/>
    <cellStyle name="0_center_主桁定数_主桁定数" xfId="127" xr:uid="{00000000-0005-0000-0000-00007E000000}"/>
    <cellStyle name="0_center_主桁定数_主桁定数_02 RA19中間スラブの計算" xfId="128" xr:uid="{00000000-0005-0000-0000-00007F000000}"/>
    <cellStyle name="0_center_主桁定数_主桁定数_03 RA19中間ｽﾗﾌﾞBの計算" xfId="129" xr:uid="{00000000-0005-0000-0000-000080000000}"/>
    <cellStyle name="0_center_主桁定数_主桁定数_荷重ケース" xfId="130" xr:uid="{00000000-0005-0000-0000-000081000000}"/>
    <cellStyle name="0_center_主桁定数_主桁定数_荷重ケース_02 RA19中間スラブの計算" xfId="131" xr:uid="{00000000-0005-0000-0000-000082000000}"/>
    <cellStyle name="0_center_主桁定数_主桁定数_荷重ケース_03 RA19中間ｽﾗﾌﾞBの計算" xfId="132" xr:uid="{00000000-0005-0000-0000-000083000000}"/>
    <cellStyle name="0_center_新_横桁の断面定数（ねじり有り）" xfId="133" xr:uid="{00000000-0005-0000-0000-000084000000}"/>
    <cellStyle name="0_center_第２章　断面力の計算" xfId="134" xr:uid="{00000000-0005-0000-0000-000085000000}"/>
    <cellStyle name="0_center_第2章 断面力の計算①(二本)" xfId="135" xr:uid="{00000000-0005-0000-0000-000086000000}"/>
    <cellStyle name="0_center_断面力データ(主桁)" xfId="136" xr:uid="{00000000-0005-0000-0000-000087000000}"/>
    <cellStyle name="0_center_中間スラブの設計" xfId="137" xr:uid="{00000000-0005-0000-0000-000088000000}"/>
    <cellStyle name="0_center_中間スラブの設計_02 RA19中間スラブの計算" xfId="138" xr:uid="{00000000-0005-0000-0000-000089000000}"/>
    <cellStyle name="0_center_中間スラブの設計_03 RA19中間ｽﾗﾌﾞBの計算" xfId="139" xr:uid="{00000000-0005-0000-0000-00008A000000}"/>
    <cellStyle name="0_center_中間スラブの設計_荷重ケース" xfId="140" xr:uid="{00000000-0005-0000-0000-00008B000000}"/>
    <cellStyle name="0_center_中間スラブの設計_荷重ケース_02 RA19中間スラブの計算" xfId="141" xr:uid="{00000000-0005-0000-0000-00008C000000}"/>
    <cellStyle name="0_center_中間スラブの設計_荷重ケース_03 RA19中間ｽﾗﾌﾞBの計算" xfId="142" xr:uid="{00000000-0005-0000-0000-00008D000000}"/>
    <cellStyle name="0_center_中間スラブの設計_主桁定数" xfId="143" xr:uid="{00000000-0005-0000-0000-00008E000000}"/>
    <cellStyle name="0_center_中間スラブの設計_主桁定数_02 RA19中間スラブの計算" xfId="144" xr:uid="{00000000-0005-0000-0000-00008F000000}"/>
    <cellStyle name="0_center_中間スラブの設計_主桁定数_03 RA19中間ｽﾗﾌﾞBの計算" xfId="145" xr:uid="{00000000-0005-0000-0000-000090000000}"/>
    <cellStyle name="0_center_中間スラブの設計_主桁定数_荷重ケース" xfId="146" xr:uid="{00000000-0005-0000-0000-000091000000}"/>
    <cellStyle name="0_center_中間スラブの設計_主桁定数_荷重ケース_02 RA19中間スラブの計算" xfId="147" xr:uid="{00000000-0005-0000-0000-000092000000}"/>
    <cellStyle name="0_center_中間スラブの設計_主桁定数_荷重ケース_03 RA19中間ｽﾗﾌﾞBの計算" xfId="148" xr:uid="{00000000-0005-0000-0000-000093000000}"/>
    <cellStyle name="1/2" xfId="149" xr:uid="{00000000-0005-0000-0000-000094000000}"/>
    <cellStyle name="1/6" xfId="150" xr:uid="{00000000-0005-0000-0000-000095000000}"/>
    <cellStyle name="no dec" xfId="151" xr:uid="{00000000-0005-0000-0000-000096000000}"/>
    <cellStyle name="Normal_APR" xfId="152" xr:uid="{00000000-0005-0000-0000-000097000000}"/>
    <cellStyle name="今井の計算書書式スタイル" xfId="153" xr:uid="{00000000-0005-0000-0000-000098000000}"/>
    <cellStyle name="標準" xfId="0" builtinId="0"/>
    <cellStyle name="標準 2" xfId="154" xr:uid="{00000000-0005-0000-0000-00009A000000}"/>
    <cellStyle name="標準 2 2 2 2" xfId="161" xr:uid="{00000000-0005-0000-0000-00009B000000}"/>
    <cellStyle name="標準 3" xfId="160" xr:uid="{00000000-0005-0000-0000-00009C000000}"/>
    <cellStyle name="標準_P2§2．2．5-2_梁_断面照査" xfId="157" xr:uid="{00000000-0005-0000-0000-00009D000000}"/>
    <cellStyle name="標準_P3§2．2．5-2_梁_断面照査" xfId="159" xr:uid="{00000000-0005-0000-0000-00009E000000}"/>
    <cellStyle name="標準_ss06-2_疲労強度" xfId="156" xr:uid="{00000000-0005-0000-0000-00009F000000}"/>
    <cellStyle name="標準_断面照査" xfId="158" xr:uid="{00000000-0005-0000-0000-0000A0000000}"/>
    <cellStyle name="未定義" xfId="155" xr:uid="{00000000-0005-0000-0000-0000A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76200</xdr:colOff>
      <xdr:row>55</xdr:row>
      <xdr:rowOff>123825</xdr:rowOff>
    </xdr:from>
    <xdr:to>
      <xdr:col>25</xdr:col>
      <xdr:colOff>133350</xdr:colOff>
      <xdr:row>62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10601325"/>
          <a:ext cx="4457700" cy="1323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6</xdr:row>
          <xdr:rowOff>171450</xdr:rowOff>
        </xdr:from>
        <xdr:to>
          <xdr:col>20</xdr:col>
          <xdr:colOff>47625</xdr:colOff>
          <xdr:row>8</xdr:row>
          <xdr:rowOff>133350</xdr:rowOff>
        </xdr:to>
        <xdr:sp macro="" textlink="">
          <xdr:nvSpPr>
            <xdr:cNvPr id="248380" name="Button 8764" hidden="1">
              <a:extLst>
                <a:ext uri="{63B3BB69-23CF-44E3-9099-C40C66FF867C}">
                  <a14:compatExt spid="_x0000_s248380"/>
                </a:ext>
                <a:ext uri="{FF2B5EF4-FFF2-40B4-BE49-F238E27FC236}">
                  <a16:creationId xmlns:a16="http://schemas.microsoft.com/office/drawing/2014/main" id="{00000000-0008-0000-0100-00003CCA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190500</xdr:colOff>
      <xdr:row>84</xdr:row>
      <xdr:rowOff>95250</xdr:rowOff>
    </xdr:from>
    <xdr:to>
      <xdr:col>30</xdr:col>
      <xdr:colOff>9525</xdr:colOff>
      <xdr:row>84</xdr:row>
      <xdr:rowOff>95250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CxnSpPr/>
      </xdr:nvCxnSpPr>
      <xdr:spPr bwMode="auto">
        <a:xfrm>
          <a:off x="1190625" y="15525750"/>
          <a:ext cx="482917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46299</xdr:colOff>
      <xdr:row>84</xdr:row>
      <xdr:rowOff>95250</xdr:rowOff>
    </xdr:from>
    <xdr:to>
      <xdr:col>6</xdr:col>
      <xdr:colOff>135199</xdr:colOff>
      <xdr:row>84</xdr:row>
      <xdr:rowOff>184150</xdr:rowOff>
    </xdr:to>
    <xdr:sp macro="" textlink="">
      <xdr:nvSpPr>
        <xdr:cNvPr id="3" name="二等辺三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246449" y="15525750"/>
          <a:ext cx="88900" cy="88900"/>
        </a:xfrm>
        <a:prstGeom prst="triangle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60649</xdr:colOff>
      <xdr:row>84</xdr:row>
      <xdr:rowOff>95250</xdr:rowOff>
    </xdr:from>
    <xdr:to>
      <xdr:col>21</xdr:col>
      <xdr:colOff>149549</xdr:colOff>
      <xdr:row>84</xdr:row>
      <xdr:rowOff>184150</xdr:rowOff>
    </xdr:to>
    <xdr:sp macro="" textlink="">
      <xdr:nvSpPr>
        <xdr:cNvPr id="4" name="二等辺三角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4270699" y="15525750"/>
          <a:ext cx="88900" cy="88900"/>
        </a:xfrm>
        <a:prstGeom prst="triangle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21062</xdr:colOff>
      <xdr:row>84</xdr:row>
      <xdr:rowOff>95250</xdr:rowOff>
    </xdr:from>
    <xdr:to>
      <xdr:col>22</xdr:col>
      <xdr:colOff>109962</xdr:colOff>
      <xdr:row>84</xdr:row>
      <xdr:rowOff>184150</xdr:rowOff>
    </xdr:to>
    <xdr:sp macro="" textlink="">
      <xdr:nvSpPr>
        <xdr:cNvPr id="5" name="二等辺三角形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4431137" y="15525750"/>
          <a:ext cx="88900" cy="88900"/>
        </a:xfrm>
        <a:prstGeom prst="triangle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104935</xdr:colOff>
      <xdr:row>84</xdr:row>
      <xdr:rowOff>95250</xdr:rowOff>
    </xdr:from>
    <xdr:to>
      <xdr:col>29</xdr:col>
      <xdr:colOff>193835</xdr:colOff>
      <xdr:row>84</xdr:row>
      <xdr:rowOff>184150</xdr:rowOff>
    </xdr:to>
    <xdr:sp macro="" textlink="">
      <xdr:nvSpPr>
        <xdr:cNvPr id="6" name="二等辺三角形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5915185" y="15525750"/>
          <a:ext cx="88900" cy="88900"/>
        </a:xfrm>
        <a:prstGeom prst="triangle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190500</xdr:colOff>
      <xdr:row>84</xdr:row>
      <xdr:rowOff>184150</xdr:rowOff>
    </xdr:from>
    <xdr:to>
      <xdr:col>5</xdr:col>
      <xdr:colOff>190500</xdr:colOff>
      <xdr:row>88</xdr:row>
      <xdr:rowOff>0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 bwMode="auto">
        <a:xfrm>
          <a:off x="1190625" y="15614650"/>
          <a:ext cx="0" cy="577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22</xdr:col>
      <xdr:colOff>5348</xdr:colOff>
      <xdr:row>84</xdr:row>
      <xdr:rowOff>184150</xdr:rowOff>
    </xdr:from>
    <xdr:to>
      <xdr:col>22</xdr:col>
      <xdr:colOff>5348</xdr:colOff>
      <xdr:row>88</xdr:row>
      <xdr:rowOff>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 bwMode="auto">
        <a:xfrm>
          <a:off x="4415423" y="15614650"/>
          <a:ext cx="0" cy="577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30</xdr:col>
      <xdr:colOff>9525</xdr:colOff>
      <xdr:row>84</xdr:row>
      <xdr:rowOff>184150</xdr:rowOff>
    </xdr:from>
    <xdr:to>
      <xdr:col>30</xdr:col>
      <xdr:colOff>9525</xdr:colOff>
      <xdr:row>88</xdr:row>
      <xdr:rowOff>0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>
          <a:off x="6019800" y="15614650"/>
          <a:ext cx="0" cy="577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190500</xdr:colOff>
      <xdr:row>88</xdr:row>
      <xdr:rowOff>0</xdr:rowOff>
    </xdr:from>
    <xdr:to>
      <xdr:col>22</xdr:col>
      <xdr:colOff>5348</xdr:colOff>
      <xdr:row>88</xdr:row>
      <xdr:rowOff>0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 bwMode="auto">
        <a:xfrm>
          <a:off x="1190625" y="16192500"/>
          <a:ext cx="3224798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arrow" w="sm" len="sm"/>
          <a:tailEnd type="arrow" w="sm" len="sm"/>
        </a:ln>
        <a:effectLst/>
      </xdr:spPr>
    </xdr:cxnSp>
    <xdr:clientData/>
  </xdr:twoCellAnchor>
  <xdr:twoCellAnchor>
    <xdr:from>
      <xdr:col>22</xdr:col>
      <xdr:colOff>5348</xdr:colOff>
      <xdr:row>88</xdr:row>
      <xdr:rowOff>0</xdr:rowOff>
    </xdr:from>
    <xdr:to>
      <xdr:col>30</xdr:col>
      <xdr:colOff>9525</xdr:colOff>
      <xdr:row>88</xdr:row>
      <xdr:rowOff>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 bwMode="auto">
        <a:xfrm>
          <a:off x="4415423" y="16192500"/>
          <a:ext cx="1604377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arrow" w="sm" len="sm"/>
          <a:tailEnd type="arrow" w="sm" len="sm"/>
        </a:ln>
        <a:effectLst/>
      </xdr:spPr>
    </xdr:cxnSp>
    <xdr:clientData/>
  </xdr:twoCellAnchor>
  <xdr:twoCellAnchor>
    <xdr:from>
      <xdr:col>12</xdr:col>
      <xdr:colOff>137267</xdr:colOff>
      <xdr:row>86</xdr:row>
      <xdr:rowOff>138626</xdr:rowOff>
    </xdr:from>
    <xdr:to>
      <xdr:col>15</xdr:col>
      <xdr:colOff>68107</xdr:colOff>
      <xdr:row>88</xdr:row>
      <xdr:rowOff>0</xdr:rowOff>
    </xdr:to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2537567" y="15950126"/>
          <a:ext cx="530915" cy="242374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b">
          <a:spAutoFit/>
        </a:bodyPr>
        <a:lstStyle/>
        <a:p>
          <a:r>
            <a:rPr kumimoji="1" lang="en-US" altLang="ja-JP" sz="900">
              <a:latin typeface="ＭＳ 明朝" panose="02020609040205080304" pitchFamily="17" charset="-128"/>
            </a:rPr>
            <a:t>20.100</a:t>
          </a:r>
          <a:endParaRPr kumimoji="1" lang="ja-JP" altLang="en-US" sz="900">
            <a:latin typeface="ＭＳ 明朝" panose="02020609040205080304" pitchFamily="17" charset="-128"/>
          </a:endParaRPr>
        </a:p>
      </xdr:txBody>
    </xdr:sp>
    <xdr:clientData/>
  </xdr:twoCellAnchor>
  <xdr:twoCellAnchor>
    <xdr:from>
      <xdr:col>24</xdr:col>
      <xdr:colOff>142029</xdr:colOff>
      <xdr:row>86</xdr:row>
      <xdr:rowOff>138626</xdr:rowOff>
    </xdr:from>
    <xdr:to>
      <xdr:col>27</xdr:col>
      <xdr:colOff>72869</xdr:colOff>
      <xdr:row>88</xdr:row>
      <xdr:rowOff>0</xdr:rowOff>
    </xdr:to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4952154" y="15950126"/>
          <a:ext cx="530915" cy="242374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b">
          <a:spAutoFit/>
        </a:bodyPr>
        <a:lstStyle/>
        <a:p>
          <a:r>
            <a:rPr kumimoji="1" lang="en-US" altLang="ja-JP" sz="900">
              <a:latin typeface="ＭＳ 明朝" panose="02020609040205080304" pitchFamily="17" charset="-128"/>
            </a:rPr>
            <a:t>10.000</a:t>
          </a:r>
          <a:endParaRPr kumimoji="1" lang="ja-JP" altLang="en-US" sz="900">
            <a:latin typeface="ＭＳ 明朝" panose="02020609040205080304" pitchFamily="17" charset="-128"/>
          </a:endParaRPr>
        </a:p>
      </xdr:txBody>
    </xdr:sp>
    <xdr:clientData/>
  </xdr:twoCellAnchor>
  <xdr:twoCellAnchor>
    <xdr:from>
      <xdr:col>6</xdr:col>
      <xdr:colOff>90749</xdr:colOff>
      <xdr:row>84</xdr:row>
      <xdr:rowOff>184150</xdr:rowOff>
    </xdr:from>
    <xdr:to>
      <xdr:col>6</xdr:col>
      <xdr:colOff>90749</xdr:colOff>
      <xdr:row>86</xdr:row>
      <xdr:rowOff>138626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 bwMode="auto">
        <a:xfrm>
          <a:off x="1290899" y="15614650"/>
          <a:ext cx="0" cy="3354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21</xdr:col>
      <xdr:colOff>105099</xdr:colOff>
      <xdr:row>84</xdr:row>
      <xdr:rowOff>184150</xdr:rowOff>
    </xdr:from>
    <xdr:to>
      <xdr:col>21</xdr:col>
      <xdr:colOff>105099</xdr:colOff>
      <xdr:row>86</xdr:row>
      <xdr:rowOff>138626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 bwMode="auto">
        <a:xfrm>
          <a:off x="4315149" y="15614650"/>
          <a:ext cx="0" cy="3354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22</xdr:col>
      <xdr:colOff>65512</xdr:colOff>
      <xdr:row>84</xdr:row>
      <xdr:rowOff>184150</xdr:rowOff>
    </xdr:from>
    <xdr:to>
      <xdr:col>22</xdr:col>
      <xdr:colOff>65512</xdr:colOff>
      <xdr:row>86</xdr:row>
      <xdr:rowOff>138626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 bwMode="auto">
        <a:xfrm>
          <a:off x="4475587" y="15614650"/>
          <a:ext cx="0" cy="3354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29</xdr:col>
      <xdr:colOff>149385</xdr:colOff>
      <xdr:row>84</xdr:row>
      <xdr:rowOff>184150</xdr:rowOff>
    </xdr:from>
    <xdr:to>
      <xdr:col>29</xdr:col>
      <xdr:colOff>149385</xdr:colOff>
      <xdr:row>86</xdr:row>
      <xdr:rowOff>138626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 bwMode="auto">
        <a:xfrm>
          <a:off x="5959635" y="15614650"/>
          <a:ext cx="0" cy="3354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0</xdr:colOff>
      <xdr:row>86</xdr:row>
      <xdr:rowOff>138626</xdr:rowOff>
    </xdr:from>
    <xdr:to>
      <xdr:col>5</xdr:col>
      <xdr:colOff>190500</xdr:colOff>
      <xdr:row>86</xdr:row>
      <xdr:rowOff>138626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 bwMode="auto">
        <a:xfrm>
          <a:off x="1000125" y="15950126"/>
          <a:ext cx="1905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 w="sm" len="sm"/>
        </a:ln>
        <a:effectLst/>
      </xdr:spPr>
    </xdr:cxnSp>
    <xdr:clientData/>
  </xdr:twoCellAnchor>
  <xdr:twoCellAnchor>
    <xdr:from>
      <xdr:col>5</xdr:col>
      <xdr:colOff>190500</xdr:colOff>
      <xdr:row>86</xdr:row>
      <xdr:rowOff>138626</xdr:rowOff>
    </xdr:from>
    <xdr:to>
      <xdr:col>6</xdr:col>
      <xdr:colOff>90749</xdr:colOff>
      <xdr:row>86</xdr:row>
      <xdr:rowOff>138626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 bwMode="auto">
        <a:xfrm>
          <a:off x="1190625" y="15950126"/>
          <a:ext cx="100274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90749</xdr:colOff>
      <xdr:row>86</xdr:row>
      <xdr:rowOff>138626</xdr:rowOff>
    </xdr:from>
    <xdr:to>
      <xdr:col>21</xdr:col>
      <xdr:colOff>105099</xdr:colOff>
      <xdr:row>86</xdr:row>
      <xdr:rowOff>138626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 bwMode="auto">
        <a:xfrm>
          <a:off x="1290899" y="15950126"/>
          <a:ext cx="302425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arrow" w="sm" len="sm"/>
          <a:tailEnd type="arrow" w="sm" len="sm"/>
        </a:ln>
        <a:effectLst/>
      </xdr:spPr>
    </xdr:cxnSp>
    <xdr:clientData/>
  </xdr:twoCellAnchor>
  <xdr:twoCellAnchor>
    <xdr:from>
      <xdr:col>21</xdr:col>
      <xdr:colOff>105099</xdr:colOff>
      <xdr:row>86</xdr:row>
      <xdr:rowOff>138626</xdr:rowOff>
    </xdr:from>
    <xdr:to>
      <xdr:col>22</xdr:col>
      <xdr:colOff>65512</xdr:colOff>
      <xdr:row>86</xdr:row>
      <xdr:rowOff>138626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 bwMode="auto">
        <a:xfrm>
          <a:off x="4315149" y="15950126"/>
          <a:ext cx="160438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22</xdr:col>
      <xdr:colOff>65512</xdr:colOff>
      <xdr:row>86</xdr:row>
      <xdr:rowOff>138626</xdr:rowOff>
    </xdr:from>
    <xdr:to>
      <xdr:col>29</xdr:col>
      <xdr:colOff>149385</xdr:colOff>
      <xdr:row>86</xdr:row>
      <xdr:rowOff>138626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 bwMode="auto">
        <a:xfrm>
          <a:off x="4475587" y="15950126"/>
          <a:ext cx="1484048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arrow" w="sm" len="sm"/>
          <a:tailEnd type="arrow" w="sm" len="sm"/>
        </a:ln>
        <a:effectLst/>
      </xdr:spPr>
    </xdr:cxnSp>
    <xdr:clientData/>
  </xdr:twoCellAnchor>
  <xdr:twoCellAnchor>
    <xdr:from>
      <xdr:col>29</xdr:col>
      <xdr:colOff>149385</xdr:colOff>
      <xdr:row>86</xdr:row>
      <xdr:rowOff>138626</xdr:rowOff>
    </xdr:from>
    <xdr:to>
      <xdr:col>30</xdr:col>
      <xdr:colOff>9525</xdr:colOff>
      <xdr:row>86</xdr:row>
      <xdr:rowOff>138626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 bwMode="auto">
        <a:xfrm>
          <a:off x="5959635" y="15950126"/>
          <a:ext cx="601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30</xdr:col>
      <xdr:colOff>9525</xdr:colOff>
      <xdr:row>86</xdr:row>
      <xdr:rowOff>138626</xdr:rowOff>
    </xdr:from>
    <xdr:to>
      <xdr:col>31</xdr:col>
      <xdr:colOff>0</xdr:colOff>
      <xdr:row>86</xdr:row>
      <xdr:rowOff>138626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 bwMode="auto">
        <a:xfrm>
          <a:off x="6019800" y="15950126"/>
          <a:ext cx="1905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arrow" w="sm" len="sm"/>
          <a:tailEnd type="none" w="med" len="med"/>
        </a:ln>
        <a:effectLst/>
      </xdr:spPr>
    </xdr:cxnSp>
    <xdr:clientData/>
  </xdr:twoCellAnchor>
  <xdr:twoCellAnchor>
    <xdr:from>
      <xdr:col>5</xdr:col>
      <xdr:colOff>0</xdr:colOff>
      <xdr:row>85</xdr:row>
      <xdr:rowOff>86751</xdr:rowOff>
    </xdr:from>
    <xdr:to>
      <xdr:col>7</xdr:col>
      <xdr:colOff>73156</xdr:colOff>
      <xdr:row>86</xdr:row>
      <xdr:rowOff>138625</xdr:rowOff>
    </xdr:to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1000125" y="15707751"/>
          <a:ext cx="473206" cy="242374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b">
          <a:spAutoFit/>
        </a:bodyPr>
        <a:lstStyle/>
        <a:p>
          <a:r>
            <a:rPr kumimoji="1" lang="en-US" altLang="ja-JP" sz="900">
              <a:latin typeface="ＭＳ 明朝" panose="02020609040205080304" pitchFamily="17" charset="-128"/>
            </a:rPr>
            <a:t>0.625</a:t>
          </a:r>
          <a:endParaRPr kumimoji="1" lang="ja-JP" altLang="en-US" sz="900">
            <a:latin typeface="ＭＳ 明朝" panose="02020609040205080304" pitchFamily="17" charset="-128"/>
          </a:endParaRPr>
        </a:p>
      </xdr:txBody>
    </xdr:sp>
    <xdr:clientData/>
  </xdr:twoCellAnchor>
  <xdr:twoCellAnchor>
    <xdr:from>
      <xdr:col>12</xdr:col>
      <xdr:colOff>137267</xdr:colOff>
      <xdr:row>85</xdr:row>
      <xdr:rowOff>86751</xdr:rowOff>
    </xdr:from>
    <xdr:to>
      <xdr:col>15</xdr:col>
      <xdr:colOff>68107</xdr:colOff>
      <xdr:row>86</xdr:row>
      <xdr:rowOff>138625</xdr:rowOff>
    </xdr:to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2537567" y="15707751"/>
          <a:ext cx="530915" cy="242374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b">
          <a:spAutoFit/>
        </a:bodyPr>
        <a:lstStyle/>
        <a:p>
          <a:r>
            <a:rPr kumimoji="1" lang="en-US" altLang="ja-JP" sz="900">
              <a:latin typeface="ＭＳ 明朝" panose="02020609040205080304" pitchFamily="17" charset="-128"/>
            </a:rPr>
            <a:t>18.850</a:t>
          </a:r>
          <a:endParaRPr kumimoji="1" lang="ja-JP" altLang="en-US" sz="900">
            <a:latin typeface="ＭＳ 明朝" panose="02020609040205080304" pitchFamily="17" charset="-128"/>
          </a:endParaRPr>
        </a:p>
      </xdr:txBody>
    </xdr:sp>
    <xdr:clientData/>
  </xdr:twoCellAnchor>
  <xdr:twoCellAnchor>
    <xdr:from>
      <xdr:col>19</xdr:col>
      <xdr:colOff>141742</xdr:colOff>
      <xdr:row>85</xdr:row>
      <xdr:rowOff>86751</xdr:rowOff>
    </xdr:from>
    <xdr:to>
      <xdr:col>22</xdr:col>
      <xdr:colOff>5348</xdr:colOff>
      <xdr:row>86</xdr:row>
      <xdr:rowOff>138625</xdr:rowOff>
    </xdr:to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3942217" y="15707751"/>
          <a:ext cx="473206" cy="242374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b">
          <a:spAutoFit/>
        </a:bodyPr>
        <a:lstStyle/>
        <a:p>
          <a:r>
            <a:rPr kumimoji="1" lang="en-US" altLang="ja-JP" sz="900">
              <a:latin typeface="ＭＳ 明朝" panose="02020609040205080304" pitchFamily="17" charset="-128"/>
            </a:rPr>
            <a:t>0.625</a:t>
          </a:r>
          <a:endParaRPr kumimoji="1" lang="ja-JP" altLang="en-US" sz="900">
            <a:latin typeface="ＭＳ 明朝" panose="02020609040205080304" pitchFamily="17" charset="-128"/>
          </a:endParaRPr>
        </a:p>
      </xdr:txBody>
    </xdr:sp>
    <xdr:clientData/>
  </xdr:twoCellAnchor>
  <xdr:twoCellAnchor>
    <xdr:from>
      <xdr:col>22</xdr:col>
      <xdr:colOff>5348</xdr:colOff>
      <xdr:row>85</xdr:row>
      <xdr:rowOff>86751</xdr:rowOff>
    </xdr:from>
    <xdr:to>
      <xdr:col>24</xdr:col>
      <xdr:colOff>78504</xdr:colOff>
      <xdr:row>86</xdr:row>
      <xdr:rowOff>138625</xdr:rowOff>
    </xdr:to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4415423" y="15707751"/>
          <a:ext cx="473206" cy="242374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b">
          <a:spAutoFit/>
        </a:bodyPr>
        <a:lstStyle/>
        <a:p>
          <a:r>
            <a:rPr kumimoji="1" lang="en-US" altLang="ja-JP" sz="900">
              <a:latin typeface="ＭＳ 明朝" panose="02020609040205080304" pitchFamily="17" charset="-128"/>
            </a:rPr>
            <a:t>0.375</a:t>
          </a:r>
          <a:endParaRPr kumimoji="1" lang="ja-JP" altLang="en-US" sz="900">
            <a:latin typeface="ＭＳ 明朝" panose="02020609040205080304" pitchFamily="17" charset="-128"/>
          </a:endParaRPr>
        </a:p>
      </xdr:txBody>
    </xdr:sp>
    <xdr:clientData/>
  </xdr:twoCellAnchor>
  <xdr:twoCellAnchor>
    <xdr:from>
      <xdr:col>24</xdr:col>
      <xdr:colOff>170883</xdr:colOff>
      <xdr:row>85</xdr:row>
      <xdr:rowOff>86751</xdr:rowOff>
    </xdr:from>
    <xdr:to>
      <xdr:col>27</xdr:col>
      <xdr:colOff>44014</xdr:colOff>
      <xdr:row>86</xdr:row>
      <xdr:rowOff>138625</xdr:rowOff>
    </xdr:to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4981008" y="15707751"/>
          <a:ext cx="473206" cy="242374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b">
          <a:spAutoFit/>
        </a:bodyPr>
        <a:lstStyle/>
        <a:p>
          <a:r>
            <a:rPr kumimoji="1" lang="en-US" altLang="ja-JP" sz="900">
              <a:latin typeface="ＭＳ 明朝" panose="02020609040205080304" pitchFamily="17" charset="-128"/>
            </a:rPr>
            <a:t>9.250</a:t>
          </a:r>
          <a:endParaRPr kumimoji="1" lang="ja-JP" altLang="en-US" sz="900">
            <a:latin typeface="ＭＳ 明朝" panose="02020609040205080304" pitchFamily="17" charset="-128"/>
          </a:endParaRPr>
        </a:p>
      </xdr:txBody>
    </xdr:sp>
    <xdr:clientData/>
  </xdr:twoCellAnchor>
  <xdr:twoCellAnchor>
    <xdr:from>
      <xdr:col>28</xdr:col>
      <xdr:colOff>126869</xdr:colOff>
      <xdr:row>85</xdr:row>
      <xdr:rowOff>86751</xdr:rowOff>
    </xdr:from>
    <xdr:to>
      <xdr:col>31</xdr:col>
      <xdr:colOff>0</xdr:colOff>
      <xdr:row>86</xdr:row>
      <xdr:rowOff>138625</xdr:rowOff>
    </xdr:to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5737094" y="15707751"/>
          <a:ext cx="473206" cy="242374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b">
          <a:spAutoFit/>
        </a:bodyPr>
        <a:lstStyle/>
        <a:p>
          <a:r>
            <a:rPr kumimoji="1" lang="en-US" altLang="ja-JP" sz="900">
              <a:latin typeface="ＭＳ 明朝" panose="02020609040205080304" pitchFamily="17" charset="-128"/>
            </a:rPr>
            <a:t>0.375</a:t>
          </a:r>
          <a:endParaRPr kumimoji="1" lang="ja-JP" altLang="en-US" sz="900">
            <a:latin typeface="ＭＳ 明朝" panose="02020609040205080304" pitchFamily="17" charset="-128"/>
          </a:endParaRPr>
        </a:p>
      </xdr:txBody>
    </xdr:sp>
    <xdr:clientData/>
  </xdr:twoCellAnchor>
  <xdr:twoCellAnchor>
    <xdr:from>
      <xdr:col>5</xdr:col>
      <xdr:colOff>190500</xdr:colOff>
      <xdr:row>81</xdr:row>
      <xdr:rowOff>133350</xdr:rowOff>
    </xdr:from>
    <xdr:to>
      <xdr:col>5</xdr:col>
      <xdr:colOff>190500</xdr:colOff>
      <xdr:row>83</xdr:row>
      <xdr:rowOff>158750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 bwMode="auto">
        <a:xfrm flipV="1">
          <a:off x="1190625" y="14992350"/>
          <a:ext cx="0" cy="4064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triangle" w="sm" len="med"/>
          <a:tailEnd type="none" w="med" len="med"/>
        </a:ln>
        <a:effectLst/>
      </xdr:spPr>
    </xdr:cxnSp>
    <xdr:clientData/>
  </xdr:twoCellAnchor>
  <xdr:twoCellAnchor>
    <xdr:from>
      <xdr:col>5</xdr:col>
      <xdr:colOff>190500</xdr:colOff>
      <xdr:row>81</xdr:row>
      <xdr:rowOff>114300</xdr:rowOff>
    </xdr:from>
    <xdr:to>
      <xdr:col>5</xdr:col>
      <xdr:colOff>190500</xdr:colOff>
      <xdr:row>81</xdr:row>
      <xdr:rowOff>133350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 bwMode="auto">
        <a:xfrm>
          <a:off x="1190625" y="14973300"/>
          <a:ext cx="0" cy="190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191022</xdr:colOff>
      <xdr:row>81</xdr:row>
      <xdr:rowOff>133350</xdr:rowOff>
    </xdr:from>
    <xdr:to>
      <xdr:col>6</xdr:col>
      <xdr:colOff>191022</xdr:colOff>
      <xdr:row>83</xdr:row>
      <xdr:rowOff>158750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 bwMode="auto">
        <a:xfrm flipV="1">
          <a:off x="1391172" y="14992350"/>
          <a:ext cx="0" cy="4064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triangle" w="sm" len="med"/>
          <a:tailEnd type="none" w="med" len="med"/>
        </a:ln>
        <a:effectLst/>
      </xdr:spPr>
    </xdr:cxnSp>
    <xdr:clientData/>
  </xdr:twoCellAnchor>
  <xdr:twoCellAnchor>
    <xdr:from>
      <xdr:col>6</xdr:col>
      <xdr:colOff>191022</xdr:colOff>
      <xdr:row>81</xdr:row>
      <xdr:rowOff>114300</xdr:rowOff>
    </xdr:from>
    <xdr:to>
      <xdr:col>6</xdr:col>
      <xdr:colOff>191022</xdr:colOff>
      <xdr:row>81</xdr:row>
      <xdr:rowOff>133350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 bwMode="auto">
        <a:xfrm>
          <a:off x="1391172" y="14973300"/>
          <a:ext cx="0" cy="190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</xdr:col>
      <xdr:colOff>194155</xdr:colOff>
      <xdr:row>81</xdr:row>
      <xdr:rowOff>133350</xdr:rowOff>
    </xdr:from>
    <xdr:to>
      <xdr:col>12</xdr:col>
      <xdr:colOff>194155</xdr:colOff>
      <xdr:row>83</xdr:row>
      <xdr:rowOff>158750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 bwMode="auto">
        <a:xfrm flipV="1">
          <a:off x="2594455" y="14992350"/>
          <a:ext cx="0" cy="4064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triangle" w="sm" len="med"/>
          <a:tailEnd type="none" w="med" len="med"/>
        </a:ln>
        <a:effectLst/>
      </xdr:spPr>
    </xdr:cxnSp>
    <xdr:clientData/>
  </xdr:twoCellAnchor>
  <xdr:twoCellAnchor>
    <xdr:from>
      <xdr:col>12</xdr:col>
      <xdr:colOff>194155</xdr:colOff>
      <xdr:row>81</xdr:row>
      <xdr:rowOff>114300</xdr:rowOff>
    </xdr:from>
    <xdr:to>
      <xdr:col>12</xdr:col>
      <xdr:colOff>194155</xdr:colOff>
      <xdr:row>81</xdr:row>
      <xdr:rowOff>133350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 bwMode="auto">
        <a:xfrm>
          <a:off x="2594455" y="14973300"/>
          <a:ext cx="0" cy="190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</xdr:col>
      <xdr:colOff>194677</xdr:colOff>
      <xdr:row>81</xdr:row>
      <xdr:rowOff>133350</xdr:rowOff>
    </xdr:from>
    <xdr:to>
      <xdr:col>13</xdr:col>
      <xdr:colOff>194677</xdr:colOff>
      <xdr:row>83</xdr:row>
      <xdr:rowOff>158750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/>
      </xdr:nvCxnSpPr>
      <xdr:spPr bwMode="auto">
        <a:xfrm flipV="1">
          <a:off x="2795002" y="14992350"/>
          <a:ext cx="0" cy="4064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triangle" w="sm" len="med"/>
          <a:tailEnd type="none" w="med" len="med"/>
        </a:ln>
        <a:effectLst/>
      </xdr:spPr>
    </xdr:cxnSp>
    <xdr:clientData/>
  </xdr:twoCellAnchor>
  <xdr:twoCellAnchor>
    <xdr:from>
      <xdr:col>13</xdr:col>
      <xdr:colOff>194677</xdr:colOff>
      <xdr:row>81</xdr:row>
      <xdr:rowOff>114300</xdr:rowOff>
    </xdr:from>
    <xdr:to>
      <xdr:col>13</xdr:col>
      <xdr:colOff>194677</xdr:colOff>
      <xdr:row>81</xdr:row>
      <xdr:rowOff>133350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/>
      </xdr:nvCxnSpPr>
      <xdr:spPr bwMode="auto">
        <a:xfrm>
          <a:off x="2795002" y="14973300"/>
          <a:ext cx="0" cy="190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</xdr:col>
      <xdr:colOff>195721</xdr:colOff>
      <xdr:row>81</xdr:row>
      <xdr:rowOff>133350</xdr:rowOff>
    </xdr:from>
    <xdr:to>
      <xdr:col>15</xdr:col>
      <xdr:colOff>195721</xdr:colOff>
      <xdr:row>83</xdr:row>
      <xdr:rowOff>158750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/>
      </xdr:nvCxnSpPr>
      <xdr:spPr bwMode="auto">
        <a:xfrm flipV="1">
          <a:off x="3196096" y="14992350"/>
          <a:ext cx="0" cy="4064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triangle" w="sm" len="med"/>
          <a:tailEnd type="none" w="med" len="med"/>
        </a:ln>
        <a:effectLst/>
      </xdr:spPr>
    </xdr:cxnSp>
    <xdr:clientData/>
  </xdr:twoCellAnchor>
  <xdr:twoCellAnchor>
    <xdr:from>
      <xdr:col>15</xdr:col>
      <xdr:colOff>195721</xdr:colOff>
      <xdr:row>81</xdr:row>
      <xdr:rowOff>114300</xdr:rowOff>
    </xdr:from>
    <xdr:to>
      <xdr:col>15</xdr:col>
      <xdr:colOff>195721</xdr:colOff>
      <xdr:row>81</xdr:row>
      <xdr:rowOff>133350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/>
      </xdr:nvCxnSpPr>
      <xdr:spPr bwMode="auto">
        <a:xfrm>
          <a:off x="3196096" y="14973300"/>
          <a:ext cx="0" cy="190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16</xdr:col>
      <xdr:colOff>196243</xdr:colOff>
      <xdr:row>81</xdr:row>
      <xdr:rowOff>133350</xdr:rowOff>
    </xdr:from>
    <xdr:to>
      <xdr:col>16</xdr:col>
      <xdr:colOff>196243</xdr:colOff>
      <xdr:row>83</xdr:row>
      <xdr:rowOff>158750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 bwMode="auto">
        <a:xfrm flipV="1">
          <a:off x="3396643" y="14992350"/>
          <a:ext cx="0" cy="4064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triangle" w="sm" len="med"/>
          <a:tailEnd type="none" w="med" len="med"/>
        </a:ln>
        <a:effectLst/>
      </xdr:spPr>
    </xdr:cxnSp>
    <xdr:clientData/>
  </xdr:twoCellAnchor>
  <xdr:twoCellAnchor>
    <xdr:from>
      <xdr:col>16</xdr:col>
      <xdr:colOff>196243</xdr:colOff>
      <xdr:row>81</xdr:row>
      <xdr:rowOff>114300</xdr:rowOff>
    </xdr:from>
    <xdr:to>
      <xdr:col>16</xdr:col>
      <xdr:colOff>196243</xdr:colOff>
      <xdr:row>81</xdr:row>
      <xdr:rowOff>133350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CxnSpPr/>
      </xdr:nvCxnSpPr>
      <xdr:spPr bwMode="auto">
        <a:xfrm>
          <a:off x="3396643" y="14973300"/>
          <a:ext cx="0" cy="190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22</xdr:col>
      <xdr:colOff>189851</xdr:colOff>
      <xdr:row>81</xdr:row>
      <xdr:rowOff>133350</xdr:rowOff>
    </xdr:from>
    <xdr:to>
      <xdr:col>22</xdr:col>
      <xdr:colOff>189851</xdr:colOff>
      <xdr:row>83</xdr:row>
      <xdr:rowOff>158750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CxnSpPr/>
      </xdr:nvCxnSpPr>
      <xdr:spPr bwMode="auto">
        <a:xfrm flipV="1">
          <a:off x="4599926" y="14992350"/>
          <a:ext cx="0" cy="4064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triangle" w="sm" len="med"/>
          <a:tailEnd type="none" w="med" len="med"/>
        </a:ln>
        <a:effectLst/>
      </xdr:spPr>
    </xdr:cxnSp>
    <xdr:clientData/>
  </xdr:twoCellAnchor>
  <xdr:twoCellAnchor>
    <xdr:from>
      <xdr:col>22</xdr:col>
      <xdr:colOff>189851</xdr:colOff>
      <xdr:row>81</xdr:row>
      <xdr:rowOff>114300</xdr:rowOff>
    </xdr:from>
    <xdr:to>
      <xdr:col>22</xdr:col>
      <xdr:colOff>189851</xdr:colOff>
      <xdr:row>81</xdr:row>
      <xdr:rowOff>133350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 bwMode="auto">
        <a:xfrm>
          <a:off x="4599926" y="14973300"/>
          <a:ext cx="0" cy="190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190373</xdr:colOff>
      <xdr:row>81</xdr:row>
      <xdr:rowOff>133350</xdr:rowOff>
    </xdr:from>
    <xdr:to>
      <xdr:col>23</xdr:col>
      <xdr:colOff>190373</xdr:colOff>
      <xdr:row>83</xdr:row>
      <xdr:rowOff>158750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CxnSpPr/>
      </xdr:nvCxnSpPr>
      <xdr:spPr bwMode="auto">
        <a:xfrm flipV="1">
          <a:off x="4800473" y="14992350"/>
          <a:ext cx="0" cy="4064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27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triangle" w="sm" len="med"/>
          <a:tailEnd type="none" w="med" len="med"/>
        </a:ln>
        <a:effectLst/>
      </xdr:spPr>
    </xdr:cxnSp>
    <xdr:clientData/>
  </xdr:twoCellAnchor>
  <xdr:twoCellAnchor>
    <xdr:from>
      <xdr:col>23</xdr:col>
      <xdr:colOff>190373</xdr:colOff>
      <xdr:row>81</xdr:row>
      <xdr:rowOff>114300</xdr:rowOff>
    </xdr:from>
    <xdr:to>
      <xdr:col>23</xdr:col>
      <xdr:colOff>190373</xdr:colOff>
      <xdr:row>81</xdr:row>
      <xdr:rowOff>133350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CxnSpPr/>
      </xdr:nvCxnSpPr>
      <xdr:spPr bwMode="auto">
        <a:xfrm>
          <a:off x="4800473" y="14973300"/>
          <a:ext cx="0" cy="190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190500</xdr:colOff>
      <xdr:row>81</xdr:row>
      <xdr:rowOff>114300</xdr:rowOff>
    </xdr:from>
    <xdr:to>
      <xdr:col>6</xdr:col>
      <xdr:colOff>191022</xdr:colOff>
      <xdr:row>81</xdr:row>
      <xdr:rowOff>114300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 bwMode="auto">
        <a:xfrm flipH="1">
          <a:off x="1190625" y="14973300"/>
          <a:ext cx="200547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arrow" w="sm" len="sm"/>
          <a:tailEnd type="arrow" w="sm" len="sm"/>
        </a:ln>
        <a:effectLst/>
      </xdr:spPr>
    </xdr:cxnSp>
    <xdr:clientData/>
  </xdr:twoCellAnchor>
  <xdr:twoCellAnchor>
    <xdr:from>
      <xdr:col>5</xdr:col>
      <xdr:colOff>54171</xdr:colOff>
      <xdr:row>80</xdr:row>
      <xdr:rowOff>62426</xdr:rowOff>
    </xdr:from>
    <xdr:to>
      <xdr:col>7</xdr:col>
      <xdr:colOff>127327</xdr:colOff>
      <xdr:row>81</xdr:row>
      <xdr:rowOff>114300</xdr:rowOff>
    </xdr:to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1054296" y="14730926"/>
          <a:ext cx="473206" cy="242374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b">
          <a:spAutoFit/>
        </a:bodyPr>
        <a:lstStyle/>
        <a:p>
          <a:r>
            <a:rPr kumimoji="1" lang="en-US" altLang="ja-JP" sz="900">
              <a:latin typeface="ＭＳ 明朝" panose="02020609040205080304" pitchFamily="17" charset="-128"/>
            </a:rPr>
            <a:t>2.500</a:t>
          </a:r>
          <a:endParaRPr kumimoji="1" lang="ja-JP" altLang="en-US" sz="900">
            <a:latin typeface="ＭＳ 明朝" panose="02020609040205080304" pitchFamily="17" charset="-128"/>
          </a:endParaRPr>
        </a:p>
      </xdr:txBody>
    </xdr:sp>
    <xdr:clientData/>
  </xdr:twoCellAnchor>
  <xdr:twoCellAnchor>
    <xdr:from>
      <xdr:col>6</xdr:col>
      <xdr:colOff>191022</xdr:colOff>
      <xdr:row>81</xdr:row>
      <xdr:rowOff>114300</xdr:rowOff>
    </xdr:from>
    <xdr:to>
      <xdr:col>12</xdr:col>
      <xdr:colOff>194155</xdr:colOff>
      <xdr:row>81</xdr:row>
      <xdr:rowOff>114300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 bwMode="auto">
        <a:xfrm flipH="1">
          <a:off x="1391172" y="14973300"/>
          <a:ext cx="120328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arrow" w="sm" len="sm"/>
          <a:tailEnd type="arrow" w="sm" len="sm"/>
        </a:ln>
        <a:effectLst/>
      </xdr:spPr>
    </xdr:cxnSp>
    <xdr:clientData/>
  </xdr:twoCellAnchor>
  <xdr:twoCellAnchor>
    <xdr:from>
      <xdr:col>8</xdr:col>
      <xdr:colOff>127156</xdr:colOff>
      <xdr:row>81</xdr:row>
      <xdr:rowOff>114300</xdr:rowOff>
    </xdr:from>
    <xdr:to>
      <xdr:col>11</xdr:col>
      <xdr:colOff>57996</xdr:colOff>
      <xdr:row>82</xdr:row>
      <xdr:rowOff>166174</xdr:rowOff>
    </xdr:to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 txBox="1"/>
      </xdr:nvSpPr>
      <xdr:spPr>
        <a:xfrm>
          <a:off x="1727356" y="14973300"/>
          <a:ext cx="530915" cy="242374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b">
          <a:spAutoFit/>
        </a:bodyPr>
        <a:lstStyle/>
        <a:p>
          <a:r>
            <a:rPr kumimoji="1" lang="en-US" altLang="ja-JP" sz="900">
              <a:latin typeface="ＭＳ 明朝" panose="02020609040205080304" pitchFamily="17" charset="-128"/>
            </a:rPr>
            <a:t>15.000</a:t>
          </a:r>
          <a:endParaRPr kumimoji="1" lang="ja-JP" altLang="en-US" sz="900">
            <a:latin typeface="ＭＳ 明朝" panose="02020609040205080304" pitchFamily="17" charset="-128"/>
          </a:endParaRPr>
        </a:p>
      </xdr:txBody>
    </xdr:sp>
    <xdr:clientData/>
  </xdr:twoCellAnchor>
  <xdr:twoCellAnchor>
    <xdr:from>
      <xdr:col>12</xdr:col>
      <xdr:colOff>194155</xdr:colOff>
      <xdr:row>81</xdr:row>
      <xdr:rowOff>114300</xdr:rowOff>
    </xdr:from>
    <xdr:to>
      <xdr:col>13</xdr:col>
      <xdr:colOff>194677</xdr:colOff>
      <xdr:row>81</xdr:row>
      <xdr:rowOff>114300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 bwMode="auto">
        <a:xfrm flipH="1">
          <a:off x="2594455" y="14973300"/>
          <a:ext cx="200547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arrow" w="sm" len="sm"/>
          <a:tailEnd type="arrow" w="sm" len="sm"/>
        </a:ln>
        <a:effectLst/>
      </xdr:spPr>
    </xdr:cxnSp>
    <xdr:clientData/>
  </xdr:twoCellAnchor>
  <xdr:twoCellAnchor>
    <xdr:from>
      <xdr:col>12</xdr:col>
      <xdr:colOff>57826</xdr:colOff>
      <xdr:row>80</xdr:row>
      <xdr:rowOff>62426</xdr:rowOff>
    </xdr:from>
    <xdr:to>
      <xdr:col>14</xdr:col>
      <xdr:colOff>130982</xdr:colOff>
      <xdr:row>81</xdr:row>
      <xdr:rowOff>114300</xdr:rowOff>
    </xdr:to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 txBox="1"/>
      </xdr:nvSpPr>
      <xdr:spPr>
        <a:xfrm>
          <a:off x="2458126" y="14730926"/>
          <a:ext cx="473206" cy="242374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b">
          <a:spAutoFit/>
        </a:bodyPr>
        <a:lstStyle/>
        <a:p>
          <a:r>
            <a:rPr kumimoji="1" lang="en-US" altLang="ja-JP" sz="900">
              <a:latin typeface="ＭＳ 明朝" panose="02020609040205080304" pitchFamily="17" charset="-128"/>
            </a:rPr>
            <a:t>2.500</a:t>
          </a:r>
          <a:endParaRPr kumimoji="1" lang="ja-JP" altLang="en-US" sz="900">
            <a:latin typeface="ＭＳ 明朝" panose="02020609040205080304" pitchFamily="17" charset="-128"/>
          </a:endParaRPr>
        </a:p>
      </xdr:txBody>
    </xdr:sp>
    <xdr:clientData/>
  </xdr:twoCellAnchor>
  <xdr:twoCellAnchor>
    <xdr:from>
      <xdr:col>13</xdr:col>
      <xdr:colOff>194677</xdr:colOff>
      <xdr:row>81</xdr:row>
      <xdr:rowOff>114300</xdr:rowOff>
    </xdr:from>
    <xdr:to>
      <xdr:col>15</xdr:col>
      <xdr:colOff>195721</xdr:colOff>
      <xdr:row>81</xdr:row>
      <xdr:rowOff>114300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CxnSpPr/>
      </xdr:nvCxnSpPr>
      <xdr:spPr bwMode="auto">
        <a:xfrm flipH="1">
          <a:off x="2795002" y="14973300"/>
          <a:ext cx="401094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arrow" w="sm" len="sm"/>
          <a:tailEnd type="arrow" w="sm" len="sm"/>
        </a:ln>
        <a:effectLst/>
      </xdr:spPr>
    </xdr:cxnSp>
    <xdr:clientData/>
  </xdr:twoCellAnchor>
  <xdr:twoCellAnchor>
    <xdr:from>
      <xdr:col>13</xdr:col>
      <xdr:colOff>158621</xdr:colOff>
      <xdr:row>81</xdr:row>
      <xdr:rowOff>114300</xdr:rowOff>
    </xdr:from>
    <xdr:to>
      <xdr:col>16</xdr:col>
      <xdr:colOff>31752</xdr:colOff>
      <xdr:row>82</xdr:row>
      <xdr:rowOff>166174</xdr:rowOff>
    </xdr:to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 txBox="1"/>
      </xdr:nvSpPr>
      <xdr:spPr>
        <a:xfrm>
          <a:off x="2758946" y="14973300"/>
          <a:ext cx="473206" cy="242374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b">
          <a:spAutoFit/>
        </a:bodyPr>
        <a:lstStyle/>
        <a:p>
          <a:r>
            <a:rPr kumimoji="1" lang="en-US" altLang="ja-JP" sz="900">
              <a:latin typeface="ＭＳ 明朝" panose="02020609040205080304" pitchFamily="17" charset="-128"/>
            </a:rPr>
            <a:t>5.000</a:t>
          </a:r>
          <a:endParaRPr kumimoji="1" lang="ja-JP" altLang="en-US" sz="900">
            <a:latin typeface="ＭＳ 明朝" panose="02020609040205080304" pitchFamily="17" charset="-128"/>
          </a:endParaRPr>
        </a:p>
      </xdr:txBody>
    </xdr:sp>
    <xdr:clientData/>
  </xdr:twoCellAnchor>
  <xdr:twoCellAnchor>
    <xdr:from>
      <xdr:col>15</xdr:col>
      <xdr:colOff>195721</xdr:colOff>
      <xdr:row>81</xdr:row>
      <xdr:rowOff>114300</xdr:rowOff>
    </xdr:from>
    <xdr:to>
      <xdr:col>16</xdr:col>
      <xdr:colOff>196243</xdr:colOff>
      <xdr:row>81</xdr:row>
      <xdr:rowOff>114300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CxnSpPr/>
      </xdr:nvCxnSpPr>
      <xdr:spPr bwMode="auto">
        <a:xfrm flipH="1">
          <a:off x="3196096" y="14973300"/>
          <a:ext cx="200547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arrow" w="sm" len="sm"/>
          <a:tailEnd type="arrow" w="sm" len="sm"/>
        </a:ln>
        <a:effectLst/>
      </xdr:spPr>
    </xdr:cxnSp>
    <xdr:clientData/>
  </xdr:twoCellAnchor>
  <xdr:twoCellAnchor>
    <xdr:from>
      <xdr:col>15</xdr:col>
      <xdr:colOff>59392</xdr:colOff>
      <xdr:row>80</xdr:row>
      <xdr:rowOff>62426</xdr:rowOff>
    </xdr:from>
    <xdr:to>
      <xdr:col>17</xdr:col>
      <xdr:colOff>132548</xdr:colOff>
      <xdr:row>81</xdr:row>
      <xdr:rowOff>114300</xdr:rowOff>
    </xdr:to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3059767" y="14730926"/>
          <a:ext cx="473206" cy="242374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b">
          <a:spAutoFit/>
        </a:bodyPr>
        <a:lstStyle/>
        <a:p>
          <a:r>
            <a:rPr kumimoji="1" lang="en-US" altLang="ja-JP" sz="900">
              <a:latin typeface="ＭＳ 明朝" panose="02020609040205080304" pitchFamily="17" charset="-128"/>
            </a:rPr>
            <a:t>2.500</a:t>
          </a:r>
          <a:endParaRPr kumimoji="1" lang="ja-JP" altLang="en-US" sz="900">
            <a:latin typeface="ＭＳ 明朝" panose="02020609040205080304" pitchFamily="17" charset="-128"/>
          </a:endParaRPr>
        </a:p>
      </xdr:txBody>
    </xdr:sp>
    <xdr:clientData/>
  </xdr:twoCellAnchor>
  <xdr:twoCellAnchor>
    <xdr:from>
      <xdr:col>16</xdr:col>
      <xdr:colOff>196243</xdr:colOff>
      <xdr:row>81</xdr:row>
      <xdr:rowOff>114300</xdr:rowOff>
    </xdr:from>
    <xdr:to>
      <xdr:col>22</xdr:col>
      <xdr:colOff>189851</xdr:colOff>
      <xdr:row>81</xdr:row>
      <xdr:rowOff>114300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CxnSpPr/>
      </xdr:nvCxnSpPr>
      <xdr:spPr bwMode="auto">
        <a:xfrm flipH="1">
          <a:off x="3396643" y="14973300"/>
          <a:ext cx="120328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arrow" w="sm" len="sm"/>
          <a:tailEnd type="arrow" w="sm" len="sm"/>
        </a:ln>
        <a:effectLst/>
      </xdr:spPr>
    </xdr:cxnSp>
    <xdr:clientData/>
  </xdr:twoCellAnchor>
  <xdr:twoCellAnchor>
    <xdr:from>
      <xdr:col>18</xdr:col>
      <xdr:colOff>132378</xdr:colOff>
      <xdr:row>81</xdr:row>
      <xdr:rowOff>114300</xdr:rowOff>
    </xdr:from>
    <xdr:to>
      <xdr:col>21</xdr:col>
      <xdr:colOff>53693</xdr:colOff>
      <xdr:row>82</xdr:row>
      <xdr:rowOff>166174</xdr:rowOff>
    </xdr:to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 txBox="1"/>
      </xdr:nvSpPr>
      <xdr:spPr>
        <a:xfrm>
          <a:off x="3732828" y="14973300"/>
          <a:ext cx="530915" cy="242374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b">
          <a:spAutoFit/>
        </a:bodyPr>
        <a:lstStyle/>
        <a:p>
          <a:r>
            <a:rPr kumimoji="1" lang="en-US" altLang="ja-JP" sz="900">
              <a:latin typeface="ＭＳ 明朝" panose="02020609040205080304" pitchFamily="17" charset="-128"/>
            </a:rPr>
            <a:t>15.000</a:t>
          </a:r>
          <a:endParaRPr kumimoji="1" lang="ja-JP" altLang="en-US" sz="900">
            <a:latin typeface="ＭＳ 明朝" panose="02020609040205080304" pitchFamily="17" charset="-128"/>
          </a:endParaRPr>
        </a:p>
      </xdr:txBody>
    </xdr:sp>
    <xdr:clientData/>
  </xdr:twoCellAnchor>
  <xdr:twoCellAnchor>
    <xdr:from>
      <xdr:col>22</xdr:col>
      <xdr:colOff>189851</xdr:colOff>
      <xdr:row>81</xdr:row>
      <xdr:rowOff>114300</xdr:rowOff>
    </xdr:from>
    <xdr:to>
      <xdr:col>23</xdr:col>
      <xdr:colOff>190373</xdr:colOff>
      <xdr:row>81</xdr:row>
      <xdr:rowOff>114300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CxnSpPr/>
      </xdr:nvCxnSpPr>
      <xdr:spPr bwMode="auto">
        <a:xfrm flipH="1">
          <a:off x="4599926" y="14973300"/>
          <a:ext cx="200547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arrow" w="sm" len="sm"/>
          <a:tailEnd type="arrow" w="sm" len="sm"/>
        </a:ln>
        <a:effectLst/>
      </xdr:spPr>
    </xdr:cxnSp>
    <xdr:clientData/>
  </xdr:twoCellAnchor>
  <xdr:twoCellAnchor>
    <xdr:from>
      <xdr:col>22</xdr:col>
      <xdr:colOff>53522</xdr:colOff>
      <xdr:row>80</xdr:row>
      <xdr:rowOff>62426</xdr:rowOff>
    </xdr:from>
    <xdr:to>
      <xdr:col>24</xdr:col>
      <xdr:colOff>126678</xdr:colOff>
      <xdr:row>81</xdr:row>
      <xdr:rowOff>114300</xdr:rowOff>
    </xdr:to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 txBox="1"/>
      </xdr:nvSpPr>
      <xdr:spPr>
        <a:xfrm>
          <a:off x="4463597" y="14730926"/>
          <a:ext cx="473206" cy="242374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b">
          <a:spAutoFit/>
        </a:bodyPr>
        <a:lstStyle/>
        <a:p>
          <a:r>
            <a:rPr kumimoji="1" lang="en-US" altLang="ja-JP" sz="900">
              <a:latin typeface="ＭＳ 明朝" panose="02020609040205080304" pitchFamily="17" charset="-128"/>
            </a:rPr>
            <a:t>2.500</a:t>
          </a:r>
          <a:endParaRPr kumimoji="1" lang="ja-JP" altLang="en-US" sz="900">
            <a:latin typeface="ＭＳ 明朝" panose="02020609040205080304" pitchFamily="17" charset="-128"/>
          </a:endParaRPr>
        </a:p>
      </xdr:txBody>
    </xdr:sp>
    <xdr:clientData/>
  </xdr:twoCellAnchor>
  <xdr:twoCellAnchor editAs="oneCell">
    <xdr:from>
      <xdr:col>3</xdr:col>
      <xdr:colOff>152400</xdr:colOff>
      <xdr:row>92</xdr:row>
      <xdr:rowOff>104775</xdr:rowOff>
    </xdr:from>
    <xdr:to>
      <xdr:col>32</xdr:col>
      <xdr:colOff>142150</xdr:colOff>
      <xdr:row>112</xdr:row>
      <xdr:rowOff>144299</xdr:rowOff>
    </xdr:to>
    <xdr:pic>
      <xdr:nvPicPr>
        <xdr:cNvPr id="61" name="図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475" y="17068800"/>
          <a:ext cx="5800000" cy="38495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180975</xdr:colOff>
      <xdr:row>36</xdr:row>
      <xdr:rowOff>171450</xdr:rowOff>
    </xdr:from>
    <xdr:to>
      <xdr:col>24</xdr:col>
      <xdr:colOff>133350</xdr:colOff>
      <xdr:row>41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1075" y="6838950"/>
          <a:ext cx="3952875" cy="8667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5</xdr:col>
      <xdr:colOff>57150</xdr:colOff>
      <xdr:row>48</xdr:row>
      <xdr:rowOff>95250</xdr:rowOff>
    </xdr:from>
    <xdr:to>
      <xdr:col>29</xdr:col>
      <xdr:colOff>152400</xdr:colOff>
      <xdr:row>53</xdr:row>
      <xdr:rowOff>123825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5022"/>
        <a:stretch>
          <a:fillRect/>
        </a:stretch>
      </xdr:blipFill>
      <xdr:spPr bwMode="auto">
        <a:xfrm>
          <a:off x="657225" y="9048750"/>
          <a:ext cx="4886325" cy="9810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190500</xdr:colOff>
      <xdr:row>10</xdr:row>
      <xdr:rowOff>142875</xdr:rowOff>
    </xdr:from>
    <xdr:to>
      <xdr:col>16</xdr:col>
      <xdr:colOff>57150</xdr:colOff>
      <xdr:row>12</xdr:row>
      <xdr:rowOff>114300</xdr:rowOff>
    </xdr:to>
    <xdr:sp macro="" textlink="">
      <xdr:nvSpPr>
        <xdr:cNvPr id="4" name="AutoShape 5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rrowheads="1"/>
        </xdr:cNvSpPr>
      </xdr:nvSpPr>
      <xdr:spPr bwMode="auto">
        <a:xfrm>
          <a:off x="2190750" y="2047875"/>
          <a:ext cx="1066800" cy="352425"/>
        </a:xfrm>
        <a:prstGeom prst="flowChartTerminator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START</a:t>
          </a:r>
        </a:p>
      </xdr:txBody>
    </xdr:sp>
    <xdr:clientData/>
  </xdr:twoCellAnchor>
  <xdr:twoCellAnchor editAs="oneCell">
    <xdr:from>
      <xdr:col>6</xdr:col>
      <xdr:colOff>19050</xdr:colOff>
      <xdr:row>13</xdr:row>
      <xdr:rowOff>152400</xdr:rowOff>
    </xdr:from>
    <xdr:to>
      <xdr:col>21</xdr:col>
      <xdr:colOff>28575</xdr:colOff>
      <xdr:row>16</xdr:row>
      <xdr:rowOff>47625</xdr:rowOff>
    </xdr:to>
    <xdr:sp macro="" textlink="">
      <xdr:nvSpPr>
        <xdr:cNvPr id="5" name="AutoShap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rrowheads="1"/>
        </xdr:cNvSpPr>
      </xdr:nvSpPr>
      <xdr:spPr bwMode="auto">
        <a:xfrm>
          <a:off x="1219200" y="2628900"/>
          <a:ext cx="3009900" cy="466725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全断面を有効として計算したコンクリートの縁引張</a:t>
          </a:r>
        </a:p>
        <a:p>
          <a:pPr algn="l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応力度σ</a:t>
          </a:r>
          <a:r>
            <a:rPr lang="ja-JP" altLang="en-US" sz="1000" b="0" i="0" u="none" strike="noStrike" baseline="-25000">
              <a:solidFill>
                <a:srgbClr val="000000"/>
              </a:solidFill>
              <a:latin typeface="ＭＳ 明朝"/>
              <a:ea typeface="ＭＳ 明朝"/>
            </a:rPr>
            <a:t>b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の算定</a:t>
          </a:r>
        </a:p>
      </xdr:txBody>
    </xdr:sp>
    <xdr:clientData/>
  </xdr:twoCellAnchor>
  <xdr:twoCellAnchor editAs="oneCell">
    <xdr:from>
      <xdr:col>6</xdr:col>
      <xdr:colOff>19050</xdr:colOff>
      <xdr:row>17</xdr:row>
      <xdr:rowOff>85725</xdr:rowOff>
    </xdr:from>
    <xdr:to>
      <xdr:col>21</xdr:col>
      <xdr:colOff>28575</xdr:colOff>
      <xdr:row>19</xdr:row>
      <xdr:rowOff>28575</xdr:rowOff>
    </xdr:to>
    <xdr:sp macro="" textlink="">
      <xdr:nvSpPr>
        <xdr:cNvPr id="6" name="AutoShape 8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Arrowheads="1"/>
        </xdr:cNvSpPr>
      </xdr:nvSpPr>
      <xdr:spPr bwMode="auto">
        <a:xfrm>
          <a:off x="1219200" y="3324225"/>
          <a:ext cx="3009900" cy="32385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断面高さに応じた縁引張応力度の限界値σ</a:t>
          </a:r>
          <a:r>
            <a:rPr lang="ja-JP" altLang="en-US" sz="1000" b="0" i="0" u="none" strike="noStrike" baseline="-25000">
              <a:solidFill>
                <a:srgbClr val="000000"/>
              </a:solidFill>
              <a:latin typeface="ＭＳ 明朝"/>
              <a:ea typeface="ＭＳ 明朝"/>
            </a:rPr>
            <a:t>bl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の設定</a:t>
          </a:r>
        </a:p>
      </xdr:txBody>
    </xdr:sp>
    <xdr:clientData/>
  </xdr:twoCellAnchor>
  <xdr:twoCellAnchor editAs="oneCell">
    <xdr:from>
      <xdr:col>9</xdr:col>
      <xdr:colOff>171450</xdr:colOff>
      <xdr:row>20</xdr:row>
      <xdr:rowOff>66675</xdr:rowOff>
    </xdr:from>
    <xdr:to>
      <xdr:col>17</xdr:col>
      <xdr:colOff>47625</xdr:colOff>
      <xdr:row>22</xdr:row>
      <xdr:rowOff>104775</xdr:rowOff>
    </xdr:to>
    <xdr:sp macro="" textlink="">
      <xdr:nvSpPr>
        <xdr:cNvPr id="7" name="AutoShape 10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1971675" y="3876675"/>
          <a:ext cx="1476375" cy="419100"/>
        </a:xfrm>
        <a:prstGeom prst="flowChartDecis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05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σ</a:t>
          </a:r>
          <a:r>
            <a:rPr lang="ja-JP" altLang="en-US" sz="1050" b="0" i="0" u="none" strike="noStrike" baseline="-25000">
              <a:solidFill>
                <a:srgbClr val="000000"/>
              </a:solidFill>
              <a:latin typeface="ＭＳ 明朝"/>
              <a:ea typeface="ＭＳ 明朝"/>
            </a:rPr>
            <a:t>b</a:t>
          </a:r>
          <a:r>
            <a:rPr lang="ja-JP" altLang="en-US" sz="105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 ≦ σ</a:t>
          </a:r>
          <a:r>
            <a:rPr lang="ja-JP" altLang="en-US" sz="1050" b="0" i="0" u="none" strike="noStrike" baseline="-25000">
              <a:solidFill>
                <a:srgbClr val="000000"/>
              </a:solidFill>
              <a:latin typeface="ＭＳ 明朝"/>
              <a:ea typeface="ＭＳ 明朝"/>
            </a:rPr>
            <a:t>bl</a:t>
          </a:r>
        </a:p>
      </xdr:txBody>
    </xdr:sp>
    <xdr:clientData/>
  </xdr:twoCellAnchor>
  <xdr:twoCellAnchor editAs="oneCell">
    <xdr:from>
      <xdr:col>7</xdr:col>
      <xdr:colOff>0</xdr:colOff>
      <xdr:row>23</xdr:row>
      <xdr:rowOff>142875</xdr:rowOff>
    </xdr:from>
    <xdr:to>
      <xdr:col>20</xdr:col>
      <xdr:colOff>28575</xdr:colOff>
      <xdr:row>26</xdr:row>
      <xdr:rowOff>0</xdr:rowOff>
    </xdr:to>
    <xdr:sp macro="" textlink="">
      <xdr:nvSpPr>
        <xdr:cNvPr id="8" name="AutoShape 1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1400175" y="4524375"/>
          <a:ext cx="2628900" cy="428625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永久作用による引張鉄筋の応力度による検討</a:t>
          </a:r>
        </a:p>
        <a:p>
          <a:pPr algn="ctr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σ</a:t>
          </a:r>
          <a:r>
            <a:rPr lang="ja-JP" altLang="en-US" sz="1000" b="0" i="0" u="none" strike="noStrike" baseline="-25000">
              <a:solidFill>
                <a:srgbClr val="000000"/>
              </a:solidFill>
              <a:latin typeface="ＭＳ 明朝"/>
              <a:ea typeface="ＭＳ 明朝"/>
            </a:rPr>
            <a:t>s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 ≦ σ</a:t>
          </a:r>
          <a:r>
            <a:rPr lang="ja-JP" altLang="en-US" sz="1000" b="0" i="0" u="none" strike="noStrike" baseline="-25000">
              <a:solidFill>
                <a:srgbClr val="000000"/>
              </a:solidFill>
              <a:latin typeface="ＭＳ 明朝"/>
              <a:ea typeface="ＭＳ 明朝"/>
            </a:rPr>
            <a:t>sbl</a:t>
          </a:r>
        </a:p>
      </xdr:txBody>
    </xdr:sp>
    <xdr:clientData/>
  </xdr:twoCellAnchor>
  <xdr:twoCellAnchor editAs="oneCell">
    <xdr:from>
      <xdr:col>21</xdr:col>
      <xdr:colOff>104775</xdr:colOff>
      <xdr:row>23</xdr:row>
      <xdr:rowOff>142875</xdr:rowOff>
    </xdr:from>
    <xdr:to>
      <xdr:col>31</xdr:col>
      <xdr:colOff>66675</xdr:colOff>
      <xdr:row>26</xdr:row>
      <xdr:rowOff>0</xdr:rowOff>
    </xdr:to>
    <xdr:sp macro="" textlink="">
      <xdr:nvSpPr>
        <xdr:cNvPr id="9" name="AutoShape 13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 noChangeArrowheads="1"/>
        </xdr:cNvSpPr>
      </xdr:nvSpPr>
      <xdr:spPr bwMode="auto">
        <a:xfrm>
          <a:off x="4305300" y="4524375"/>
          <a:ext cx="1952625" cy="428625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曲げひび割れ幅による検討</a:t>
          </a:r>
        </a:p>
        <a:p>
          <a:pPr algn="ctr" rtl="0">
            <a:lnSpc>
              <a:spcPts val="11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γi・W</a:t>
          </a:r>
          <a:r>
            <a:rPr lang="ja-JP" altLang="en-US" sz="1000" b="0" i="0" u="none" strike="noStrike" baseline="-25000">
              <a:solidFill>
                <a:srgbClr val="000000"/>
              </a:solidFill>
              <a:latin typeface="ＭＳ 明朝"/>
              <a:ea typeface="ＭＳ 明朝"/>
            </a:rPr>
            <a:t>s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／W</a:t>
          </a:r>
          <a:r>
            <a:rPr lang="ja-JP" altLang="en-US" sz="1000" b="0" i="0" u="none" strike="noStrike" baseline="-25000">
              <a:solidFill>
                <a:srgbClr val="000000"/>
              </a:solidFill>
              <a:latin typeface="ＭＳ 明朝"/>
              <a:ea typeface="ＭＳ 明朝"/>
            </a:rPr>
            <a:t>liml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 ≦1.0</a:t>
          </a:r>
        </a:p>
      </xdr:txBody>
    </xdr:sp>
    <xdr:clientData/>
  </xdr:twoCellAnchor>
  <xdr:twoCellAnchor>
    <xdr:from>
      <xdr:col>13</xdr:col>
      <xdr:colOff>114300</xdr:colOff>
      <xdr:row>12</xdr:row>
      <xdr:rowOff>114300</xdr:rowOff>
    </xdr:from>
    <xdr:to>
      <xdr:col>13</xdr:col>
      <xdr:colOff>114300</xdr:colOff>
      <xdr:row>13</xdr:row>
      <xdr:rowOff>152400</xdr:rowOff>
    </xdr:to>
    <xdr:sp macro="" textlink="">
      <xdr:nvSpPr>
        <xdr:cNvPr id="10" name="Line 14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>
          <a:spLocks noChangeShapeType="1"/>
        </xdr:cNvSpPr>
      </xdr:nvSpPr>
      <xdr:spPr bwMode="auto">
        <a:xfrm>
          <a:off x="2714625" y="2400300"/>
          <a:ext cx="0" cy="228600"/>
        </a:xfrm>
        <a:prstGeom prst="line">
          <a:avLst/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13</xdr:col>
      <xdr:colOff>114300</xdr:colOff>
      <xdr:row>16</xdr:row>
      <xdr:rowOff>57150</xdr:rowOff>
    </xdr:from>
    <xdr:to>
      <xdr:col>13</xdr:col>
      <xdr:colOff>114300</xdr:colOff>
      <xdr:row>17</xdr:row>
      <xdr:rowOff>95250</xdr:rowOff>
    </xdr:to>
    <xdr:sp macro="" textlink="">
      <xdr:nvSpPr>
        <xdr:cNvPr id="11" name="Line 15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ShapeType="1"/>
        </xdr:cNvSpPr>
      </xdr:nvSpPr>
      <xdr:spPr bwMode="auto">
        <a:xfrm>
          <a:off x="2714625" y="3105150"/>
          <a:ext cx="0" cy="228600"/>
        </a:xfrm>
        <a:prstGeom prst="line">
          <a:avLst/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13</xdr:col>
      <xdr:colOff>114300</xdr:colOff>
      <xdr:row>19</xdr:row>
      <xdr:rowOff>28575</xdr:rowOff>
    </xdr:from>
    <xdr:to>
      <xdr:col>13</xdr:col>
      <xdr:colOff>114300</xdr:colOff>
      <xdr:row>20</xdr:row>
      <xdr:rowOff>66675</xdr:rowOff>
    </xdr:to>
    <xdr:sp macro="" textlink="">
      <xdr:nvSpPr>
        <xdr:cNvPr id="12" name="Line 16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>
          <a:spLocks noChangeShapeType="1"/>
        </xdr:cNvSpPr>
      </xdr:nvSpPr>
      <xdr:spPr bwMode="auto">
        <a:xfrm>
          <a:off x="2714625" y="3648075"/>
          <a:ext cx="0" cy="228600"/>
        </a:xfrm>
        <a:prstGeom prst="line">
          <a:avLst/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13</xdr:col>
      <xdr:colOff>114300</xdr:colOff>
      <xdr:row>22</xdr:row>
      <xdr:rowOff>104775</xdr:rowOff>
    </xdr:from>
    <xdr:to>
      <xdr:col>13</xdr:col>
      <xdr:colOff>114300</xdr:colOff>
      <xdr:row>23</xdr:row>
      <xdr:rowOff>142875</xdr:rowOff>
    </xdr:to>
    <xdr:sp macro="" textlink="">
      <xdr:nvSpPr>
        <xdr:cNvPr id="13" name="Line 17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>
          <a:spLocks noChangeShapeType="1"/>
        </xdr:cNvSpPr>
      </xdr:nvSpPr>
      <xdr:spPr bwMode="auto">
        <a:xfrm>
          <a:off x="2714625" y="4295775"/>
          <a:ext cx="0" cy="228600"/>
        </a:xfrm>
        <a:prstGeom prst="line">
          <a:avLst/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17</xdr:col>
      <xdr:colOff>47625</xdr:colOff>
      <xdr:row>21</xdr:row>
      <xdr:rowOff>85725</xdr:rowOff>
    </xdr:from>
    <xdr:to>
      <xdr:col>26</xdr:col>
      <xdr:colOff>104775</xdr:colOff>
      <xdr:row>23</xdr:row>
      <xdr:rowOff>152400</xdr:rowOff>
    </xdr:to>
    <xdr:sp macro="" textlink="">
      <xdr:nvSpPr>
        <xdr:cNvPr id="14" name="Freeform 19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>
          <a:spLocks/>
        </xdr:cNvSpPr>
      </xdr:nvSpPr>
      <xdr:spPr bwMode="auto">
        <a:xfrm>
          <a:off x="3448050" y="4086225"/>
          <a:ext cx="1857375" cy="447675"/>
        </a:xfrm>
        <a:custGeom>
          <a:avLst/>
          <a:gdLst>
            <a:gd name="T0" fmla="*/ 0 w 14"/>
            <a:gd name="T1" fmla="*/ 0 h 20"/>
            <a:gd name="T2" fmla="*/ 1857375 w 14"/>
            <a:gd name="T3" fmla="*/ 0 h 20"/>
            <a:gd name="T4" fmla="*/ 1857375 w 14"/>
            <a:gd name="T5" fmla="*/ 447675 h 2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4" h="20">
              <a:moveTo>
                <a:pt x="0" y="0"/>
              </a:moveTo>
              <a:lnTo>
                <a:pt x="14" y="0"/>
              </a:lnTo>
              <a:lnTo>
                <a:pt x="14" y="20"/>
              </a:lnTo>
            </a:path>
          </a:pathLst>
        </a:custGeom>
        <a:noFill/>
        <a:ln w="317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triangle" w="sm" len="sm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oneCellAnchor>
    <xdr:from>
      <xdr:col>13</xdr:col>
      <xdr:colOff>171450</xdr:colOff>
      <xdr:row>22</xdr:row>
      <xdr:rowOff>95250</xdr:rowOff>
    </xdr:from>
    <xdr:ext cx="209550" cy="180975"/>
    <xdr:sp macro="" textlink="">
      <xdr:nvSpPr>
        <xdr:cNvPr id="15" name="Text Box 20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>
          <a:spLocks noChangeArrowheads="1"/>
        </xdr:cNvSpPr>
      </xdr:nvSpPr>
      <xdr:spPr bwMode="auto">
        <a:xfrm>
          <a:off x="2771775" y="4286250"/>
          <a:ext cx="209550" cy="180975"/>
        </a:xfrm>
        <a:prstGeom prst="rect">
          <a:avLst/>
        </a:prstGeom>
        <a:noFill/>
        <a:ln>
          <a:noFill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Yes</a:t>
          </a:r>
        </a:p>
      </xdr:txBody>
    </xdr:sp>
    <xdr:clientData/>
  </xdr:oneCellAnchor>
  <xdr:oneCellAnchor>
    <xdr:from>
      <xdr:col>18</xdr:col>
      <xdr:colOff>9525</xdr:colOff>
      <xdr:row>20</xdr:row>
      <xdr:rowOff>57150</xdr:rowOff>
    </xdr:from>
    <xdr:ext cx="190500" cy="180975"/>
    <xdr:sp macro="" textlink="">
      <xdr:nvSpPr>
        <xdr:cNvPr id="16" name="Text Box 2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>
          <a:spLocks noChangeArrowheads="1"/>
        </xdr:cNvSpPr>
      </xdr:nvSpPr>
      <xdr:spPr bwMode="auto">
        <a:xfrm>
          <a:off x="3609975" y="3867150"/>
          <a:ext cx="190500" cy="180975"/>
        </a:xfrm>
        <a:prstGeom prst="rect">
          <a:avLst/>
        </a:prstGeom>
        <a:noFill/>
        <a:ln>
          <a:noFill/>
        </a:ln>
        <a:effectLst/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No</a:t>
          </a:r>
        </a:p>
      </xdr:txBody>
    </xdr:sp>
    <xdr:clientData/>
  </xdr:oneCellAnchor>
  <xdr:twoCellAnchor editAs="oneCell">
    <xdr:from>
      <xdr:col>6</xdr:col>
      <xdr:colOff>123825</xdr:colOff>
      <xdr:row>60</xdr:row>
      <xdr:rowOff>0</xdr:rowOff>
    </xdr:from>
    <xdr:to>
      <xdr:col>29</xdr:col>
      <xdr:colOff>85725</xdr:colOff>
      <xdr:row>65</xdr:row>
      <xdr:rowOff>0</xdr:rowOff>
    </xdr:to>
    <xdr:pic>
      <xdr:nvPicPr>
        <xdr:cNvPr id="17" name="Picture 22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11239500"/>
          <a:ext cx="4552950" cy="9525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47625</xdr:colOff>
      <xdr:row>66</xdr:row>
      <xdr:rowOff>114300</xdr:rowOff>
    </xdr:from>
    <xdr:to>
      <xdr:col>29</xdr:col>
      <xdr:colOff>142875</xdr:colOff>
      <xdr:row>75</xdr:row>
      <xdr:rowOff>19050</xdr:rowOff>
    </xdr:to>
    <xdr:pic>
      <xdr:nvPicPr>
        <xdr:cNvPr id="18" name="Picture 23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2496800"/>
          <a:ext cx="5086350" cy="16192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5</xdr:col>
      <xdr:colOff>142875</xdr:colOff>
      <xdr:row>162</xdr:row>
      <xdr:rowOff>171450</xdr:rowOff>
    </xdr:from>
    <xdr:to>
      <xdr:col>30</xdr:col>
      <xdr:colOff>85725</xdr:colOff>
      <xdr:row>184</xdr:row>
      <xdr:rowOff>152400</xdr:rowOff>
    </xdr:to>
    <xdr:pic>
      <xdr:nvPicPr>
        <xdr:cNvPr id="19" name="Picture 24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31670625"/>
          <a:ext cx="4933950" cy="4171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7</xdr:col>
      <xdr:colOff>66675</xdr:colOff>
      <xdr:row>54</xdr:row>
      <xdr:rowOff>114300</xdr:rowOff>
    </xdr:from>
    <xdr:to>
      <xdr:col>29</xdr:col>
      <xdr:colOff>95250</xdr:colOff>
      <xdr:row>60</xdr:row>
      <xdr:rowOff>161925</xdr:rowOff>
    </xdr:to>
    <xdr:pic>
      <xdr:nvPicPr>
        <xdr:cNvPr id="20" name="Picture 45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52" t="45415"/>
        <a:stretch>
          <a:fillRect/>
        </a:stretch>
      </xdr:blipFill>
      <xdr:spPr bwMode="auto">
        <a:xfrm>
          <a:off x="666750" y="10210800"/>
          <a:ext cx="4419600" cy="11906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114300</xdr:colOff>
      <xdr:row>80</xdr:row>
      <xdr:rowOff>0</xdr:rowOff>
    </xdr:from>
    <xdr:to>
      <xdr:col>14</xdr:col>
      <xdr:colOff>114300</xdr:colOff>
      <xdr:row>82</xdr:row>
      <xdr:rowOff>0</xdr:rowOff>
    </xdr:to>
    <xdr:sp macro="" textlink="">
      <xdr:nvSpPr>
        <xdr:cNvPr id="21" name="AutoShape 49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>
          <a:spLocks noChangeArrowheads="1"/>
        </xdr:cNvSpPr>
      </xdr:nvSpPr>
      <xdr:spPr bwMode="auto">
        <a:xfrm>
          <a:off x="1514475" y="13820775"/>
          <a:ext cx="1000125" cy="381000"/>
        </a:xfrm>
        <a:prstGeom prst="bracketPair">
          <a:avLst>
            <a:gd name="adj" fmla="val 16667"/>
          </a:avLst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14</xdr:col>
      <xdr:colOff>95250</xdr:colOff>
      <xdr:row>106</xdr:row>
      <xdr:rowOff>28575</xdr:rowOff>
    </xdr:from>
    <xdr:to>
      <xdr:col>22</xdr:col>
      <xdr:colOff>104775</xdr:colOff>
      <xdr:row>107</xdr:row>
      <xdr:rowOff>161925</xdr:rowOff>
    </xdr:to>
    <xdr:sp macro="" textlink="">
      <xdr:nvSpPr>
        <xdr:cNvPr id="22" name="AutoShape 50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>
          <a:spLocks noChangeArrowheads="1"/>
        </xdr:cNvSpPr>
      </xdr:nvSpPr>
      <xdr:spPr bwMode="auto">
        <a:xfrm>
          <a:off x="2495550" y="19459575"/>
          <a:ext cx="1609725" cy="323850"/>
        </a:xfrm>
        <a:prstGeom prst="bracketPair">
          <a:avLst>
            <a:gd name="adj" fmla="val 16667"/>
          </a:avLst>
        </a:prstGeom>
        <a:noFill/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76200</xdr:colOff>
      <xdr:row>74</xdr:row>
      <xdr:rowOff>123825</xdr:rowOff>
    </xdr:from>
    <xdr:to>
      <xdr:col>25</xdr:col>
      <xdr:colOff>133350</xdr:colOff>
      <xdr:row>81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1318" y="14456149"/>
          <a:ext cx="4494679" cy="1323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12521;&#12540;&#12513;&#12531;&#35336;&#31639;-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1:Y2247"/>
  <sheetViews>
    <sheetView view="pageBreakPreview" zoomScale="70" zoomScaleNormal="100" zoomScaleSheetLayoutView="70" workbookViewId="0">
      <selection activeCell="A16" sqref="A16:XFD52"/>
    </sheetView>
  </sheetViews>
  <sheetFormatPr defaultColWidth="2.625" defaultRowHeight="12" x14ac:dyDescent="0.15"/>
  <cols>
    <col min="1" max="25" width="2.625" style="32" customWidth="1"/>
    <col min="26" max="26" width="2.5" style="32" customWidth="1"/>
    <col min="27" max="281" width="2.625" style="32"/>
    <col min="282" max="282" width="2.5" style="32" customWidth="1"/>
    <col min="283" max="537" width="2.625" style="32"/>
    <col min="538" max="538" width="2.5" style="32" customWidth="1"/>
    <col min="539" max="793" width="2.625" style="32"/>
    <col min="794" max="794" width="2.5" style="32" customWidth="1"/>
    <col min="795" max="1049" width="2.625" style="32"/>
    <col min="1050" max="1050" width="2.5" style="32" customWidth="1"/>
    <col min="1051" max="1305" width="2.625" style="32"/>
    <col min="1306" max="1306" width="2.5" style="32" customWidth="1"/>
    <col min="1307" max="1561" width="2.625" style="32"/>
    <col min="1562" max="1562" width="2.5" style="32" customWidth="1"/>
    <col min="1563" max="1817" width="2.625" style="32"/>
    <col min="1818" max="1818" width="2.5" style="32" customWidth="1"/>
    <col min="1819" max="2073" width="2.625" style="32"/>
    <col min="2074" max="2074" width="2.5" style="32" customWidth="1"/>
    <col min="2075" max="2329" width="2.625" style="32"/>
    <col min="2330" max="2330" width="2.5" style="32" customWidth="1"/>
    <col min="2331" max="2585" width="2.625" style="32"/>
    <col min="2586" max="2586" width="2.5" style="32" customWidth="1"/>
    <col min="2587" max="2841" width="2.625" style="32"/>
    <col min="2842" max="2842" width="2.5" style="32" customWidth="1"/>
    <col min="2843" max="3097" width="2.625" style="32"/>
    <col min="3098" max="3098" width="2.5" style="32" customWidth="1"/>
    <col min="3099" max="3353" width="2.625" style="32"/>
    <col min="3354" max="3354" width="2.5" style="32" customWidth="1"/>
    <col min="3355" max="3609" width="2.625" style="32"/>
    <col min="3610" max="3610" width="2.5" style="32" customWidth="1"/>
    <col min="3611" max="3865" width="2.625" style="32"/>
    <col min="3866" max="3866" width="2.5" style="32" customWidth="1"/>
    <col min="3867" max="4121" width="2.625" style="32"/>
    <col min="4122" max="4122" width="2.5" style="32" customWidth="1"/>
    <col min="4123" max="4377" width="2.625" style="32"/>
    <col min="4378" max="4378" width="2.5" style="32" customWidth="1"/>
    <col min="4379" max="4633" width="2.625" style="32"/>
    <col min="4634" max="4634" width="2.5" style="32" customWidth="1"/>
    <col min="4635" max="4889" width="2.625" style="32"/>
    <col min="4890" max="4890" width="2.5" style="32" customWidth="1"/>
    <col min="4891" max="5145" width="2.625" style="32"/>
    <col min="5146" max="5146" width="2.5" style="32" customWidth="1"/>
    <col min="5147" max="5401" width="2.625" style="32"/>
    <col min="5402" max="5402" width="2.5" style="32" customWidth="1"/>
    <col min="5403" max="5657" width="2.625" style="32"/>
    <col min="5658" max="5658" width="2.5" style="32" customWidth="1"/>
    <col min="5659" max="5913" width="2.625" style="32"/>
    <col min="5914" max="5914" width="2.5" style="32" customWidth="1"/>
    <col min="5915" max="6169" width="2.625" style="32"/>
    <col min="6170" max="6170" width="2.5" style="32" customWidth="1"/>
    <col min="6171" max="6425" width="2.625" style="32"/>
    <col min="6426" max="6426" width="2.5" style="32" customWidth="1"/>
    <col min="6427" max="6681" width="2.625" style="32"/>
    <col min="6682" max="6682" width="2.5" style="32" customWidth="1"/>
    <col min="6683" max="6937" width="2.625" style="32"/>
    <col min="6938" max="6938" width="2.5" style="32" customWidth="1"/>
    <col min="6939" max="7193" width="2.625" style="32"/>
    <col min="7194" max="7194" width="2.5" style="32" customWidth="1"/>
    <col min="7195" max="7449" width="2.625" style="32"/>
    <col min="7450" max="7450" width="2.5" style="32" customWidth="1"/>
    <col min="7451" max="7705" width="2.625" style="32"/>
    <col min="7706" max="7706" width="2.5" style="32" customWidth="1"/>
    <col min="7707" max="7961" width="2.625" style="32"/>
    <col min="7962" max="7962" width="2.5" style="32" customWidth="1"/>
    <col min="7963" max="8217" width="2.625" style="32"/>
    <col min="8218" max="8218" width="2.5" style="32" customWidth="1"/>
    <col min="8219" max="8473" width="2.625" style="32"/>
    <col min="8474" max="8474" width="2.5" style="32" customWidth="1"/>
    <col min="8475" max="8729" width="2.625" style="32"/>
    <col min="8730" max="8730" width="2.5" style="32" customWidth="1"/>
    <col min="8731" max="8985" width="2.625" style="32"/>
    <col min="8986" max="8986" width="2.5" style="32" customWidth="1"/>
    <col min="8987" max="9241" width="2.625" style="32"/>
    <col min="9242" max="9242" width="2.5" style="32" customWidth="1"/>
    <col min="9243" max="9497" width="2.625" style="32"/>
    <col min="9498" max="9498" width="2.5" style="32" customWidth="1"/>
    <col min="9499" max="9753" width="2.625" style="32"/>
    <col min="9754" max="9754" width="2.5" style="32" customWidth="1"/>
    <col min="9755" max="10009" width="2.625" style="32"/>
    <col min="10010" max="10010" width="2.5" style="32" customWidth="1"/>
    <col min="10011" max="10265" width="2.625" style="32"/>
    <col min="10266" max="10266" width="2.5" style="32" customWidth="1"/>
    <col min="10267" max="10521" width="2.625" style="32"/>
    <col min="10522" max="10522" width="2.5" style="32" customWidth="1"/>
    <col min="10523" max="10777" width="2.625" style="32"/>
    <col min="10778" max="10778" width="2.5" style="32" customWidth="1"/>
    <col min="10779" max="11033" width="2.625" style="32"/>
    <col min="11034" max="11034" width="2.5" style="32" customWidth="1"/>
    <col min="11035" max="11289" width="2.625" style="32"/>
    <col min="11290" max="11290" width="2.5" style="32" customWidth="1"/>
    <col min="11291" max="11545" width="2.625" style="32"/>
    <col min="11546" max="11546" width="2.5" style="32" customWidth="1"/>
    <col min="11547" max="11801" width="2.625" style="32"/>
    <col min="11802" max="11802" width="2.5" style="32" customWidth="1"/>
    <col min="11803" max="12057" width="2.625" style="32"/>
    <col min="12058" max="12058" width="2.5" style="32" customWidth="1"/>
    <col min="12059" max="12313" width="2.625" style="32"/>
    <col min="12314" max="12314" width="2.5" style="32" customWidth="1"/>
    <col min="12315" max="12569" width="2.625" style="32"/>
    <col min="12570" max="12570" width="2.5" style="32" customWidth="1"/>
    <col min="12571" max="12825" width="2.625" style="32"/>
    <col min="12826" max="12826" width="2.5" style="32" customWidth="1"/>
    <col min="12827" max="13081" width="2.625" style="32"/>
    <col min="13082" max="13082" width="2.5" style="32" customWidth="1"/>
    <col min="13083" max="13337" width="2.625" style="32"/>
    <col min="13338" max="13338" width="2.5" style="32" customWidth="1"/>
    <col min="13339" max="13593" width="2.625" style="32"/>
    <col min="13594" max="13594" width="2.5" style="32" customWidth="1"/>
    <col min="13595" max="13849" width="2.625" style="32"/>
    <col min="13850" max="13850" width="2.5" style="32" customWidth="1"/>
    <col min="13851" max="14105" width="2.625" style="32"/>
    <col min="14106" max="14106" width="2.5" style="32" customWidth="1"/>
    <col min="14107" max="14361" width="2.625" style="32"/>
    <col min="14362" max="14362" width="2.5" style="32" customWidth="1"/>
    <col min="14363" max="14617" width="2.625" style="32"/>
    <col min="14618" max="14618" width="2.5" style="32" customWidth="1"/>
    <col min="14619" max="14873" width="2.625" style="32"/>
    <col min="14874" max="14874" width="2.5" style="32" customWidth="1"/>
    <col min="14875" max="15129" width="2.625" style="32"/>
    <col min="15130" max="15130" width="2.5" style="32" customWidth="1"/>
    <col min="15131" max="15385" width="2.625" style="32"/>
    <col min="15386" max="15386" width="2.5" style="32" customWidth="1"/>
    <col min="15387" max="15641" width="2.625" style="32"/>
    <col min="15642" max="15642" width="2.5" style="32" customWidth="1"/>
    <col min="15643" max="15897" width="2.625" style="32"/>
    <col min="15898" max="15898" width="2.5" style="32" customWidth="1"/>
    <col min="15899" max="16153" width="2.625" style="32"/>
    <col min="16154" max="16154" width="2.5" style="32" customWidth="1"/>
    <col min="16155" max="16384" width="2.625" style="32"/>
  </cols>
  <sheetData>
    <row r="1" spans="2:24" ht="15" customHeight="1" x14ac:dyDescent="0.15"/>
    <row r="2" spans="2:24" ht="15" customHeight="1" x14ac:dyDescent="0.15">
      <c r="B2" s="12" t="s">
        <v>396</v>
      </c>
      <c r="X2" s="33" t="s">
        <v>133</v>
      </c>
    </row>
    <row r="3" spans="2:24" ht="15" customHeight="1" x14ac:dyDescent="0.15"/>
    <row r="4" spans="2:24" ht="15" customHeight="1" x14ac:dyDescent="0.15">
      <c r="C4" s="12" t="s">
        <v>134</v>
      </c>
    </row>
    <row r="5" spans="2:24" ht="15" customHeight="1" x14ac:dyDescent="0.15"/>
    <row r="6" spans="2:24" ht="15" customHeight="1" x14ac:dyDescent="0.15">
      <c r="D6" s="32" t="s">
        <v>135</v>
      </c>
    </row>
    <row r="7" spans="2:24" ht="15" customHeight="1" x14ac:dyDescent="0.15">
      <c r="D7" s="32" t="s">
        <v>136</v>
      </c>
    </row>
    <row r="8" spans="2:24" ht="15" customHeight="1" x14ac:dyDescent="0.15"/>
    <row r="9" spans="2:24" ht="15" customHeight="1" x14ac:dyDescent="0.15">
      <c r="E9" s="32" t="s">
        <v>137</v>
      </c>
      <c r="Q9" s="34"/>
      <c r="R9" s="34"/>
    </row>
    <row r="10" spans="2:24" ht="15" customHeight="1" x14ac:dyDescent="0.15"/>
    <row r="11" spans="2:24" ht="15" customHeight="1" x14ac:dyDescent="0.15">
      <c r="H11" s="35" t="s">
        <v>138</v>
      </c>
      <c r="J11" s="35" t="s">
        <v>139</v>
      </c>
      <c r="K11" s="36" t="s">
        <v>140</v>
      </c>
      <c r="L11" s="32" t="s">
        <v>141</v>
      </c>
    </row>
    <row r="12" spans="2:24" ht="15" customHeight="1" x14ac:dyDescent="0.15">
      <c r="J12" s="35" t="s">
        <v>142</v>
      </c>
      <c r="K12" s="36" t="s">
        <v>140</v>
      </c>
      <c r="L12" s="32" t="s">
        <v>143</v>
      </c>
    </row>
    <row r="13" spans="2:24" ht="15" customHeight="1" x14ac:dyDescent="0.15">
      <c r="J13" s="35" t="s">
        <v>144</v>
      </c>
      <c r="K13" s="36" t="s">
        <v>140</v>
      </c>
      <c r="L13" s="32" t="s">
        <v>145</v>
      </c>
    </row>
    <row r="14" spans="2:24" ht="15" customHeight="1" x14ac:dyDescent="0.15">
      <c r="J14" s="35" t="s">
        <v>146</v>
      </c>
      <c r="K14" s="36" t="s">
        <v>140</v>
      </c>
      <c r="L14" s="32" t="s">
        <v>147</v>
      </c>
    </row>
    <row r="15" spans="2:24" ht="15" customHeight="1" x14ac:dyDescent="0.15">
      <c r="T15" s="34"/>
      <c r="U15" s="34"/>
    </row>
    <row r="16" spans="2:24" ht="15" customHeight="1" x14ac:dyDescent="0.15">
      <c r="S16" s="34"/>
      <c r="T16" s="34"/>
    </row>
    <row r="17" spans="3:24" ht="15" customHeight="1" x14ac:dyDescent="0.15">
      <c r="C17" s="12" t="s">
        <v>148</v>
      </c>
      <c r="X17" s="33" t="s">
        <v>149</v>
      </c>
    </row>
    <row r="18" spans="3:24" ht="15" customHeight="1" x14ac:dyDescent="0.15"/>
    <row r="19" spans="3:24" ht="15" customHeight="1" x14ac:dyDescent="0.15">
      <c r="D19" s="32" t="s">
        <v>150</v>
      </c>
    </row>
    <row r="20" spans="3:24" ht="15" customHeight="1" x14ac:dyDescent="0.15">
      <c r="D20" s="32" t="s">
        <v>151</v>
      </c>
    </row>
    <row r="21" spans="3:24" ht="15" customHeight="1" x14ac:dyDescent="0.15">
      <c r="D21" s="32" t="s">
        <v>152</v>
      </c>
    </row>
    <row r="22" spans="3:24" ht="15" customHeight="1" x14ac:dyDescent="0.15"/>
    <row r="23" spans="3:24" ht="15" customHeight="1" x14ac:dyDescent="0.15">
      <c r="D23" s="12" t="s">
        <v>153</v>
      </c>
    </row>
    <row r="24" spans="3:24" ht="15" customHeight="1" x14ac:dyDescent="0.15"/>
    <row r="25" spans="3:24" ht="15" customHeight="1" x14ac:dyDescent="0.15">
      <c r="E25" s="12" t="s">
        <v>154</v>
      </c>
    </row>
    <row r="26" spans="3:24" ht="15" customHeight="1" x14ac:dyDescent="0.15"/>
    <row r="27" spans="3:24" ht="15" customHeight="1" x14ac:dyDescent="0.15">
      <c r="F27" s="32" t="s">
        <v>155</v>
      </c>
    </row>
    <row r="28" spans="3:24" ht="15" customHeight="1" x14ac:dyDescent="0.15"/>
    <row r="29" spans="3:24" ht="15" customHeight="1" x14ac:dyDescent="0.15">
      <c r="H29" s="35" t="s">
        <v>138</v>
      </c>
      <c r="J29" s="35" t="s">
        <v>139</v>
      </c>
      <c r="K29" s="36" t="s">
        <v>140</v>
      </c>
      <c r="L29" s="32" t="s">
        <v>141</v>
      </c>
    </row>
    <row r="30" spans="3:24" ht="15" customHeight="1" x14ac:dyDescent="0.15">
      <c r="J30" s="35" t="s">
        <v>156</v>
      </c>
      <c r="K30" s="36" t="s">
        <v>140</v>
      </c>
      <c r="L30" s="32" t="s">
        <v>157</v>
      </c>
    </row>
    <row r="31" spans="3:24" ht="15" customHeight="1" x14ac:dyDescent="0.15">
      <c r="J31" s="35" t="s">
        <v>158</v>
      </c>
      <c r="K31" s="36" t="s">
        <v>140</v>
      </c>
      <c r="L31" s="32" t="s">
        <v>159</v>
      </c>
    </row>
    <row r="32" spans="3:24" ht="15" customHeight="1" x14ac:dyDescent="0.15">
      <c r="J32" s="35" t="s">
        <v>160</v>
      </c>
      <c r="K32" s="36" t="s">
        <v>140</v>
      </c>
      <c r="L32" s="32" t="s">
        <v>161</v>
      </c>
    </row>
    <row r="33" spans="4:12" ht="15" customHeight="1" x14ac:dyDescent="0.15">
      <c r="J33" s="35" t="s">
        <v>162</v>
      </c>
      <c r="K33" s="36" t="s">
        <v>140</v>
      </c>
      <c r="L33" s="32" t="s">
        <v>163</v>
      </c>
    </row>
    <row r="34" spans="4:12" ht="15" customHeight="1" x14ac:dyDescent="0.15">
      <c r="J34" s="35" t="s">
        <v>164</v>
      </c>
      <c r="K34" s="36" t="s">
        <v>140</v>
      </c>
      <c r="L34" s="32" t="s">
        <v>165</v>
      </c>
    </row>
    <row r="35" spans="4:12" ht="15" customHeight="1" x14ac:dyDescent="0.15">
      <c r="J35" s="35"/>
      <c r="K35" s="36"/>
    </row>
    <row r="36" spans="4:12" ht="15" customHeight="1" x14ac:dyDescent="0.15">
      <c r="E36" s="12" t="s">
        <v>166</v>
      </c>
    </row>
    <row r="37" spans="4:12" ht="15" customHeight="1" x14ac:dyDescent="0.15"/>
    <row r="38" spans="4:12" ht="15" customHeight="1" x14ac:dyDescent="0.15">
      <c r="F38" s="32" t="s">
        <v>167</v>
      </c>
    </row>
    <row r="39" spans="4:12" ht="15" customHeight="1" x14ac:dyDescent="0.15"/>
    <row r="40" spans="4:12" ht="15" customHeight="1" x14ac:dyDescent="0.15">
      <c r="H40" s="35" t="s">
        <v>138</v>
      </c>
      <c r="J40" s="35" t="s">
        <v>139</v>
      </c>
      <c r="K40" s="36" t="s">
        <v>140</v>
      </c>
      <c r="L40" s="32" t="s">
        <v>141</v>
      </c>
    </row>
    <row r="41" spans="4:12" ht="15" customHeight="1" x14ac:dyDescent="0.15">
      <c r="J41" s="35" t="s">
        <v>156</v>
      </c>
      <c r="K41" s="36" t="s">
        <v>140</v>
      </c>
      <c r="L41" s="32" t="s">
        <v>157</v>
      </c>
    </row>
    <row r="42" spans="4:12" ht="15" customHeight="1" x14ac:dyDescent="0.15">
      <c r="J42" s="35" t="s">
        <v>168</v>
      </c>
      <c r="K42" s="36" t="s">
        <v>140</v>
      </c>
      <c r="L42" s="32" t="s">
        <v>169</v>
      </c>
    </row>
    <row r="43" spans="4:12" ht="15" customHeight="1" x14ac:dyDescent="0.15">
      <c r="J43" s="35"/>
      <c r="K43" s="36"/>
    </row>
    <row r="44" spans="4:12" ht="15" customHeight="1" x14ac:dyDescent="0.15">
      <c r="D44" s="12" t="s">
        <v>170</v>
      </c>
    </row>
    <row r="45" spans="4:12" ht="15" customHeight="1" x14ac:dyDescent="0.15"/>
    <row r="46" spans="4:12" ht="15" customHeight="1" x14ac:dyDescent="0.15">
      <c r="F46" s="32" t="s">
        <v>171</v>
      </c>
    </row>
    <row r="47" spans="4:12" ht="15" customHeight="1" x14ac:dyDescent="0.15"/>
    <row r="48" spans="4:12" ht="15" customHeight="1" x14ac:dyDescent="0.15">
      <c r="H48" s="35" t="s">
        <v>138</v>
      </c>
      <c r="J48" s="35" t="s">
        <v>139</v>
      </c>
      <c r="K48" s="36" t="s">
        <v>140</v>
      </c>
      <c r="L48" s="32" t="s">
        <v>141</v>
      </c>
    </row>
    <row r="49" spans="3:18" ht="15" customHeight="1" x14ac:dyDescent="0.15">
      <c r="J49" s="35" t="s">
        <v>156</v>
      </c>
      <c r="K49" s="36" t="s">
        <v>140</v>
      </c>
      <c r="L49" s="32" t="s">
        <v>157</v>
      </c>
    </row>
    <row r="50" spans="3:18" ht="15" customHeight="1" x14ac:dyDescent="0.15">
      <c r="J50" s="35" t="s">
        <v>172</v>
      </c>
      <c r="K50" s="36" t="s">
        <v>140</v>
      </c>
      <c r="L50" s="32" t="s">
        <v>173</v>
      </c>
    </row>
    <row r="51" spans="3:18" ht="15" customHeight="1" x14ac:dyDescent="0.15"/>
    <row r="52" spans="3:18" ht="15" customHeight="1" x14ac:dyDescent="0.15"/>
    <row r="53" spans="3:18" ht="15" customHeight="1" x14ac:dyDescent="0.15"/>
    <row r="54" spans="3:18" ht="15" customHeight="1" x14ac:dyDescent="0.15"/>
    <row r="55" spans="3:18" ht="15" customHeight="1" x14ac:dyDescent="0.15">
      <c r="C55" s="32" t="s">
        <v>174</v>
      </c>
    </row>
    <row r="56" spans="3:18" ht="15" customHeight="1" x14ac:dyDescent="0.15"/>
    <row r="57" spans="3:18" ht="15" customHeight="1" x14ac:dyDescent="0.15"/>
    <row r="58" spans="3:18" ht="15" customHeight="1" x14ac:dyDescent="0.15"/>
    <row r="59" spans="3:18" ht="15" customHeight="1" x14ac:dyDescent="0.15">
      <c r="G59" s="35"/>
      <c r="I59" s="35"/>
      <c r="J59" s="36"/>
    </row>
    <row r="60" spans="3:18" ht="15" customHeight="1" x14ac:dyDescent="0.15">
      <c r="I60" s="35"/>
      <c r="J60" s="36"/>
    </row>
    <row r="61" spans="3:18" ht="15" customHeight="1" x14ac:dyDescent="0.15"/>
    <row r="62" spans="3:18" ht="15" customHeight="1" x14ac:dyDescent="0.15">
      <c r="Q62" s="37"/>
      <c r="R62" s="37"/>
    </row>
    <row r="63" spans="3:18" ht="15" customHeight="1" x14ac:dyDescent="0.15"/>
    <row r="64" spans="3:18" ht="15" customHeight="1" x14ac:dyDescent="0.15">
      <c r="L64" s="32" t="s">
        <v>175</v>
      </c>
    </row>
    <row r="65" spans="4:25" ht="15" customHeight="1" x14ac:dyDescent="0.15">
      <c r="D65" s="32" t="s">
        <v>176</v>
      </c>
    </row>
    <row r="66" spans="4:25" ht="15" customHeight="1" x14ac:dyDescent="0.15"/>
    <row r="67" spans="4:25" ht="15" customHeight="1" x14ac:dyDescent="0.15">
      <c r="E67" s="32" t="s">
        <v>177</v>
      </c>
    </row>
    <row r="68" spans="4:25" ht="15" customHeight="1" x14ac:dyDescent="0.15">
      <c r="G68" s="35"/>
      <c r="I68" s="35"/>
      <c r="J68" s="36"/>
    </row>
    <row r="69" spans="4:25" ht="15" customHeight="1" x14ac:dyDescent="0.15">
      <c r="G69" s="35" t="s">
        <v>138</v>
      </c>
      <c r="I69" s="35" t="s">
        <v>178</v>
      </c>
      <c r="J69" s="36" t="s">
        <v>140</v>
      </c>
      <c r="K69" s="32" t="s">
        <v>179</v>
      </c>
    </row>
    <row r="70" spans="4:25" ht="15" customHeight="1" x14ac:dyDescent="0.15">
      <c r="G70" s="35"/>
      <c r="I70" s="35"/>
      <c r="J70" s="38" t="s">
        <v>180</v>
      </c>
    </row>
    <row r="71" spans="4:25" ht="15" customHeight="1" x14ac:dyDescent="0.15">
      <c r="I71" s="35" t="s">
        <v>181</v>
      </c>
      <c r="J71" s="36" t="s">
        <v>140</v>
      </c>
      <c r="K71" s="32" t="s">
        <v>182</v>
      </c>
    </row>
    <row r="72" spans="4:25" ht="15" customHeight="1" x14ac:dyDescent="0.15">
      <c r="I72" s="35" t="s">
        <v>183</v>
      </c>
      <c r="J72" s="36" t="s">
        <v>140</v>
      </c>
      <c r="K72" s="32" t="s">
        <v>184</v>
      </c>
    </row>
    <row r="73" spans="4:25" ht="15" customHeight="1" x14ac:dyDescent="0.15">
      <c r="I73" s="35"/>
      <c r="L73" s="85" t="s">
        <v>185</v>
      </c>
      <c r="M73" s="85"/>
      <c r="O73" s="85" t="s">
        <v>185</v>
      </c>
      <c r="P73" s="85"/>
      <c r="Q73" s="85" t="s">
        <v>186</v>
      </c>
      <c r="R73" s="85"/>
    </row>
    <row r="74" spans="4:25" ht="6.75" customHeight="1" x14ac:dyDescent="0.15">
      <c r="I74" s="35"/>
      <c r="J74" s="87" t="s">
        <v>187</v>
      </c>
      <c r="K74" s="87"/>
      <c r="L74" s="88" t="s">
        <v>188</v>
      </c>
      <c r="M74" s="89" t="s">
        <v>189</v>
      </c>
      <c r="N74" s="87" t="s">
        <v>190</v>
      </c>
      <c r="O74" s="90" t="s">
        <v>188</v>
      </c>
      <c r="P74" s="90"/>
      <c r="Q74" s="86"/>
      <c r="R74" s="86"/>
      <c r="S74" s="87" t="s">
        <v>191</v>
      </c>
      <c r="T74" s="87"/>
      <c r="U74" s="87"/>
      <c r="V74" s="87"/>
      <c r="W74" s="87"/>
      <c r="X74" s="87"/>
      <c r="Y74" s="87"/>
    </row>
    <row r="75" spans="4:25" ht="6.75" customHeight="1" x14ac:dyDescent="0.15">
      <c r="G75" s="35"/>
      <c r="I75" s="35"/>
      <c r="J75" s="87"/>
      <c r="K75" s="87"/>
      <c r="L75" s="88"/>
      <c r="M75" s="89"/>
      <c r="N75" s="87"/>
      <c r="O75" s="90"/>
      <c r="P75" s="90"/>
      <c r="Q75" s="91" t="s">
        <v>192</v>
      </c>
      <c r="R75" s="91"/>
      <c r="S75" s="87"/>
      <c r="T75" s="87"/>
      <c r="U75" s="87"/>
      <c r="V75" s="87"/>
      <c r="W75" s="87"/>
      <c r="X75" s="87"/>
      <c r="Y75" s="87"/>
    </row>
    <row r="76" spans="4:25" ht="15" customHeight="1" x14ac:dyDescent="0.15">
      <c r="G76" s="35"/>
      <c r="I76" s="35"/>
      <c r="J76" s="36"/>
      <c r="L76" s="91" t="s">
        <v>193</v>
      </c>
      <c r="M76" s="91"/>
      <c r="O76" s="91" t="s">
        <v>193</v>
      </c>
      <c r="P76" s="91"/>
      <c r="Q76" s="91"/>
      <c r="R76" s="91"/>
    </row>
    <row r="77" spans="4:25" ht="15" customHeight="1" x14ac:dyDescent="0.15">
      <c r="I77" s="35"/>
      <c r="J77" s="36"/>
    </row>
    <row r="78" spans="4:25" ht="15" customHeight="1" x14ac:dyDescent="0.15">
      <c r="E78" s="32" t="s">
        <v>194</v>
      </c>
    </row>
    <row r="79" spans="4:25" ht="15" customHeight="1" x14ac:dyDescent="0.15"/>
    <row r="80" spans="4:25" ht="15" customHeight="1" x14ac:dyDescent="0.15">
      <c r="E80" s="32" t="s">
        <v>195</v>
      </c>
    </row>
    <row r="81" spans="5:21" ht="15" customHeight="1" x14ac:dyDescent="0.15"/>
    <row r="82" spans="5:21" ht="15" customHeight="1" x14ac:dyDescent="0.15">
      <c r="E82" s="32" t="s">
        <v>196</v>
      </c>
    </row>
    <row r="83" spans="5:21" ht="15" customHeight="1" x14ac:dyDescent="0.15"/>
    <row r="84" spans="5:21" ht="15" customHeight="1" x14ac:dyDescent="0.15">
      <c r="G84" s="88" t="s">
        <v>197</v>
      </c>
      <c r="H84" s="88"/>
      <c r="I84" s="85" t="s">
        <v>198</v>
      </c>
      <c r="J84" s="87" t="s">
        <v>199</v>
      </c>
      <c r="K84" s="85" t="s">
        <v>200</v>
      </c>
      <c r="L84" s="85"/>
      <c r="M84" s="90" t="s">
        <v>201</v>
      </c>
      <c r="N84" s="85" t="s">
        <v>185</v>
      </c>
      <c r="O84" s="85"/>
      <c r="P84" s="87" t="s">
        <v>189</v>
      </c>
      <c r="Q84" s="87" t="s">
        <v>202</v>
      </c>
      <c r="R84" s="87"/>
      <c r="S84" s="87" t="s">
        <v>199</v>
      </c>
      <c r="T84" s="85" t="s">
        <v>198</v>
      </c>
      <c r="U84" s="87" t="s">
        <v>203</v>
      </c>
    </row>
    <row r="85" spans="5:21" ht="6.75" customHeight="1" x14ac:dyDescent="0.15">
      <c r="E85" s="87" t="s">
        <v>204</v>
      </c>
      <c r="F85" s="87"/>
      <c r="G85" s="88"/>
      <c r="H85" s="88"/>
      <c r="I85" s="86"/>
      <c r="J85" s="87"/>
      <c r="K85" s="86"/>
      <c r="L85" s="86"/>
      <c r="M85" s="90"/>
      <c r="N85" s="88" t="s">
        <v>205</v>
      </c>
      <c r="O85" s="88"/>
      <c r="P85" s="87"/>
      <c r="Q85" s="87"/>
      <c r="R85" s="87"/>
      <c r="S85" s="87"/>
      <c r="T85" s="86"/>
      <c r="U85" s="87"/>
    </row>
    <row r="86" spans="5:21" ht="6.75" customHeight="1" x14ac:dyDescent="0.15">
      <c r="E86" s="87"/>
      <c r="F86" s="87"/>
      <c r="G86" s="88"/>
      <c r="H86" s="88"/>
      <c r="I86" s="91">
        <v>2</v>
      </c>
      <c r="J86" s="87"/>
      <c r="K86" s="91">
        <v>2</v>
      </c>
      <c r="L86" s="91"/>
      <c r="M86" s="90"/>
      <c r="N86" s="88"/>
      <c r="O86" s="88"/>
      <c r="P86" s="87"/>
      <c r="Q86" s="87"/>
      <c r="R86" s="87"/>
      <c r="S86" s="87"/>
      <c r="T86" s="91">
        <v>2</v>
      </c>
      <c r="U86" s="87"/>
    </row>
    <row r="87" spans="5:21" ht="15" customHeight="1" x14ac:dyDescent="0.15">
      <c r="E87" s="36"/>
      <c r="G87" s="88"/>
      <c r="H87" s="88"/>
      <c r="I87" s="91"/>
      <c r="J87" s="87"/>
      <c r="K87" s="91"/>
      <c r="L87" s="91"/>
      <c r="M87" s="90"/>
      <c r="N87" s="91" t="s">
        <v>193</v>
      </c>
      <c r="O87" s="91"/>
      <c r="P87" s="87"/>
      <c r="Q87" s="87"/>
      <c r="R87" s="87"/>
      <c r="S87" s="87"/>
      <c r="T87" s="91"/>
      <c r="U87" s="87"/>
    </row>
    <row r="88" spans="5:21" ht="15" customHeight="1" x14ac:dyDescent="0.15"/>
    <row r="89" spans="5:21" ht="15" customHeight="1" x14ac:dyDescent="0.15"/>
    <row r="90" spans="5:21" ht="15" customHeight="1" x14ac:dyDescent="0.15"/>
    <row r="91" spans="5:21" ht="15" customHeight="1" x14ac:dyDescent="0.15"/>
    <row r="92" spans="5:21" ht="15" customHeight="1" x14ac:dyDescent="0.15"/>
    <row r="93" spans="5:21" ht="15" customHeight="1" x14ac:dyDescent="0.15"/>
    <row r="94" spans="5:21" ht="15" customHeight="1" x14ac:dyDescent="0.15"/>
    <row r="95" spans="5:21" ht="15" customHeight="1" x14ac:dyDescent="0.15"/>
    <row r="96" spans="5:21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1" ht="15" customHeight="1" x14ac:dyDescent="0.15"/>
    <row r="172" ht="15" customHeight="1" x14ac:dyDescent="0.15"/>
    <row r="173" ht="15" customHeight="1" x14ac:dyDescent="0.15"/>
    <row r="174" ht="15" customHeight="1" x14ac:dyDescent="0.15"/>
    <row r="175" ht="15" customHeight="1" x14ac:dyDescent="0.15"/>
    <row r="176" ht="15" customHeight="1" x14ac:dyDescent="0.15"/>
    <row r="177" ht="15" customHeight="1" x14ac:dyDescent="0.15"/>
    <row r="178" ht="15" customHeight="1" x14ac:dyDescent="0.15"/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  <row r="374" ht="15" customHeight="1" x14ac:dyDescent="0.15"/>
    <row r="375" ht="15" customHeight="1" x14ac:dyDescent="0.15"/>
    <row r="376" ht="15" customHeight="1" x14ac:dyDescent="0.15"/>
    <row r="377" ht="15" customHeight="1" x14ac:dyDescent="0.15"/>
    <row r="378" ht="15" customHeight="1" x14ac:dyDescent="0.15"/>
    <row r="379" ht="15" customHeight="1" x14ac:dyDescent="0.15"/>
    <row r="380" ht="15" customHeight="1" x14ac:dyDescent="0.15"/>
    <row r="381" ht="15" customHeight="1" x14ac:dyDescent="0.15"/>
    <row r="382" ht="15" customHeight="1" x14ac:dyDescent="0.15"/>
    <row r="383" ht="15" customHeight="1" x14ac:dyDescent="0.15"/>
    <row r="384" ht="15" customHeight="1" x14ac:dyDescent="0.15"/>
    <row r="385" ht="15" customHeight="1" x14ac:dyDescent="0.15"/>
    <row r="386" ht="15" customHeight="1" x14ac:dyDescent="0.15"/>
    <row r="387" ht="15" customHeight="1" x14ac:dyDescent="0.15"/>
    <row r="388" ht="15" customHeight="1" x14ac:dyDescent="0.15"/>
    <row r="389" ht="15" customHeight="1" x14ac:dyDescent="0.15"/>
    <row r="390" ht="15" customHeight="1" x14ac:dyDescent="0.15"/>
    <row r="391" ht="15" customHeight="1" x14ac:dyDescent="0.15"/>
    <row r="392" ht="15" customHeight="1" x14ac:dyDescent="0.15"/>
    <row r="393" ht="15" customHeight="1" x14ac:dyDescent="0.15"/>
    <row r="394" ht="15" customHeight="1" x14ac:dyDescent="0.15"/>
    <row r="395" ht="15" customHeight="1" x14ac:dyDescent="0.15"/>
    <row r="396" ht="15" customHeight="1" x14ac:dyDescent="0.15"/>
    <row r="397" ht="15" customHeight="1" x14ac:dyDescent="0.15"/>
    <row r="398" ht="15" customHeight="1" x14ac:dyDescent="0.15"/>
    <row r="399" ht="15" customHeight="1" x14ac:dyDescent="0.15"/>
    <row r="400" ht="15" customHeight="1" x14ac:dyDescent="0.15"/>
    <row r="401" ht="15" customHeight="1" x14ac:dyDescent="0.15"/>
    <row r="402" ht="15" customHeight="1" x14ac:dyDescent="0.15"/>
    <row r="403" ht="15" customHeight="1" x14ac:dyDescent="0.15"/>
    <row r="404" ht="15" customHeight="1" x14ac:dyDescent="0.15"/>
    <row r="405" ht="15" customHeight="1" x14ac:dyDescent="0.15"/>
    <row r="406" ht="15" customHeight="1" x14ac:dyDescent="0.15"/>
    <row r="407" ht="15" customHeight="1" x14ac:dyDescent="0.15"/>
    <row r="408" ht="15" customHeight="1" x14ac:dyDescent="0.15"/>
    <row r="409" ht="15" customHeight="1" x14ac:dyDescent="0.15"/>
    <row r="410" ht="15" customHeight="1" x14ac:dyDescent="0.15"/>
    <row r="411" ht="15" customHeight="1" x14ac:dyDescent="0.15"/>
    <row r="412" ht="15" customHeight="1" x14ac:dyDescent="0.15"/>
    <row r="413" ht="15" customHeight="1" x14ac:dyDescent="0.15"/>
    <row r="414" ht="15" customHeight="1" x14ac:dyDescent="0.15"/>
    <row r="415" ht="15" customHeight="1" x14ac:dyDescent="0.15"/>
    <row r="416" ht="15" customHeight="1" x14ac:dyDescent="0.15"/>
    <row r="417" ht="15" customHeight="1" x14ac:dyDescent="0.15"/>
    <row r="418" ht="15" customHeight="1" x14ac:dyDescent="0.15"/>
    <row r="419" ht="15" customHeight="1" x14ac:dyDescent="0.15"/>
    <row r="420" ht="15" customHeight="1" x14ac:dyDescent="0.15"/>
    <row r="421" ht="15" customHeight="1" x14ac:dyDescent="0.15"/>
    <row r="422" ht="15" customHeight="1" x14ac:dyDescent="0.15"/>
    <row r="423" ht="15" customHeight="1" x14ac:dyDescent="0.15"/>
    <row r="424" ht="15" customHeight="1" x14ac:dyDescent="0.15"/>
    <row r="425" ht="15" customHeight="1" x14ac:dyDescent="0.15"/>
    <row r="426" ht="15" customHeight="1" x14ac:dyDescent="0.15"/>
    <row r="427" ht="15" customHeight="1" x14ac:dyDescent="0.15"/>
    <row r="428" ht="15" customHeight="1" x14ac:dyDescent="0.15"/>
    <row r="429" ht="15" customHeight="1" x14ac:dyDescent="0.15"/>
    <row r="430" ht="15" customHeight="1" x14ac:dyDescent="0.15"/>
    <row r="431" ht="15" customHeight="1" x14ac:dyDescent="0.15"/>
    <row r="432" ht="15" customHeight="1" x14ac:dyDescent="0.15"/>
    <row r="433" ht="15" customHeight="1" x14ac:dyDescent="0.15"/>
    <row r="434" ht="15" customHeight="1" x14ac:dyDescent="0.15"/>
    <row r="435" ht="15" customHeight="1" x14ac:dyDescent="0.15"/>
    <row r="436" ht="15" customHeight="1" x14ac:dyDescent="0.15"/>
    <row r="437" ht="15" customHeight="1" x14ac:dyDescent="0.15"/>
    <row r="438" ht="15" customHeight="1" x14ac:dyDescent="0.15"/>
    <row r="439" ht="15" customHeight="1" x14ac:dyDescent="0.15"/>
    <row r="440" ht="15" customHeight="1" x14ac:dyDescent="0.15"/>
    <row r="441" ht="15" customHeight="1" x14ac:dyDescent="0.15"/>
    <row r="442" ht="15" customHeight="1" x14ac:dyDescent="0.15"/>
    <row r="443" ht="15" customHeight="1" x14ac:dyDescent="0.15"/>
    <row r="444" ht="15" customHeight="1" x14ac:dyDescent="0.15"/>
    <row r="445" ht="15" customHeight="1" x14ac:dyDescent="0.15"/>
    <row r="446" ht="15" customHeight="1" x14ac:dyDescent="0.15"/>
    <row r="447" ht="15" customHeight="1" x14ac:dyDescent="0.15"/>
    <row r="448" ht="15" customHeight="1" x14ac:dyDescent="0.15"/>
    <row r="449" ht="15" customHeight="1" x14ac:dyDescent="0.15"/>
    <row r="450" ht="15" customHeight="1" x14ac:dyDescent="0.15"/>
    <row r="451" ht="15" customHeight="1" x14ac:dyDescent="0.15"/>
    <row r="452" ht="15" customHeight="1" x14ac:dyDescent="0.15"/>
    <row r="453" ht="15" customHeight="1" x14ac:dyDescent="0.15"/>
    <row r="454" ht="15" customHeight="1" x14ac:dyDescent="0.15"/>
    <row r="455" ht="15" customHeight="1" x14ac:dyDescent="0.15"/>
    <row r="456" ht="15" customHeight="1" x14ac:dyDescent="0.15"/>
    <row r="457" ht="15" customHeight="1" x14ac:dyDescent="0.15"/>
    <row r="458" ht="15" customHeight="1" x14ac:dyDescent="0.15"/>
    <row r="459" ht="15" customHeight="1" x14ac:dyDescent="0.15"/>
    <row r="460" ht="15" customHeight="1" x14ac:dyDescent="0.15"/>
    <row r="461" ht="15" customHeight="1" x14ac:dyDescent="0.15"/>
    <row r="462" ht="15" customHeight="1" x14ac:dyDescent="0.15"/>
    <row r="463" ht="15" customHeight="1" x14ac:dyDescent="0.15"/>
    <row r="464" ht="15" customHeight="1" x14ac:dyDescent="0.15"/>
    <row r="465" ht="15" customHeight="1" x14ac:dyDescent="0.15"/>
    <row r="466" ht="15" customHeight="1" x14ac:dyDescent="0.15"/>
    <row r="467" ht="15" customHeight="1" x14ac:dyDescent="0.15"/>
    <row r="468" ht="15" customHeight="1" x14ac:dyDescent="0.15"/>
    <row r="469" ht="15" customHeight="1" x14ac:dyDescent="0.15"/>
    <row r="470" ht="15" customHeight="1" x14ac:dyDescent="0.15"/>
    <row r="471" ht="15" customHeight="1" x14ac:dyDescent="0.15"/>
    <row r="472" ht="15" customHeight="1" x14ac:dyDescent="0.15"/>
    <row r="473" ht="15" customHeight="1" x14ac:dyDescent="0.15"/>
    <row r="474" ht="15" customHeight="1" x14ac:dyDescent="0.15"/>
    <row r="475" ht="15" customHeight="1" x14ac:dyDescent="0.15"/>
    <row r="476" ht="15" customHeight="1" x14ac:dyDescent="0.15"/>
    <row r="477" ht="15" customHeight="1" x14ac:dyDescent="0.15"/>
    <row r="478" ht="15" customHeight="1" x14ac:dyDescent="0.15"/>
    <row r="479" ht="15" customHeight="1" x14ac:dyDescent="0.15"/>
    <row r="480" ht="15" customHeight="1" x14ac:dyDescent="0.15"/>
    <row r="481" ht="15" customHeight="1" x14ac:dyDescent="0.15"/>
    <row r="482" ht="15" customHeight="1" x14ac:dyDescent="0.15"/>
    <row r="483" ht="15" customHeight="1" x14ac:dyDescent="0.15"/>
    <row r="484" ht="15" customHeight="1" x14ac:dyDescent="0.15"/>
    <row r="485" ht="15" customHeight="1" x14ac:dyDescent="0.15"/>
    <row r="486" ht="15" customHeight="1" x14ac:dyDescent="0.15"/>
    <row r="487" ht="15" customHeight="1" x14ac:dyDescent="0.15"/>
    <row r="488" ht="15" customHeight="1" x14ac:dyDescent="0.15"/>
    <row r="489" ht="15" customHeight="1" x14ac:dyDescent="0.15"/>
    <row r="490" ht="15" customHeight="1" x14ac:dyDescent="0.15"/>
    <row r="491" ht="15" customHeight="1" x14ac:dyDescent="0.15"/>
    <row r="492" ht="15" customHeight="1" x14ac:dyDescent="0.15"/>
    <row r="493" ht="15" customHeight="1" x14ac:dyDescent="0.15"/>
    <row r="494" ht="15" customHeight="1" x14ac:dyDescent="0.15"/>
    <row r="495" ht="15" customHeight="1" x14ac:dyDescent="0.15"/>
    <row r="496" ht="15" customHeight="1" x14ac:dyDescent="0.15"/>
    <row r="497" ht="15" customHeight="1" x14ac:dyDescent="0.15"/>
    <row r="498" ht="15" customHeight="1" x14ac:dyDescent="0.15"/>
    <row r="499" ht="15" customHeight="1" x14ac:dyDescent="0.15"/>
    <row r="500" ht="15" customHeight="1" x14ac:dyDescent="0.15"/>
    <row r="501" ht="15" customHeight="1" x14ac:dyDescent="0.15"/>
    <row r="502" ht="15" customHeight="1" x14ac:dyDescent="0.15"/>
    <row r="503" ht="15" customHeight="1" x14ac:dyDescent="0.15"/>
    <row r="504" ht="15" customHeight="1" x14ac:dyDescent="0.15"/>
    <row r="505" ht="15" customHeight="1" x14ac:dyDescent="0.15"/>
    <row r="506" ht="15" customHeight="1" x14ac:dyDescent="0.15"/>
    <row r="507" ht="15" customHeight="1" x14ac:dyDescent="0.15"/>
    <row r="508" ht="15" customHeight="1" x14ac:dyDescent="0.15"/>
    <row r="509" ht="15" customHeight="1" x14ac:dyDescent="0.15"/>
    <row r="510" ht="15" customHeight="1" x14ac:dyDescent="0.15"/>
    <row r="511" ht="15" customHeight="1" x14ac:dyDescent="0.15"/>
    <row r="512" ht="15" customHeight="1" x14ac:dyDescent="0.15"/>
    <row r="513" ht="15" customHeight="1" x14ac:dyDescent="0.15"/>
    <row r="514" ht="15" customHeight="1" x14ac:dyDescent="0.15"/>
    <row r="515" ht="15" customHeight="1" x14ac:dyDescent="0.15"/>
    <row r="516" ht="15" customHeight="1" x14ac:dyDescent="0.15"/>
    <row r="517" ht="15" customHeight="1" x14ac:dyDescent="0.15"/>
    <row r="518" ht="15" customHeight="1" x14ac:dyDescent="0.15"/>
    <row r="519" ht="15" customHeight="1" x14ac:dyDescent="0.15"/>
    <row r="520" ht="15" customHeight="1" x14ac:dyDescent="0.15"/>
    <row r="521" ht="15" customHeight="1" x14ac:dyDescent="0.15"/>
    <row r="522" ht="15" customHeight="1" x14ac:dyDescent="0.15"/>
    <row r="523" ht="15" customHeight="1" x14ac:dyDescent="0.15"/>
    <row r="524" ht="15" customHeight="1" x14ac:dyDescent="0.15"/>
    <row r="525" ht="15" customHeight="1" x14ac:dyDescent="0.15"/>
    <row r="526" ht="15" customHeight="1" x14ac:dyDescent="0.15"/>
    <row r="527" ht="15" customHeight="1" x14ac:dyDescent="0.15"/>
    <row r="528" ht="15" customHeight="1" x14ac:dyDescent="0.15"/>
    <row r="529" ht="15" customHeight="1" x14ac:dyDescent="0.15"/>
    <row r="530" ht="15" customHeight="1" x14ac:dyDescent="0.15"/>
    <row r="531" ht="15" customHeight="1" x14ac:dyDescent="0.15"/>
    <row r="532" ht="15" customHeight="1" x14ac:dyDescent="0.15"/>
    <row r="533" ht="15" customHeight="1" x14ac:dyDescent="0.15"/>
    <row r="534" ht="15" customHeight="1" x14ac:dyDescent="0.15"/>
    <row r="535" ht="15" customHeight="1" x14ac:dyDescent="0.15"/>
    <row r="536" ht="15" customHeight="1" x14ac:dyDescent="0.15"/>
    <row r="537" ht="15" customHeight="1" x14ac:dyDescent="0.15"/>
    <row r="538" ht="15" customHeight="1" x14ac:dyDescent="0.15"/>
    <row r="539" ht="15" customHeight="1" x14ac:dyDescent="0.15"/>
    <row r="540" ht="15" customHeight="1" x14ac:dyDescent="0.15"/>
    <row r="541" ht="15" customHeight="1" x14ac:dyDescent="0.15"/>
    <row r="542" ht="15" customHeight="1" x14ac:dyDescent="0.15"/>
    <row r="543" ht="15" customHeight="1" x14ac:dyDescent="0.15"/>
    <row r="544" ht="15" customHeight="1" x14ac:dyDescent="0.15"/>
    <row r="545" ht="15" customHeight="1" x14ac:dyDescent="0.15"/>
    <row r="546" ht="15" customHeight="1" x14ac:dyDescent="0.15"/>
    <row r="547" ht="15" customHeight="1" x14ac:dyDescent="0.15"/>
    <row r="548" ht="15" customHeight="1" x14ac:dyDescent="0.15"/>
    <row r="549" ht="15" customHeight="1" x14ac:dyDescent="0.15"/>
    <row r="550" ht="15" customHeight="1" x14ac:dyDescent="0.15"/>
    <row r="551" ht="15" customHeight="1" x14ac:dyDescent="0.15"/>
    <row r="552" ht="15" customHeight="1" x14ac:dyDescent="0.15"/>
    <row r="553" ht="15" customHeight="1" x14ac:dyDescent="0.15"/>
    <row r="554" ht="15" customHeight="1" x14ac:dyDescent="0.15"/>
    <row r="555" ht="15" customHeight="1" x14ac:dyDescent="0.15"/>
    <row r="556" ht="15" customHeight="1" x14ac:dyDescent="0.15"/>
    <row r="557" ht="15" customHeight="1" x14ac:dyDescent="0.15"/>
    <row r="558" ht="15" customHeight="1" x14ac:dyDescent="0.15"/>
    <row r="559" ht="15" customHeight="1" x14ac:dyDescent="0.15"/>
    <row r="560" ht="15" customHeight="1" x14ac:dyDescent="0.15"/>
    <row r="561" ht="15" customHeight="1" x14ac:dyDescent="0.15"/>
    <row r="562" ht="15" customHeight="1" x14ac:dyDescent="0.15"/>
    <row r="563" ht="15" customHeight="1" x14ac:dyDescent="0.15"/>
    <row r="564" ht="15" customHeight="1" x14ac:dyDescent="0.15"/>
    <row r="565" ht="15" customHeight="1" x14ac:dyDescent="0.15"/>
    <row r="566" ht="15" customHeight="1" x14ac:dyDescent="0.15"/>
    <row r="567" ht="15" customHeight="1" x14ac:dyDescent="0.15"/>
    <row r="568" ht="15" customHeight="1" x14ac:dyDescent="0.15"/>
    <row r="569" ht="15" customHeight="1" x14ac:dyDescent="0.15"/>
    <row r="570" ht="15" customHeight="1" x14ac:dyDescent="0.15"/>
    <row r="571" ht="15" customHeight="1" x14ac:dyDescent="0.15"/>
    <row r="572" ht="15" customHeight="1" x14ac:dyDescent="0.15"/>
    <row r="573" ht="15" customHeight="1" x14ac:dyDescent="0.15"/>
    <row r="574" ht="15" customHeight="1" x14ac:dyDescent="0.15"/>
    <row r="575" ht="15" customHeight="1" x14ac:dyDescent="0.15"/>
    <row r="576" ht="15" customHeight="1" x14ac:dyDescent="0.15"/>
    <row r="577" ht="15" customHeight="1" x14ac:dyDescent="0.15"/>
    <row r="578" ht="15" customHeight="1" x14ac:dyDescent="0.15"/>
    <row r="579" ht="15" customHeight="1" x14ac:dyDescent="0.15"/>
    <row r="580" ht="15" customHeight="1" x14ac:dyDescent="0.15"/>
    <row r="581" ht="15" customHeight="1" x14ac:dyDescent="0.15"/>
    <row r="582" ht="15" customHeight="1" x14ac:dyDescent="0.15"/>
    <row r="583" ht="15" customHeight="1" x14ac:dyDescent="0.15"/>
    <row r="584" ht="15" customHeight="1" x14ac:dyDescent="0.15"/>
    <row r="585" ht="15" customHeight="1" x14ac:dyDescent="0.15"/>
    <row r="586" ht="15" customHeight="1" x14ac:dyDescent="0.15"/>
    <row r="587" ht="15" customHeight="1" x14ac:dyDescent="0.15"/>
    <row r="588" ht="15" customHeight="1" x14ac:dyDescent="0.15"/>
    <row r="589" ht="15" customHeight="1" x14ac:dyDescent="0.15"/>
    <row r="590" ht="15" customHeight="1" x14ac:dyDescent="0.15"/>
    <row r="591" ht="15" customHeight="1" x14ac:dyDescent="0.15"/>
    <row r="592" ht="15" customHeight="1" x14ac:dyDescent="0.15"/>
    <row r="593" ht="15" customHeight="1" x14ac:dyDescent="0.15"/>
    <row r="594" ht="15" customHeight="1" x14ac:dyDescent="0.15"/>
    <row r="595" ht="15" customHeight="1" x14ac:dyDescent="0.15"/>
    <row r="596" ht="15" customHeight="1" x14ac:dyDescent="0.15"/>
    <row r="597" ht="15" customHeight="1" x14ac:dyDescent="0.15"/>
    <row r="598" ht="15" customHeight="1" x14ac:dyDescent="0.15"/>
    <row r="599" ht="15" customHeight="1" x14ac:dyDescent="0.15"/>
    <row r="600" ht="15" customHeight="1" x14ac:dyDescent="0.15"/>
    <row r="601" ht="15" customHeight="1" x14ac:dyDescent="0.15"/>
    <row r="602" ht="15" customHeight="1" x14ac:dyDescent="0.15"/>
    <row r="603" ht="15" customHeight="1" x14ac:dyDescent="0.15"/>
    <row r="604" ht="15" customHeight="1" x14ac:dyDescent="0.15"/>
    <row r="605" ht="15" customHeight="1" x14ac:dyDescent="0.15"/>
    <row r="606" ht="15" customHeight="1" x14ac:dyDescent="0.15"/>
    <row r="607" ht="15" customHeight="1" x14ac:dyDescent="0.15"/>
    <row r="608" ht="15" customHeight="1" x14ac:dyDescent="0.15"/>
    <row r="609" ht="15" customHeight="1" x14ac:dyDescent="0.15"/>
    <row r="610" ht="15" customHeight="1" x14ac:dyDescent="0.15"/>
    <row r="611" ht="15" customHeight="1" x14ac:dyDescent="0.15"/>
    <row r="612" ht="15" customHeight="1" x14ac:dyDescent="0.15"/>
    <row r="613" ht="15" customHeight="1" x14ac:dyDescent="0.15"/>
    <row r="614" ht="15" customHeight="1" x14ac:dyDescent="0.15"/>
    <row r="615" ht="15" customHeight="1" x14ac:dyDescent="0.15"/>
    <row r="616" ht="15" customHeight="1" x14ac:dyDescent="0.15"/>
    <row r="617" ht="15" customHeight="1" x14ac:dyDescent="0.15"/>
    <row r="618" ht="15" customHeight="1" x14ac:dyDescent="0.15"/>
    <row r="619" ht="15" customHeight="1" x14ac:dyDescent="0.15"/>
    <row r="620" ht="15" customHeight="1" x14ac:dyDescent="0.15"/>
    <row r="621" ht="15" customHeight="1" x14ac:dyDescent="0.15"/>
    <row r="622" ht="15" customHeight="1" x14ac:dyDescent="0.15"/>
    <row r="623" ht="15" customHeight="1" x14ac:dyDescent="0.15"/>
    <row r="624" ht="15" customHeight="1" x14ac:dyDescent="0.15"/>
    <row r="625" ht="15" customHeight="1" x14ac:dyDescent="0.15"/>
    <row r="626" ht="15" customHeight="1" x14ac:dyDescent="0.15"/>
    <row r="627" ht="15" customHeight="1" x14ac:dyDescent="0.15"/>
    <row r="628" ht="15" customHeight="1" x14ac:dyDescent="0.15"/>
    <row r="629" ht="15" customHeight="1" x14ac:dyDescent="0.15"/>
    <row r="630" ht="15" customHeight="1" x14ac:dyDescent="0.15"/>
    <row r="631" ht="15" customHeight="1" x14ac:dyDescent="0.15"/>
    <row r="632" ht="15" customHeight="1" x14ac:dyDescent="0.15"/>
    <row r="633" ht="15" customHeight="1" x14ac:dyDescent="0.15"/>
    <row r="634" ht="15" customHeight="1" x14ac:dyDescent="0.15"/>
    <row r="635" ht="15" customHeight="1" x14ac:dyDescent="0.15"/>
    <row r="636" ht="15" customHeight="1" x14ac:dyDescent="0.15"/>
    <row r="637" ht="15" customHeight="1" x14ac:dyDescent="0.15"/>
    <row r="638" ht="15" customHeight="1" x14ac:dyDescent="0.15"/>
    <row r="639" ht="15" customHeight="1" x14ac:dyDescent="0.15"/>
    <row r="640" ht="15" customHeight="1" x14ac:dyDescent="0.15"/>
    <row r="641" ht="15" customHeight="1" x14ac:dyDescent="0.15"/>
    <row r="642" ht="15" customHeight="1" x14ac:dyDescent="0.15"/>
    <row r="643" ht="15" customHeight="1" x14ac:dyDescent="0.15"/>
    <row r="644" ht="15" customHeight="1" x14ac:dyDescent="0.15"/>
    <row r="645" ht="15" customHeight="1" x14ac:dyDescent="0.15"/>
    <row r="646" ht="15" customHeight="1" x14ac:dyDescent="0.15"/>
    <row r="647" ht="15" customHeight="1" x14ac:dyDescent="0.15"/>
    <row r="648" ht="15" customHeight="1" x14ac:dyDescent="0.15"/>
    <row r="649" ht="15" customHeight="1" x14ac:dyDescent="0.15"/>
    <row r="650" ht="15" customHeight="1" x14ac:dyDescent="0.15"/>
    <row r="651" ht="15" customHeight="1" x14ac:dyDescent="0.15"/>
    <row r="652" ht="15" customHeight="1" x14ac:dyDescent="0.15"/>
    <row r="653" ht="15" customHeight="1" x14ac:dyDescent="0.15"/>
    <row r="654" ht="15" customHeight="1" x14ac:dyDescent="0.15"/>
    <row r="655" ht="15" customHeight="1" x14ac:dyDescent="0.15"/>
    <row r="656" ht="15" customHeight="1" x14ac:dyDescent="0.15"/>
    <row r="657" ht="15" customHeight="1" x14ac:dyDescent="0.15"/>
    <row r="658" ht="15" customHeight="1" x14ac:dyDescent="0.15"/>
    <row r="659" ht="15" customHeight="1" x14ac:dyDescent="0.15"/>
    <row r="660" ht="15" customHeight="1" x14ac:dyDescent="0.15"/>
    <row r="661" ht="15" customHeight="1" x14ac:dyDescent="0.15"/>
    <row r="662" ht="15" customHeight="1" x14ac:dyDescent="0.15"/>
    <row r="663" ht="15" customHeight="1" x14ac:dyDescent="0.15"/>
    <row r="664" ht="15" customHeight="1" x14ac:dyDescent="0.15"/>
    <row r="665" ht="15" customHeight="1" x14ac:dyDescent="0.15"/>
    <row r="666" ht="15" customHeight="1" x14ac:dyDescent="0.15"/>
    <row r="667" ht="15" customHeight="1" x14ac:dyDescent="0.15"/>
    <row r="668" ht="15" customHeight="1" x14ac:dyDescent="0.15"/>
    <row r="669" ht="15" customHeight="1" x14ac:dyDescent="0.15"/>
    <row r="670" ht="15" customHeight="1" x14ac:dyDescent="0.15"/>
    <row r="671" ht="15" customHeight="1" x14ac:dyDescent="0.15"/>
    <row r="672" ht="15" customHeight="1" x14ac:dyDescent="0.15"/>
    <row r="673" ht="15" customHeight="1" x14ac:dyDescent="0.15"/>
    <row r="674" ht="15" customHeight="1" x14ac:dyDescent="0.15"/>
    <row r="675" ht="15" customHeight="1" x14ac:dyDescent="0.15"/>
    <row r="676" ht="15" customHeight="1" x14ac:dyDescent="0.15"/>
    <row r="677" ht="15" customHeight="1" x14ac:dyDescent="0.15"/>
    <row r="678" ht="15" customHeight="1" x14ac:dyDescent="0.15"/>
    <row r="679" ht="15" customHeight="1" x14ac:dyDescent="0.15"/>
    <row r="680" ht="15" customHeight="1" x14ac:dyDescent="0.15"/>
    <row r="681" ht="15" customHeight="1" x14ac:dyDescent="0.15"/>
    <row r="682" ht="15" customHeight="1" x14ac:dyDescent="0.15"/>
    <row r="683" ht="15" customHeight="1" x14ac:dyDescent="0.15"/>
    <row r="684" ht="15" customHeight="1" x14ac:dyDescent="0.15"/>
    <row r="685" ht="15" customHeight="1" x14ac:dyDescent="0.15"/>
    <row r="686" ht="15" customHeight="1" x14ac:dyDescent="0.15"/>
    <row r="687" ht="15" customHeight="1" x14ac:dyDescent="0.15"/>
    <row r="688" ht="15" customHeight="1" x14ac:dyDescent="0.15"/>
    <row r="689" ht="15" customHeight="1" x14ac:dyDescent="0.15"/>
    <row r="690" ht="15" customHeight="1" x14ac:dyDescent="0.15"/>
    <row r="691" ht="15" customHeight="1" x14ac:dyDescent="0.15"/>
    <row r="692" ht="15" customHeight="1" x14ac:dyDescent="0.15"/>
    <row r="693" ht="15" customHeight="1" x14ac:dyDescent="0.15"/>
    <row r="694" ht="15" customHeight="1" x14ac:dyDescent="0.15"/>
    <row r="695" ht="15" customHeight="1" x14ac:dyDescent="0.15"/>
    <row r="696" ht="15" customHeight="1" x14ac:dyDescent="0.15"/>
    <row r="697" ht="15" customHeight="1" x14ac:dyDescent="0.15"/>
    <row r="698" ht="15" customHeight="1" x14ac:dyDescent="0.15"/>
    <row r="699" ht="15" customHeight="1" x14ac:dyDescent="0.15"/>
    <row r="700" ht="15" customHeight="1" x14ac:dyDescent="0.15"/>
    <row r="701" ht="15" customHeight="1" x14ac:dyDescent="0.15"/>
    <row r="702" ht="15" customHeight="1" x14ac:dyDescent="0.15"/>
    <row r="703" ht="15" customHeight="1" x14ac:dyDescent="0.15"/>
    <row r="704" ht="15" customHeight="1" x14ac:dyDescent="0.15"/>
    <row r="705" ht="15" customHeight="1" x14ac:dyDescent="0.15"/>
    <row r="706" ht="15" customHeight="1" x14ac:dyDescent="0.15"/>
    <row r="707" ht="15" customHeight="1" x14ac:dyDescent="0.15"/>
    <row r="708" ht="15" customHeight="1" x14ac:dyDescent="0.15"/>
    <row r="709" ht="15" customHeight="1" x14ac:dyDescent="0.15"/>
    <row r="710" ht="15" customHeight="1" x14ac:dyDescent="0.15"/>
    <row r="711" ht="15" customHeight="1" x14ac:dyDescent="0.15"/>
    <row r="712" ht="15" customHeight="1" x14ac:dyDescent="0.15"/>
    <row r="713" ht="15" customHeight="1" x14ac:dyDescent="0.15"/>
    <row r="714" ht="15" customHeight="1" x14ac:dyDescent="0.15"/>
    <row r="715" ht="15" customHeight="1" x14ac:dyDescent="0.15"/>
    <row r="716" ht="15" customHeight="1" x14ac:dyDescent="0.15"/>
    <row r="717" ht="15" customHeight="1" x14ac:dyDescent="0.15"/>
    <row r="718" ht="15" customHeight="1" x14ac:dyDescent="0.15"/>
    <row r="719" ht="15" customHeight="1" x14ac:dyDescent="0.15"/>
    <row r="720" ht="15" customHeight="1" x14ac:dyDescent="0.15"/>
    <row r="721" ht="15" customHeight="1" x14ac:dyDescent="0.15"/>
    <row r="722" ht="15" customHeight="1" x14ac:dyDescent="0.15"/>
    <row r="723" ht="15" customHeight="1" x14ac:dyDescent="0.15"/>
    <row r="724" ht="15" customHeight="1" x14ac:dyDescent="0.15"/>
    <row r="725" ht="15" customHeight="1" x14ac:dyDescent="0.15"/>
    <row r="726" ht="15" customHeight="1" x14ac:dyDescent="0.15"/>
    <row r="727" ht="15" customHeight="1" x14ac:dyDescent="0.15"/>
    <row r="728" ht="15" customHeight="1" x14ac:dyDescent="0.15"/>
    <row r="729" ht="15" customHeight="1" x14ac:dyDescent="0.15"/>
    <row r="730" ht="15" customHeight="1" x14ac:dyDescent="0.15"/>
    <row r="731" ht="15" customHeight="1" x14ac:dyDescent="0.15"/>
    <row r="732" ht="15" customHeight="1" x14ac:dyDescent="0.15"/>
    <row r="733" ht="15" customHeight="1" x14ac:dyDescent="0.15"/>
    <row r="734" ht="15" customHeight="1" x14ac:dyDescent="0.15"/>
    <row r="735" ht="15" customHeight="1" x14ac:dyDescent="0.15"/>
    <row r="736" ht="15" customHeight="1" x14ac:dyDescent="0.15"/>
    <row r="737" ht="15" customHeight="1" x14ac:dyDescent="0.15"/>
    <row r="738" ht="15" customHeight="1" x14ac:dyDescent="0.15"/>
    <row r="739" ht="15" customHeight="1" x14ac:dyDescent="0.15"/>
    <row r="740" ht="15" customHeight="1" x14ac:dyDescent="0.15"/>
    <row r="741" ht="15" customHeight="1" x14ac:dyDescent="0.15"/>
    <row r="742" ht="15" customHeight="1" x14ac:dyDescent="0.15"/>
    <row r="743" ht="15" customHeight="1" x14ac:dyDescent="0.15"/>
    <row r="744" ht="15" customHeight="1" x14ac:dyDescent="0.15"/>
    <row r="745" ht="15" customHeight="1" x14ac:dyDescent="0.15"/>
    <row r="746" ht="15" customHeight="1" x14ac:dyDescent="0.15"/>
    <row r="747" ht="15" customHeight="1" x14ac:dyDescent="0.15"/>
    <row r="748" ht="15" customHeight="1" x14ac:dyDescent="0.15"/>
    <row r="749" ht="15" customHeight="1" x14ac:dyDescent="0.15"/>
    <row r="750" ht="15" customHeight="1" x14ac:dyDescent="0.15"/>
    <row r="751" ht="15" customHeight="1" x14ac:dyDescent="0.15"/>
    <row r="752" ht="15" customHeight="1" x14ac:dyDescent="0.15"/>
    <row r="753" ht="15" customHeight="1" x14ac:dyDescent="0.15"/>
    <row r="754" ht="15" customHeight="1" x14ac:dyDescent="0.15"/>
    <row r="755" ht="15" customHeight="1" x14ac:dyDescent="0.15"/>
    <row r="756" ht="15" customHeight="1" x14ac:dyDescent="0.15"/>
    <row r="757" ht="15" customHeight="1" x14ac:dyDescent="0.15"/>
    <row r="758" ht="15" customHeight="1" x14ac:dyDescent="0.15"/>
    <row r="759" ht="15" customHeight="1" x14ac:dyDescent="0.15"/>
    <row r="760" ht="15" customHeight="1" x14ac:dyDescent="0.15"/>
    <row r="761" ht="15" customHeight="1" x14ac:dyDescent="0.15"/>
    <row r="762" ht="15" customHeight="1" x14ac:dyDescent="0.15"/>
    <row r="763" ht="15" customHeight="1" x14ac:dyDescent="0.15"/>
    <row r="764" ht="15" customHeight="1" x14ac:dyDescent="0.15"/>
    <row r="765" ht="15" customHeight="1" x14ac:dyDescent="0.15"/>
    <row r="766" ht="15" customHeight="1" x14ac:dyDescent="0.15"/>
    <row r="767" ht="15" customHeight="1" x14ac:dyDescent="0.15"/>
    <row r="768" ht="15" customHeight="1" x14ac:dyDescent="0.15"/>
    <row r="769" ht="15" customHeight="1" x14ac:dyDescent="0.15"/>
    <row r="770" ht="15" customHeight="1" x14ac:dyDescent="0.15"/>
    <row r="771" ht="15" customHeight="1" x14ac:dyDescent="0.15"/>
    <row r="772" ht="15" customHeight="1" x14ac:dyDescent="0.15"/>
    <row r="773" ht="15" customHeight="1" x14ac:dyDescent="0.15"/>
    <row r="774" ht="15" customHeight="1" x14ac:dyDescent="0.15"/>
    <row r="775" ht="15" customHeight="1" x14ac:dyDescent="0.15"/>
    <row r="776" ht="15" customHeight="1" x14ac:dyDescent="0.15"/>
    <row r="777" ht="15" customHeight="1" x14ac:dyDescent="0.15"/>
    <row r="778" ht="15" customHeight="1" x14ac:dyDescent="0.15"/>
    <row r="779" ht="15" customHeight="1" x14ac:dyDescent="0.15"/>
    <row r="780" ht="15" customHeight="1" x14ac:dyDescent="0.15"/>
    <row r="781" ht="15" customHeight="1" x14ac:dyDescent="0.15"/>
    <row r="782" ht="15" customHeight="1" x14ac:dyDescent="0.15"/>
    <row r="783" ht="15" customHeight="1" x14ac:dyDescent="0.15"/>
    <row r="784" ht="15" customHeight="1" x14ac:dyDescent="0.15"/>
    <row r="785" ht="15" customHeight="1" x14ac:dyDescent="0.15"/>
    <row r="786" ht="15" customHeight="1" x14ac:dyDescent="0.15"/>
    <row r="787" ht="15" customHeight="1" x14ac:dyDescent="0.15"/>
    <row r="788" ht="15" customHeight="1" x14ac:dyDescent="0.15"/>
    <row r="789" ht="15" customHeight="1" x14ac:dyDescent="0.15"/>
    <row r="790" ht="15" customHeight="1" x14ac:dyDescent="0.15"/>
    <row r="791" ht="15" customHeight="1" x14ac:dyDescent="0.15"/>
    <row r="792" ht="15" customHeight="1" x14ac:dyDescent="0.15"/>
    <row r="793" ht="15" customHeight="1" x14ac:dyDescent="0.15"/>
    <row r="794" ht="15" customHeight="1" x14ac:dyDescent="0.15"/>
    <row r="795" ht="15" customHeight="1" x14ac:dyDescent="0.15"/>
    <row r="796" ht="15" customHeight="1" x14ac:dyDescent="0.15"/>
    <row r="797" ht="15" customHeight="1" x14ac:dyDescent="0.15"/>
    <row r="798" ht="15" customHeight="1" x14ac:dyDescent="0.15"/>
    <row r="799" ht="15" customHeight="1" x14ac:dyDescent="0.15"/>
    <row r="800" ht="15" customHeight="1" x14ac:dyDescent="0.15"/>
    <row r="801" ht="15" customHeight="1" x14ac:dyDescent="0.15"/>
    <row r="802" ht="15" customHeight="1" x14ac:dyDescent="0.15"/>
    <row r="803" ht="15" customHeight="1" x14ac:dyDescent="0.15"/>
    <row r="804" ht="15" customHeight="1" x14ac:dyDescent="0.15"/>
    <row r="805" ht="15" customHeight="1" x14ac:dyDescent="0.15"/>
    <row r="806" ht="15" customHeight="1" x14ac:dyDescent="0.15"/>
    <row r="807" ht="15" customHeight="1" x14ac:dyDescent="0.15"/>
    <row r="808" ht="15" customHeight="1" x14ac:dyDescent="0.15"/>
    <row r="809" ht="15" customHeight="1" x14ac:dyDescent="0.15"/>
    <row r="810" ht="15" customHeight="1" x14ac:dyDescent="0.15"/>
    <row r="811" ht="15" customHeight="1" x14ac:dyDescent="0.15"/>
    <row r="812" ht="15" customHeight="1" x14ac:dyDescent="0.15"/>
    <row r="813" ht="15" customHeight="1" x14ac:dyDescent="0.15"/>
    <row r="814" ht="15" customHeight="1" x14ac:dyDescent="0.15"/>
    <row r="815" ht="15" customHeight="1" x14ac:dyDescent="0.15"/>
    <row r="816" ht="15" customHeight="1" x14ac:dyDescent="0.15"/>
    <row r="817" ht="15" customHeight="1" x14ac:dyDescent="0.15"/>
    <row r="818" ht="15" customHeight="1" x14ac:dyDescent="0.15"/>
    <row r="819" ht="15" customHeight="1" x14ac:dyDescent="0.15"/>
    <row r="820" ht="15" customHeight="1" x14ac:dyDescent="0.15"/>
    <row r="821" ht="15" customHeight="1" x14ac:dyDescent="0.15"/>
    <row r="822" ht="15" customHeight="1" x14ac:dyDescent="0.15"/>
    <row r="823" ht="15" customHeight="1" x14ac:dyDescent="0.15"/>
    <row r="824" ht="15" customHeight="1" x14ac:dyDescent="0.15"/>
    <row r="825" ht="15" customHeight="1" x14ac:dyDescent="0.15"/>
    <row r="826" ht="15" customHeight="1" x14ac:dyDescent="0.15"/>
    <row r="827" ht="15" customHeight="1" x14ac:dyDescent="0.15"/>
    <row r="828" ht="15" customHeight="1" x14ac:dyDescent="0.15"/>
    <row r="829" ht="15" customHeight="1" x14ac:dyDescent="0.15"/>
    <row r="830" ht="15" customHeight="1" x14ac:dyDescent="0.15"/>
    <row r="831" ht="15" customHeight="1" x14ac:dyDescent="0.15"/>
    <row r="832" ht="15" customHeight="1" x14ac:dyDescent="0.15"/>
    <row r="833" ht="15" customHeight="1" x14ac:dyDescent="0.15"/>
    <row r="834" ht="15" customHeight="1" x14ac:dyDescent="0.15"/>
    <row r="835" ht="15" customHeight="1" x14ac:dyDescent="0.15"/>
    <row r="836" ht="15" customHeight="1" x14ac:dyDescent="0.15"/>
    <row r="837" ht="15" customHeight="1" x14ac:dyDescent="0.15"/>
    <row r="838" ht="15" customHeight="1" x14ac:dyDescent="0.15"/>
    <row r="839" ht="15" customHeight="1" x14ac:dyDescent="0.15"/>
    <row r="840" ht="15" customHeight="1" x14ac:dyDescent="0.15"/>
    <row r="841" ht="15" customHeight="1" x14ac:dyDescent="0.15"/>
    <row r="842" ht="15" customHeight="1" x14ac:dyDescent="0.15"/>
    <row r="843" ht="15" customHeight="1" x14ac:dyDescent="0.15"/>
    <row r="844" ht="15" customHeight="1" x14ac:dyDescent="0.15"/>
    <row r="845" ht="15" customHeight="1" x14ac:dyDescent="0.15"/>
    <row r="846" ht="15" customHeight="1" x14ac:dyDescent="0.15"/>
    <row r="847" ht="15" customHeight="1" x14ac:dyDescent="0.15"/>
    <row r="848" ht="15" customHeight="1" x14ac:dyDescent="0.15"/>
    <row r="849" ht="15" customHeight="1" x14ac:dyDescent="0.15"/>
    <row r="850" ht="15" customHeight="1" x14ac:dyDescent="0.15"/>
    <row r="851" ht="15" customHeight="1" x14ac:dyDescent="0.15"/>
    <row r="852" ht="15" customHeight="1" x14ac:dyDescent="0.15"/>
    <row r="853" ht="15" customHeight="1" x14ac:dyDescent="0.15"/>
    <row r="854" ht="15" customHeight="1" x14ac:dyDescent="0.15"/>
    <row r="855" ht="15" customHeight="1" x14ac:dyDescent="0.15"/>
    <row r="856" ht="15" customHeight="1" x14ac:dyDescent="0.15"/>
    <row r="857" ht="15" customHeight="1" x14ac:dyDescent="0.15"/>
    <row r="858" ht="15" customHeight="1" x14ac:dyDescent="0.15"/>
    <row r="859" ht="15" customHeight="1" x14ac:dyDescent="0.15"/>
    <row r="860" ht="15" customHeight="1" x14ac:dyDescent="0.15"/>
    <row r="861" ht="15" customHeight="1" x14ac:dyDescent="0.15"/>
    <row r="862" ht="15" customHeight="1" x14ac:dyDescent="0.15"/>
    <row r="863" ht="15" customHeight="1" x14ac:dyDescent="0.15"/>
    <row r="864" ht="15" customHeight="1" x14ac:dyDescent="0.15"/>
    <row r="865" ht="15" customHeight="1" x14ac:dyDescent="0.15"/>
    <row r="866" ht="15" customHeight="1" x14ac:dyDescent="0.15"/>
    <row r="867" ht="15" customHeight="1" x14ac:dyDescent="0.15"/>
    <row r="868" ht="15" customHeight="1" x14ac:dyDescent="0.15"/>
    <row r="869" ht="15" customHeight="1" x14ac:dyDescent="0.15"/>
    <row r="870" ht="15" customHeight="1" x14ac:dyDescent="0.15"/>
    <row r="871" ht="15" customHeight="1" x14ac:dyDescent="0.15"/>
    <row r="872" ht="15" customHeight="1" x14ac:dyDescent="0.15"/>
    <row r="873" ht="15" customHeight="1" x14ac:dyDescent="0.15"/>
    <row r="874" ht="15" customHeight="1" x14ac:dyDescent="0.15"/>
    <row r="875" ht="15" customHeight="1" x14ac:dyDescent="0.15"/>
    <row r="876" ht="15" customHeight="1" x14ac:dyDescent="0.15"/>
    <row r="877" ht="15" customHeight="1" x14ac:dyDescent="0.15"/>
    <row r="878" ht="15" customHeight="1" x14ac:dyDescent="0.15"/>
    <row r="879" ht="15" customHeight="1" x14ac:dyDescent="0.15"/>
    <row r="880" ht="15" customHeight="1" x14ac:dyDescent="0.15"/>
    <row r="881" ht="15" customHeight="1" x14ac:dyDescent="0.15"/>
    <row r="882" ht="15" customHeight="1" x14ac:dyDescent="0.15"/>
    <row r="883" ht="15" customHeight="1" x14ac:dyDescent="0.15"/>
    <row r="884" ht="15" customHeight="1" x14ac:dyDescent="0.15"/>
    <row r="885" ht="15" customHeight="1" x14ac:dyDescent="0.15"/>
    <row r="886" ht="15" customHeight="1" x14ac:dyDescent="0.15"/>
    <row r="887" ht="15" customHeight="1" x14ac:dyDescent="0.15"/>
    <row r="888" ht="15" customHeight="1" x14ac:dyDescent="0.15"/>
    <row r="889" ht="15" customHeight="1" x14ac:dyDescent="0.15"/>
    <row r="890" ht="15" customHeight="1" x14ac:dyDescent="0.15"/>
    <row r="891" ht="15" customHeight="1" x14ac:dyDescent="0.15"/>
    <row r="892" ht="15" customHeight="1" x14ac:dyDescent="0.15"/>
    <row r="893" ht="15" customHeight="1" x14ac:dyDescent="0.15"/>
    <row r="894" ht="15" customHeight="1" x14ac:dyDescent="0.15"/>
    <row r="895" ht="15" customHeight="1" x14ac:dyDescent="0.15"/>
    <row r="896" ht="15" customHeight="1" x14ac:dyDescent="0.15"/>
    <row r="897" ht="15" customHeight="1" x14ac:dyDescent="0.15"/>
    <row r="898" ht="15" customHeight="1" x14ac:dyDescent="0.15"/>
    <row r="899" ht="15" customHeight="1" x14ac:dyDescent="0.15"/>
    <row r="900" ht="15" customHeight="1" x14ac:dyDescent="0.15"/>
    <row r="901" ht="15" customHeight="1" x14ac:dyDescent="0.15"/>
    <row r="902" ht="15" customHeight="1" x14ac:dyDescent="0.15"/>
    <row r="903" ht="15" customHeight="1" x14ac:dyDescent="0.15"/>
    <row r="904" ht="15" customHeight="1" x14ac:dyDescent="0.15"/>
    <row r="905" ht="15" customHeight="1" x14ac:dyDescent="0.15"/>
    <row r="906" ht="15" customHeight="1" x14ac:dyDescent="0.15"/>
    <row r="907" ht="15" customHeight="1" x14ac:dyDescent="0.15"/>
    <row r="908" ht="15" customHeight="1" x14ac:dyDescent="0.15"/>
    <row r="909" ht="15" customHeight="1" x14ac:dyDescent="0.15"/>
    <row r="910" ht="15" customHeight="1" x14ac:dyDescent="0.15"/>
    <row r="911" ht="15" customHeight="1" x14ac:dyDescent="0.15"/>
    <row r="912" ht="15" customHeight="1" x14ac:dyDescent="0.15"/>
    <row r="913" ht="15" customHeight="1" x14ac:dyDescent="0.15"/>
    <row r="914" ht="15" customHeight="1" x14ac:dyDescent="0.15"/>
    <row r="915" ht="15" customHeight="1" x14ac:dyDescent="0.15"/>
    <row r="916" ht="15" customHeight="1" x14ac:dyDescent="0.15"/>
    <row r="917" ht="15" customHeight="1" x14ac:dyDescent="0.15"/>
    <row r="918" ht="15" customHeight="1" x14ac:dyDescent="0.15"/>
    <row r="919" ht="15" customHeight="1" x14ac:dyDescent="0.15"/>
    <row r="920" ht="15" customHeight="1" x14ac:dyDescent="0.15"/>
    <row r="921" ht="15" customHeight="1" x14ac:dyDescent="0.15"/>
    <row r="922" ht="15" customHeight="1" x14ac:dyDescent="0.15"/>
    <row r="923" ht="15" customHeight="1" x14ac:dyDescent="0.15"/>
    <row r="924" ht="15" customHeight="1" x14ac:dyDescent="0.15"/>
    <row r="925" ht="15" customHeight="1" x14ac:dyDescent="0.15"/>
    <row r="926" ht="15" customHeight="1" x14ac:dyDescent="0.15"/>
    <row r="927" ht="15" customHeight="1" x14ac:dyDescent="0.15"/>
    <row r="928" ht="15" customHeight="1" x14ac:dyDescent="0.15"/>
    <row r="929" ht="15" customHeight="1" x14ac:dyDescent="0.15"/>
    <row r="930" ht="15" customHeight="1" x14ac:dyDescent="0.15"/>
    <row r="931" ht="15" customHeight="1" x14ac:dyDescent="0.15"/>
    <row r="932" ht="15" customHeight="1" x14ac:dyDescent="0.15"/>
    <row r="933" ht="15" customHeight="1" x14ac:dyDescent="0.15"/>
    <row r="934" ht="15" customHeight="1" x14ac:dyDescent="0.15"/>
    <row r="935" ht="15" customHeight="1" x14ac:dyDescent="0.15"/>
    <row r="936" ht="15" customHeight="1" x14ac:dyDescent="0.15"/>
    <row r="937" ht="15" customHeight="1" x14ac:dyDescent="0.15"/>
    <row r="938" ht="15" customHeight="1" x14ac:dyDescent="0.15"/>
    <row r="939" ht="15" customHeight="1" x14ac:dyDescent="0.15"/>
    <row r="940" ht="15" customHeight="1" x14ac:dyDescent="0.15"/>
    <row r="941" ht="15" customHeight="1" x14ac:dyDescent="0.15"/>
    <row r="942" ht="15" customHeight="1" x14ac:dyDescent="0.15"/>
    <row r="943" ht="15" customHeight="1" x14ac:dyDescent="0.15"/>
    <row r="944" ht="15" customHeight="1" x14ac:dyDescent="0.15"/>
    <row r="945" ht="15" customHeight="1" x14ac:dyDescent="0.15"/>
    <row r="946" ht="15" customHeight="1" x14ac:dyDescent="0.15"/>
    <row r="947" ht="15" customHeight="1" x14ac:dyDescent="0.15"/>
    <row r="948" ht="15" customHeight="1" x14ac:dyDescent="0.15"/>
    <row r="949" ht="15" customHeight="1" x14ac:dyDescent="0.15"/>
    <row r="950" ht="15" customHeight="1" x14ac:dyDescent="0.15"/>
    <row r="951" ht="15" customHeight="1" x14ac:dyDescent="0.15"/>
    <row r="952" ht="15" customHeight="1" x14ac:dyDescent="0.15"/>
    <row r="953" ht="15" customHeight="1" x14ac:dyDescent="0.15"/>
    <row r="954" ht="15" customHeight="1" x14ac:dyDescent="0.15"/>
    <row r="955" ht="15" customHeight="1" x14ac:dyDescent="0.15"/>
    <row r="956" ht="15" customHeight="1" x14ac:dyDescent="0.15"/>
    <row r="957" ht="15" customHeight="1" x14ac:dyDescent="0.15"/>
    <row r="958" ht="15" customHeight="1" x14ac:dyDescent="0.15"/>
    <row r="959" ht="15" customHeight="1" x14ac:dyDescent="0.15"/>
    <row r="960" ht="15" customHeight="1" x14ac:dyDescent="0.15"/>
    <row r="961" ht="15" customHeight="1" x14ac:dyDescent="0.15"/>
    <row r="962" ht="15" customHeight="1" x14ac:dyDescent="0.15"/>
    <row r="963" ht="15" customHeight="1" x14ac:dyDescent="0.15"/>
    <row r="964" ht="15" customHeight="1" x14ac:dyDescent="0.15"/>
    <row r="965" ht="15" customHeight="1" x14ac:dyDescent="0.15"/>
    <row r="966" ht="15" customHeight="1" x14ac:dyDescent="0.15"/>
    <row r="967" ht="15" customHeight="1" x14ac:dyDescent="0.15"/>
    <row r="968" ht="15" customHeight="1" x14ac:dyDescent="0.15"/>
    <row r="969" ht="15" customHeight="1" x14ac:dyDescent="0.15"/>
    <row r="970" ht="15" customHeight="1" x14ac:dyDescent="0.15"/>
    <row r="971" ht="15" customHeight="1" x14ac:dyDescent="0.15"/>
    <row r="972" ht="15" customHeight="1" x14ac:dyDescent="0.15"/>
    <row r="973" ht="15" customHeight="1" x14ac:dyDescent="0.15"/>
    <row r="974" ht="15" customHeight="1" x14ac:dyDescent="0.15"/>
    <row r="975" ht="15" customHeight="1" x14ac:dyDescent="0.15"/>
    <row r="976" ht="15" customHeight="1" x14ac:dyDescent="0.15"/>
    <row r="977" ht="15" customHeight="1" x14ac:dyDescent="0.15"/>
    <row r="978" ht="15" customHeight="1" x14ac:dyDescent="0.15"/>
    <row r="979" ht="15" customHeight="1" x14ac:dyDescent="0.15"/>
    <row r="980" ht="15" customHeight="1" x14ac:dyDescent="0.15"/>
    <row r="981" ht="15" customHeight="1" x14ac:dyDescent="0.15"/>
    <row r="982" ht="15" customHeight="1" x14ac:dyDescent="0.15"/>
    <row r="983" ht="15" customHeight="1" x14ac:dyDescent="0.15"/>
    <row r="984" ht="15" customHeight="1" x14ac:dyDescent="0.15"/>
    <row r="985" ht="15" customHeight="1" x14ac:dyDescent="0.15"/>
    <row r="986" ht="15" customHeight="1" x14ac:dyDescent="0.15"/>
    <row r="987" ht="15" customHeight="1" x14ac:dyDescent="0.15"/>
    <row r="988" ht="15" customHeight="1" x14ac:dyDescent="0.15"/>
    <row r="989" ht="15" customHeight="1" x14ac:dyDescent="0.15"/>
    <row r="990" ht="15" customHeight="1" x14ac:dyDescent="0.15"/>
    <row r="991" ht="15" customHeight="1" x14ac:dyDescent="0.15"/>
    <row r="992" ht="15" customHeight="1" x14ac:dyDescent="0.15"/>
    <row r="993" ht="15" customHeight="1" x14ac:dyDescent="0.15"/>
    <row r="994" ht="15" customHeight="1" x14ac:dyDescent="0.15"/>
    <row r="995" ht="15" customHeight="1" x14ac:dyDescent="0.15"/>
    <row r="996" ht="15" customHeight="1" x14ac:dyDescent="0.15"/>
    <row r="997" ht="15" customHeight="1" x14ac:dyDescent="0.15"/>
    <row r="998" ht="15" customHeight="1" x14ac:dyDescent="0.15"/>
    <row r="999" ht="15" customHeight="1" x14ac:dyDescent="0.15"/>
    <row r="1000" ht="15" customHeight="1" x14ac:dyDescent="0.15"/>
    <row r="1001" ht="15" customHeight="1" x14ac:dyDescent="0.15"/>
    <row r="1002" ht="15" customHeight="1" x14ac:dyDescent="0.15"/>
    <row r="1003" ht="15" customHeight="1" x14ac:dyDescent="0.15"/>
    <row r="1004" ht="15" customHeight="1" x14ac:dyDescent="0.15"/>
    <row r="1005" ht="15" customHeight="1" x14ac:dyDescent="0.15"/>
    <row r="1006" ht="15" customHeight="1" x14ac:dyDescent="0.15"/>
    <row r="1007" ht="15" customHeight="1" x14ac:dyDescent="0.15"/>
    <row r="1008" ht="15" customHeight="1" x14ac:dyDescent="0.15"/>
    <row r="1009" ht="15" customHeight="1" x14ac:dyDescent="0.15"/>
    <row r="1010" ht="15" customHeight="1" x14ac:dyDescent="0.15"/>
    <row r="1011" ht="15" customHeight="1" x14ac:dyDescent="0.15"/>
    <row r="1012" ht="15" customHeight="1" x14ac:dyDescent="0.15"/>
    <row r="1013" ht="15" customHeight="1" x14ac:dyDescent="0.15"/>
    <row r="1014" ht="15" customHeight="1" x14ac:dyDescent="0.15"/>
    <row r="1015" ht="15" customHeight="1" x14ac:dyDescent="0.15"/>
    <row r="1016" ht="15" customHeight="1" x14ac:dyDescent="0.15"/>
    <row r="1017" ht="15" customHeight="1" x14ac:dyDescent="0.15"/>
    <row r="1018" ht="15" customHeight="1" x14ac:dyDescent="0.15"/>
    <row r="1019" ht="15" customHeight="1" x14ac:dyDescent="0.15"/>
    <row r="1020" ht="15" customHeight="1" x14ac:dyDescent="0.15"/>
    <row r="1021" ht="15" customHeight="1" x14ac:dyDescent="0.15"/>
    <row r="1022" ht="15" customHeight="1" x14ac:dyDescent="0.15"/>
    <row r="1023" ht="15" customHeight="1" x14ac:dyDescent="0.15"/>
    <row r="1024" ht="15" customHeight="1" x14ac:dyDescent="0.15"/>
    <row r="1025" ht="15" customHeight="1" x14ac:dyDescent="0.15"/>
    <row r="1026" ht="15" customHeight="1" x14ac:dyDescent="0.15"/>
    <row r="1027" ht="15" customHeight="1" x14ac:dyDescent="0.15"/>
    <row r="1028" ht="15" customHeight="1" x14ac:dyDescent="0.15"/>
    <row r="1029" ht="15" customHeight="1" x14ac:dyDescent="0.15"/>
    <row r="1030" ht="15" customHeight="1" x14ac:dyDescent="0.15"/>
    <row r="1031" ht="15" customHeight="1" x14ac:dyDescent="0.15"/>
    <row r="1032" ht="15" customHeight="1" x14ac:dyDescent="0.15"/>
    <row r="1033" ht="15" customHeight="1" x14ac:dyDescent="0.15"/>
    <row r="1034" ht="15" customHeight="1" x14ac:dyDescent="0.15"/>
    <row r="1035" ht="15" customHeight="1" x14ac:dyDescent="0.15"/>
    <row r="1036" ht="15" customHeight="1" x14ac:dyDescent="0.15"/>
    <row r="1037" ht="15" customHeight="1" x14ac:dyDescent="0.15"/>
    <row r="1038" ht="15" customHeight="1" x14ac:dyDescent="0.15"/>
    <row r="1039" ht="15" customHeight="1" x14ac:dyDescent="0.15"/>
    <row r="1040" ht="15" customHeight="1" x14ac:dyDescent="0.15"/>
    <row r="1041" ht="15" customHeight="1" x14ac:dyDescent="0.15"/>
    <row r="1042" ht="15" customHeight="1" x14ac:dyDescent="0.15"/>
    <row r="1043" ht="15" customHeight="1" x14ac:dyDescent="0.15"/>
    <row r="1044" ht="15" customHeight="1" x14ac:dyDescent="0.15"/>
    <row r="1045" ht="15" customHeight="1" x14ac:dyDescent="0.15"/>
    <row r="1046" ht="15" customHeight="1" x14ac:dyDescent="0.15"/>
    <row r="1047" ht="15" customHeight="1" x14ac:dyDescent="0.15"/>
    <row r="1048" ht="15" customHeight="1" x14ac:dyDescent="0.15"/>
    <row r="1049" ht="15" customHeight="1" x14ac:dyDescent="0.15"/>
    <row r="1050" ht="15" customHeight="1" x14ac:dyDescent="0.15"/>
    <row r="1051" ht="15" customHeight="1" x14ac:dyDescent="0.15"/>
    <row r="1052" ht="15" customHeight="1" x14ac:dyDescent="0.15"/>
    <row r="1053" ht="15" customHeight="1" x14ac:dyDescent="0.15"/>
    <row r="1054" ht="15" customHeight="1" x14ac:dyDescent="0.15"/>
    <row r="1055" ht="15" customHeight="1" x14ac:dyDescent="0.15"/>
    <row r="1056" ht="15" customHeight="1" x14ac:dyDescent="0.15"/>
    <row r="1057" ht="15" customHeight="1" x14ac:dyDescent="0.15"/>
    <row r="1058" ht="15" customHeight="1" x14ac:dyDescent="0.15"/>
    <row r="1059" ht="15" customHeight="1" x14ac:dyDescent="0.15"/>
    <row r="1060" ht="15" customHeight="1" x14ac:dyDescent="0.15"/>
    <row r="1061" ht="15" customHeight="1" x14ac:dyDescent="0.15"/>
    <row r="1062" ht="15" customHeight="1" x14ac:dyDescent="0.15"/>
    <row r="1063" ht="15" customHeight="1" x14ac:dyDescent="0.15"/>
    <row r="1064" ht="15" customHeight="1" x14ac:dyDescent="0.15"/>
    <row r="1065" ht="15" customHeight="1" x14ac:dyDescent="0.15"/>
    <row r="1066" ht="15" customHeight="1" x14ac:dyDescent="0.15"/>
    <row r="1067" ht="15" customHeight="1" x14ac:dyDescent="0.15"/>
    <row r="1068" ht="15" customHeight="1" x14ac:dyDescent="0.15"/>
    <row r="1069" ht="15" customHeight="1" x14ac:dyDescent="0.15"/>
    <row r="1070" ht="15" customHeight="1" x14ac:dyDescent="0.15"/>
    <row r="1071" ht="15" customHeight="1" x14ac:dyDescent="0.15"/>
    <row r="1072" ht="15" customHeight="1" x14ac:dyDescent="0.15"/>
    <row r="1073" ht="15" customHeight="1" x14ac:dyDescent="0.15"/>
    <row r="1074" ht="15" customHeight="1" x14ac:dyDescent="0.15"/>
    <row r="1075" ht="15" customHeight="1" x14ac:dyDescent="0.15"/>
    <row r="1076" ht="15" customHeight="1" x14ac:dyDescent="0.15"/>
    <row r="1077" ht="15" customHeight="1" x14ac:dyDescent="0.15"/>
    <row r="1078" ht="15" customHeight="1" x14ac:dyDescent="0.15"/>
    <row r="1079" ht="15" customHeight="1" x14ac:dyDescent="0.15"/>
    <row r="1080" ht="15" customHeight="1" x14ac:dyDescent="0.15"/>
    <row r="1081" ht="15" customHeight="1" x14ac:dyDescent="0.15"/>
    <row r="1082" ht="15" customHeight="1" x14ac:dyDescent="0.15"/>
    <row r="1083" ht="15" customHeight="1" x14ac:dyDescent="0.15"/>
    <row r="1084" ht="15" customHeight="1" x14ac:dyDescent="0.15"/>
    <row r="1085" ht="15" customHeight="1" x14ac:dyDescent="0.15"/>
    <row r="1086" ht="15" customHeight="1" x14ac:dyDescent="0.15"/>
    <row r="1087" ht="15" customHeight="1" x14ac:dyDescent="0.15"/>
    <row r="1088" ht="15" customHeight="1" x14ac:dyDescent="0.15"/>
    <row r="1089" ht="15" customHeight="1" x14ac:dyDescent="0.15"/>
    <row r="1090" ht="15" customHeight="1" x14ac:dyDescent="0.15"/>
    <row r="1091" ht="15" customHeight="1" x14ac:dyDescent="0.15"/>
    <row r="1092" ht="15" customHeight="1" x14ac:dyDescent="0.15"/>
    <row r="1093" ht="15" customHeight="1" x14ac:dyDescent="0.15"/>
    <row r="1094" ht="15" customHeight="1" x14ac:dyDescent="0.15"/>
    <row r="1095" ht="15" customHeight="1" x14ac:dyDescent="0.15"/>
    <row r="1096" ht="15" customHeight="1" x14ac:dyDescent="0.15"/>
    <row r="1097" ht="15" customHeight="1" x14ac:dyDescent="0.15"/>
    <row r="1098" ht="15" customHeight="1" x14ac:dyDescent="0.15"/>
    <row r="1099" ht="15" customHeight="1" x14ac:dyDescent="0.15"/>
    <row r="1100" ht="15" customHeight="1" x14ac:dyDescent="0.15"/>
    <row r="1101" ht="15" customHeight="1" x14ac:dyDescent="0.15"/>
    <row r="1102" ht="15" customHeight="1" x14ac:dyDescent="0.15"/>
    <row r="1103" ht="15" customHeight="1" x14ac:dyDescent="0.15"/>
    <row r="1104" ht="15" customHeight="1" x14ac:dyDescent="0.15"/>
    <row r="1105" ht="15" customHeight="1" x14ac:dyDescent="0.15"/>
    <row r="1106" ht="15" customHeight="1" x14ac:dyDescent="0.15"/>
    <row r="1107" ht="15" customHeight="1" x14ac:dyDescent="0.15"/>
    <row r="1108" ht="15" customHeight="1" x14ac:dyDescent="0.15"/>
    <row r="1109" ht="15" customHeight="1" x14ac:dyDescent="0.15"/>
    <row r="1110" ht="15" customHeight="1" x14ac:dyDescent="0.15"/>
    <row r="1111" ht="15" customHeight="1" x14ac:dyDescent="0.15"/>
    <row r="1112" ht="15" customHeight="1" x14ac:dyDescent="0.15"/>
    <row r="1113" ht="15" customHeight="1" x14ac:dyDescent="0.15"/>
    <row r="1114" ht="15" customHeight="1" x14ac:dyDescent="0.15"/>
    <row r="1115" ht="15" customHeight="1" x14ac:dyDescent="0.15"/>
    <row r="1116" ht="15" customHeight="1" x14ac:dyDescent="0.15"/>
    <row r="1117" ht="15" customHeight="1" x14ac:dyDescent="0.15"/>
    <row r="1118" ht="15" customHeight="1" x14ac:dyDescent="0.15"/>
    <row r="1119" ht="15" customHeight="1" x14ac:dyDescent="0.15"/>
    <row r="1120" ht="15" customHeight="1" x14ac:dyDescent="0.15"/>
    <row r="1121" ht="15" customHeight="1" x14ac:dyDescent="0.15"/>
    <row r="1122" ht="15" customHeight="1" x14ac:dyDescent="0.15"/>
    <row r="1123" ht="15" customHeight="1" x14ac:dyDescent="0.15"/>
    <row r="1124" ht="15" customHeight="1" x14ac:dyDescent="0.15"/>
    <row r="1125" ht="15" customHeight="1" x14ac:dyDescent="0.15"/>
    <row r="1126" ht="15" customHeight="1" x14ac:dyDescent="0.15"/>
    <row r="1127" ht="15" customHeight="1" x14ac:dyDescent="0.15"/>
    <row r="1128" ht="15" customHeight="1" x14ac:dyDescent="0.15"/>
    <row r="1129" ht="15" customHeight="1" x14ac:dyDescent="0.15"/>
    <row r="1130" ht="15" customHeight="1" x14ac:dyDescent="0.15"/>
    <row r="1131" ht="15" customHeight="1" x14ac:dyDescent="0.15"/>
    <row r="1132" ht="15" customHeight="1" x14ac:dyDescent="0.15"/>
    <row r="1133" ht="15" customHeight="1" x14ac:dyDescent="0.15"/>
    <row r="1134" ht="15" customHeight="1" x14ac:dyDescent="0.15"/>
    <row r="1135" ht="15" customHeight="1" x14ac:dyDescent="0.15"/>
    <row r="1136" ht="15" customHeight="1" x14ac:dyDescent="0.15"/>
    <row r="1137" ht="15" customHeight="1" x14ac:dyDescent="0.15"/>
    <row r="1138" ht="15" customHeight="1" x14ac:dyDescent="0.15"/>
    <row r="1139" ht="15" customHeight="1" x14ac:dyDescent="0.15"/>
    <row r="1140" ht="15" customHeight="1" x14ac:dyDescent="0.15"/>
    <row r="1141" ht="15" customHeight="1" x14ac:dyDescent="0.15"/>
    <row r="1142" ht="15" customHeight="1" x14ac:dyDescent="0.15"/>
    <row r="1143" ht="15" customHeight="1" x14ac:dyDescent="0.15"/>
    <row r="1144" ht="15" customHeight="1" x14ac:dyDescent="0.15"/>
    <row r="1145" ht="15" customHeight="1" x14ac:dyDescent="0.15"/>
    <row r="1146" ht="15" customHeight="1" x14ac:dyDescent="0.15"/>
    <row r="1147" ht="15" customHeight="1" x14ac:dyDescent="0.15"/>
    <row r="1148" ht="15" customHeight="1" x14ac:dyDescent="0.15"/>
    <row r="1149" ht="15" customHeight="1" x14ac:dyDescent="0.15"/>
    <row r="1150" ht="15" customHeight="1" x14ac:dyDescent="0.15"/>
    <row r="1151" ht="15" customHeight="1" x14ac:dyDescent="0.15"/>
    <row r="1152" ht="15" customHeight="1" x14ac:dyDescent="0.15"/>
    <row r="1153" ht="15" customHeight="1" x14ac:dyDescent="0.15"/>
    <row r="1154" ht="15" customHeight="1" x14ac:dyDescent="0.15"/>
    <row r="1155" ht="15" customHeight="1" x14ac:dyDescent="0.15"/>
    <row r="1156" ht="15" customHeight="1" x14ac:dyDescent="0.15"/>
    <row r="1157" ht="15" customHeight="1" x14ac:dyDescent="0.15"/>
    <row r="1158" ht="15" customHeight="1" x14ac:dyDescent="0.15"/>
    <row r="1159" ht="15" customHeight="1" x14ac:dyDescent="0.15"/>
    <row r="1160" ht="15" customHeight="1" x14ac:dyDescent="0.15"/>
    <row r="1161" ht="15" customHeight="1" x14ac:dyDescent="0.15"/>
    <row r="1162" ht="15" customHeight="1" x14ac:dyDescent="0.15"/>
    <row r="1163" ht="15" customHeight="1" x14ac:dyDescent="0.15"/>
    <row r="1164" ht="15" customHeight="1" x14ac:dyDescent="0.15"/>
    <row r="1165" ht="15" customHeight="1" x14ac:dyDescent="0.15"/>
    <row r="1166" ht="15" customHeight="1" x14ac:dyDescent="0.15"/>
    <row r="1167" ht="15" customHeight="1" x14ac:dyDescent="0.15"/>
    <row r="1168" ht="15" customHeight="1" x14ac:dyDescent="0.15"/>
    <row r="1169" ht="15" customHeight="1" x14ac:dyDescent="0.15"/>
    <row r="1170" ht="15" customHeight="1" x14ac:dyDescent="0.15"/>
    <row r="1171" ht="15" customHeight="1" x14ac:dyDescent="0.15"/>
    <row r="1172" ht="15" customHeight="1" x14ac:dyDescent="0.15"/>
    <row r="1173" ht="15" customHeight="1" x14ac:dyDescent="0.15"/>
    <row r="1174" ht="15" customHeight="1" x14ac:dyDescent="0.15"/>
    <row r="1175" ht="15" customHeight="1" x14ac:dyDescent="0.15"/>
    <row r="1176" ht="15" customHeight="1" x14ac:dyDescent="0.15"/>
    <row r="1177" ht="15" customHeight="1" x14ac:dyDescent="0.15"/>
    <row r="1178" ht="15" customHeight="1" x14ac:dyDescent="0.15"/>
    <row r="1179" ht="15" customHeight="1" x14ac:dyDescent="0.15"/>
    <row r="1180" ht="15" customHeight="1" x14ac:dyDescent="0.15"/>
    <row r="1181" ht="15" customHeight="1" x14ac:dyDescent="0.15"/>
    <row r="1182" ht="15" customHeight="1" x14ac:dyDescent="0.15"/>
    <row r="1183" ht="15" customHeight="1" x14ac:dyDescent="0.15"/>
    <row r="1184" ht="15" customHeight="1" x14ac:dyDescent="0.15"/>
    <row r="1185" ht="15" customHeight="1" x14ac:dyDescent="0.15"/>
    <row r="1186" ht="15" customHeight="1" x14ac:dyDescent="0.15"/>
    <row r="1187" ht="15" customHeight="1" x14ac:dyDescent="0.15"/>
    <row r="1188" ht="15" customHeight="1" x14ac:dyDescent="0.15"/>
    <row r="1189" ht="15" customHeight="1" x14ac:dyDescent="0.15"/>
    <row r="1190" ht="15" customHeight="1" x14ac:dyDescent="0.15"/>
    <row r="1191" ht="15" customHeight="1" x14ac:dyDescent="0.15"/>
    <row r="1192" ht="15" customHeight="1" x14ac:dyDescent="0.15"/>
    <row r="1193" ht="15" customHeight="1" x14ac:dyDescent="0.15"/>
    <row r="1194" ht="15" customHeight="1" x14ac:dyDescent="0.15"/>
    <row r="1195" ht="15" customHeight="1" x14ac:dyDescent="0.15"/>
    <row r="1196" ht="15" customHeight="1" x14ac:dyDescent="0.15"/>
    <row r="1197" ht="15" customHeight="1" x14ac:dyDescent="0.15"/>
    <row r="1198" ht="15" customHeight="1" x14ac:dyDescent="0.15"/>
    <row r="1199" ht="15" customHeight="1" x14ac:dyDescent="0.15"/>
    <row r="1200" ht="15" customHeight="1" x14ac:dyDescent="0.15"/>
    <row r="1201" ht="15" customHeight="1" x14ac:dyDescent="0.15"/>
    <row r="1202" ht="15" customHeight="1" x14ac:dyDescent="0.15"/>
    <row r="1203" ht="15" customHeight="1" x14ac:dyDescent="0.15"/>
    <row r="1204" ht="15" customHeight="1" x14ac:dyDescent="0.15"/>
    <row r="1205" ht="15" customHeight="1" x14ac:dyDescent="0.15"/>
    <row r="1206" ht="15" customHeight="1" x14ac:dyDescent="0.15"/>
    <row r="1207" ht="15" customHeight="1" x14ac:dyDescent="0.15"/>
    <row r="1208" ht="15" customHeight="1" x14ac:dyDescent="0.15"/>
    <row r="1209" ht="15" customHeight="1" x14ac:dyDescent="0.15"/>
    <row r="1210" ht="15" customHeight="1" x14ac:dyDescent="0.15"/>
    <row r="1211" ht="15" customHeight="1" x14ac:dyDescent="0.15"/>
    <row r="1212" ht="15" customHeight="1" x14ac:dyDescent="0.15"/>
    <row r="1213" ht="15" customHeight="1" x14ac:dyDescent="0.15"/>
    <row r="1214" ht="15" customHeight="1" x14ac:dyDescent="0.15"/>
    <row r="1215" ht="15" customHeight="1" x14ac:dyDescent="0.15"/>
    <row r="1216" ht="15" customHeight="1" x14ac:dyDescent="0.15"/>
    <row r="1217" ht="15" customHeight="1" x14ac:dyDescent="0.15"/>
    <row r="1218" ht="15" customHeight="1" x14ac:dyDescent="0.15"/>
    <row r="1219" ht="15" customHeight="1" x14ac:dyDescent="0.15"/>
    <row r="1220" ht="15" customHeight="1" x14ac:dyDescent="0.15"/>
    <row r="1221" ht="15" customHeight="1" x14ac:dyDescent="0.15"/>
    <row r="1222" ht="15" customHeight="1" x14ac:dyDescent="0.15"/>
    <row r="1223" ht="15" customHeight="1" x14ac:dyDescent="0.15"/>
    <row r="1224" ht="15" customHeight="1" x14ac:dyDescent="0.15"/>
    <row r="1225" ht="15" customHeight="1" x14ac:dyDescent="0.15"/>
    <row r="1226" ht="15" customHeight="1" x14ac:dyDescent="0.15"/>
    <row r="1227" ht="15" customHeight="1" x14ac:dyDescent="0.15"/>
    <row r="1228" ht="15" customHeight="1" x14ac:dyDescent="0.15"/>
    <row r="1229" ht="15" customHeight="1" x14ac:dyDescent="0.15"/>
    <row r="1230" ht="15" customHeight="1" x14ac:dyDescent="0.15"/>
    <row r="1231" ht="15" customHeight="1" x14ac:dyDescent="0.15"/>
    <row r="1232" ht="15" customHeight="1" x14ac:dyDescent="0.15"/>
    <row r="1233" ht="15" customHeight="1" x14ac:dyDescent="0.15"/>
    <row r="1234" ht="15" customHeight="1" x14ac:dyDescent="0.15"/>
    <row r="1235" ht="15" customHeight="1" x14ac:dyDescent="0.15"/>
    <row r="1236" ht="15" customHeight="1" x14ac:dyDescent="0.15"/>
    <row r="1237" ht="15" customHeight="1" x14ac:dyDescent="0.15"/>
    <row r="1238" ht="15" customHeight="1" x14ac:dyDescent="0.15"/>
    <row r="1239" ht="15" customHeight="1" x14ac:dyDescent="0.15"/>
    <row r="1240" ht="15" customHeight="1" x14ac:dyDescent="0.15"/>
    <row r="1241" ht="15" customHeight="1" x14ac:dyDescent="0.15"/>
    <row r="1242" ht="15" customHeight="1" x14ac:dyDescent="0.15"/>
    <row r="1243" ht="15" customHeight="1" x14ac:dyDescent="0.15"/>
    <row r="1244" ht="15" customHeight="1" x14ac:dyDescent="0.15"/>
    <row r="1245" ht="15" customHeight="1" x14ac:dyDescent="0.15"/>
    <row r="1246" ht="15" customHeight="1" x14ac:dyDescent="0.15"/>
    <row r="1247" ht="15" customHeight="1" x14ac:dyDescent="0.15"/>
    <row r="1248" ht="15" customHeight="1" x14ac:dyDescent="0.15"/>
    <row r="1249" ht="15" customHeight="1" x14ac:dyDescent="0.15"/>
    <row r="1250" ht="15" customHeight="1" x14ac:dyDescent="0.15"/>
    <row r="1251" ht="15" customHeight="1" x14ac:dyDescent="0.15"/>
    <row r="1252" ht="15" customHeight="1" x14ac:dyDescent="0.15"/>
    <row r="1253" ht="15" customHeight="1" x14ac:dyDescent="0.15"/>
    <row r="1254" ht="15" customHeight="1" x14ac:dyDescent="0.15"/>
    <row r="1255" ht="15" customHeight="1" x14ac:dyDescent="0.15"/>
    <row r="1256" ht="15" customHeight="1" x14ac:dyDescent="0.15"/>
    <row r="1257" ht="15" customHeight="1" x14ac:dyDescent="0.15"/>
    <row r="1258" ht="15" customHeight="1" x14ac:dyDescent="0.15"/>
    <row r="1259" ht="15" customHeight="1" x14ac:dyDescent="0.15"/>
    <row r="1260" ht="15" customHeight="1" x14ac:dyDescent="0.15"/>
    <row r="1261" ht="15" customHeight="1" x14ac:dyDescent="0.15"/>
    <row r="1262" ht="15" customHeight="1" x14ac:dyDescent="0.15"/>
    <row r="1263" ht="15" customHeight="1" x14ac:dyDescent="0.15"/>
    <row r="1264" ht="15" customHeight="1" x14ac:dyDescent="0.15"/>
    <row r="1265" ht="15" customHeight="1" x14ac:dyDescent="0.15"/>
    <row r="1266" ht="15" customHeight="1" x14ac:dyDescent="0.15"/>
    <row r="1267" ht="15" customHeight="1" x14ac:dyDescent="0.15"/>
    <row r="1268" ht="15" customHeight="1" x14ac:dyDescent="0.15"/>
    <row r="1269" ht="15" customHeight="1" x14ac:dyDescent="0.15"/>
    <row r="1270" ht="15" customHeight="1" x14ac:dyDescent="0.15"/>
    <row r="1271" ht="15" customHeight="1" x14ac:dyDescent="0.15"/>
    <row r="1272" ht="15" customHeight="1" x14ac:dyDescent="0.15"/>
    <row r="1273" ht="15" customHeight="1" x14ac:dyDescent="0.15"/>
    <row r="1274" ht="15" customHeight="1" x14ac:dyDescent="0.15"/>
    <row r="1275" ht="15" customHeight="1" x14ac:dyDescent="0.15"/>
    <row r="1276" ht="15" customHeight="1" x14ac:dyDescent="0.15"/>
    <row r="1277" ht="15" customHeight="1" x14ac:dyDescent="0.15"/>
    <row r="1278" ht="15" customHeight="1" x14ac:dyDescent="0.15"/>
    <row r="1279" ht="15" customHeight="1" x14ac:dyDescent="0.15"/>
    <row r="1280" ht="15" customHeight="1" x14ac:dyDescent="0.15"/>
    <row r="1281" ht="15" customHeight="1" x14ac:dyDescent="0.15"/>
    <row r="1282" ht="15" customHeight="1" x14ac:dyDescent="0.15"/>
    <row r="1283" ht="15" customHeight="1" x14ac:dyDescent="0.15"/>
    <row r="1284" ht="15" customHeight="1" x14ac:dyDescent="0.15"/>
    <row r="1285" ht="15" customHeight="1" x14ac:dyDescent="0.15"/>
    <row r="1286" ht="15" customHeight="1" x14ac:dyDescent="0.15"/>
    <row r="1287" ht="15" customHeight="1" x14ac:dyDescent="0.15"/>
    <row r="1288" ht="15" customHeight="1" x14ac:dyDescent="0.15"/>
    <row r="1289" ht="15" customHeight="1" x14ac:dyDescent="0.15"/>
    <row r="1290" ht="15" customHeight="1" x14ac:dyDescent="0.15"/>
    <row r="1291" ht="15" customHeight="1" x14ac:dyDescent="0.15"/>
    <row r="1292" ht="15" customHeight="1" x14ac:dyDescent="0.15"/>
    <row r="1293" ht="15" customHeight="1" x14ac:dyDescent="0.15"/>
    <row r="1294" ht="15" customHeight="1" x14ac:dyDescent="0.15"/>
    <row r="1295" ht="15" customHeight="1" x14ac:dyDescent="0.15"/>
    <row r="1296" ht="15" customHeight="1" x14ac:dyDescent="0.15"/>
    <row r="1297" ht="15" customHeight="1" x14ac:dyDescent="0.15"/>
    <row r="1298" ht="15" customHeight="1" x14ac:dyDescent="0.15"/>
    <row r="1299" ht="15" customHeight="1" x14ac:dyDescent="0.15"/>
    <row r="1300" ht="15" customHeight="1" x14ac:dyDescent="0.15"/>
    <row r="1301" ht="15" customHeight="1" x14ac:dyDescent="0.15"/>
    <row r="1302" ht="15" customHeight="1" x14ac:dyDescent="0.15"/>
    <row r="1303" ht="15" customHeight="1" x14ac:dyDescent="0.15"/>
    <row r="1304" ht="15" customHeight="1" x14ac:dyDescent="0.15"/>
    <row r="1305" ht="15" customHeight="1" x14ac:dyDescent="0.15"/>
    <row r="1306" ht="15" customHeight="1" x14ac:dyDescent="0.15"/>
    <row r="1307" ht="15" customHeight="1" x14ac:dyDescent="0.15"/>
    <row r="1308" ht="15" customHeight="1" x14ac:dyDescent="0.15"/>
    <row r="1309" ht="15" customHeight="1" x14ac:dyDescent="0.15"/>
    <row r="1310" ht="15" customHeight="1" x14ac:dyDescent="0.15"/>
    <row r="1311" ht="15" customHeight="1" x14ac:dyDescent="0.15"/>
    <row r="1312" ht="15" customHeight="1" x14ac:dyDescent="0.15"/>
    <row r="1313" ht="15" customHeight="1" x14ac:dyDescent="0.15"/>
    <row r="1314" ht="15" customHeight="1" x14ac:dyDescent="0.15"/>
    <row r="1315" ht="15" customHeight="1" x14ac:dyDescent="0.15"/>
    <row r="1316" ht="15" customHeight="1" x14ac:dyDescent="0.15"/>
    <row r="1317" ht="15" customHeight="1" x14ac:dyDescent="0.15"/>
    <row r="1318" ht="15" customHeight="1" x14ac:dyDescent="0.15"/>
    <row r="1319" ht="15" customHeight="1" x14ac:dyDescent="0.15"/>
    <row r="1320" ht="15" customHeight="1" x14ac:dyDescent="0.15"/>
    <row r="1321" ht="15" customHeight="1" x14ac:dyDescent="0.15"/>
    <row r="1322" ht="15" customHeight="1" x14ac:dyDescent="0.15"/>
    <row r="1323" ht="15" customHeight="1" x14ac:dyDescent="0.15"/>
    <row r="1324" ht="15" customHeight="1" x14ac:dyDescent="0.15"/>
    <row r="1325" ht="15" customHeight="1" x14ac:dyDescent="0.15"/>
    <row r="1326" ht="15" customHeight="1" x14ac:dyDescent="0.15"/>
    <row r="1327" ht="15" customHeight="1" x14ac:dyDescent="0.15"/>
    <row r="1328" ht="15" customHeight="1" x14ac:dyDescent="0.15"/>
    <row r="1329" ht="15" customHeight="1" x14ac:dyDescent="0.15"/>
    <row r="1330" ht="15" customHeight="1" x14ac:dyDescent="0.15"/>
    <row r="1331" ht="15" customHeight="1" x14ac:dyDescent="0.15"/>
    <row r="1332" ht="15" customHeight="1" x14ac:dyDescent="0.15"/>
    <row r="1333" ht="15" customHeight="1" x14ac:dyDescent="0.15"/>
    <row r="1334" ht="15" customHeight="1" x14ac:dyDescent="0.15"/>
    <row r="1335" ht="15" customHeight="1" x14ac:dyDescent="0.15"/>
    <row r="1336" ht="15" customHeight="1" x14ac:dyDescent="0.15"/>
    <row r="1337" ht="15" customHeight="1" x14ac:dyDescent="0.15"/>
    <row r="1338" ht="15" customHeight="1" x14ac:dyDescent="0.15"/>
    <row r="1339" ht="15" customHeight="1" x14ac:dyDescent="0.15"/>
    <row r="1340" ht="15" customHeight="1" x14ac:dyDescent="0.15"/>
    <row r="1341" ht="15" customHeight="1" x14ac:dyDescent="0.15"/>
    <row r="1342" ht="15" customHeight="1" x14ac:dyDescent="0.15"/>
    <row r="1343" ht="15" customHeight="1" x14ac:dyDescent="0.15"/>
    <row r="1344" ht="15" customHeight="1" x14ac:dyDescent="0.15"/>
    <row r="1345" ht="15" customHeight="1" x14ac:dyDescent="0.15"/>
    <row r="1346" ht="15" customHeight="1" x14ac:dyDescent="0.15"/>
    <row r="1347" ht="15" customHeight="1" x14ac:dyDescent="0.15"/>
    <row r="1348" ht="15" customHeight="1" x14ac:dyDescent="0.15"/>
    <row r="1349" ht="15" customHeight="1" x14ac:dyDescent="0.15"/>
    <row r="1350" ht="15" customHeight="1" x14ac:dyDescent="0.15"/>
    <row r="1351" ht="15" customHeight="1" x14ac:dyDescent="0.15"/>
    <row r="1352" ht="15" customHeight="1" x14ac:dyDescent="0.15"/>
    <row r="1353" ht="15" customHeight="1" x14ac:dyDescent="0.15"/>
    <row r="1354" ht="15" customHeight="1" x14ac:dyDescent="0.15"/>
    <row r="1355" ht="15" customHeight="1" x14ac:dyDescent="0.15"/>
    <row r="1356" ht="15" customHeight="1" x14ac:dyDescent="0.15"/>
    <row r="1357" ht="15" customHeight="1" x14ac:dyDescent="0.15"/>
    <row r="1358" ht="15" customHeight="1" x14ac:dyDescent="0.15"/>
    <row r="1359" ht="15" customHeight="1" x14ac:dyDescent="0.15"/>
    <row r="1360" ht="15" customHeight="1" x14ac:dyDescent="0.15"/>
    <row r="1361" ht="15" customHeight="1" x14ac:dyDescent="0.15"/>
    <row r="1362" ht="15" customHeight="1" x14ac:dyDescent="0.15"/>
    <row r="1363" ht="15" customHeight="1" x14ac:dyDescent="0.15"/>
    <row r="1364" ht="15" customHeight="1" x14ac:dyDescent="0.15"/>
    <row r="1365" ht="15" customHeight="1" x14ac:dyDescent="0.15"/>
    <row r="1366" ht="15" customHeight="1" x14ac:dyDescent="0.15"/>
    <row r="1367" ht="15" customHeight="1" x14ac:dyDescent="0.15"/>
    <row r="1368" ht="15" customHeight="1" x14ac:dyDescent="0.15"/>
    <row r="1369" ht="15" customHeight="1" x14ac:dyDescent="0.15"/>
    <row r="1370" ht="15" customHeight="1" x14ac:dyDescent="0.15"/>
    <row r="1371" ht="15" customHeight="1" x14ac:dyDescent="0.15"/>
    <row r="1372" ht="15" customHeight="1" x14ac:dyDescent="0.15"/>
    <row r="1373" ht="15" customHeight="1" x14ac:dyDescent="0.15"/>
    <row r="1374" ht="15" customHeight="1" x14ac:dyDescent="0.15"/>
    <row r="1375" ht="15" customHeight="1" x14ac:dyDescent="0.15"/>
    <row r="1376" ht="15" customHeight="1" x14ac:dyDescent="0.15"/>
    <row r="1377" ht="15" customHeight="1" x14ac:dyDescent="0.15"/>
    <row r="1378" ht="15" customHeight="1" x14ac:dyDescent="0.15"/>
    <row r="1379" ht="15" customHeight="1" x14ac:dyDescent="0.15"/>
    <row r="1380" ht="15" customHeight="1" x14ac:dyDescent="0.15"/>
    <row r="1381" ht="15" customHeight="1" x14ac:dyDescent="0.15"/>
    <row r="1382" ht="15" customHeight="1" x14ac:dyDescent="0.15"/>
    <row r="1383" ht="15" customHeight="1" x14ac:dyDescent="0.15"/>
    <row r="1384" ht="15" customHeight="1" x14ac:dyDescent="0.15"/>
    <row r="1385" ht="15" customHeight="1" x14ac:dyDescent="0.15"/>
    <row r="1386" ht="15" customHeight="1" x14ac:dyDescent="0.15"/>
    <row r="1387" ht="15" customHeight="1" x14ac:dyDescent="0.15"/>
    <row r="1388" ht="15" customHeight="1" x14ac:dyDescent="0.15"/>
    <row r="1389" ht="15" customHeight="1" x14ac:dyDescent="0.15"/>
    <row r="1390" ht="15" customHeight="1" x14ac:dyDescent="0.15"/>
    <row r="1391" ht="15" customHeight="1" x14ac:dyDescent="0.15"/>
    <row r="1392" ht="15" customHeight="1" x14ac:dyDescent="0.15"/>
    <row r="1393" ht="15" customHeight="1" x14ac:dyDescent="0.15"/>
    <row r="1394" ht="15" customHeight="1" x14ac:dyDescent="0.15"/>
    <row r="1395" ht="15" customHeight="1" x14ac:dyDescent="0.15"/>
    <row r="1396" ht="15" customHeight="1" x14ac:dyDescent="0.15"/>
    <row r="1397" ht="15" customHeight="1" x14ac:dyDescent="0.15"/>
    <row r="1398" ht="15" customHeight="1" x14ac:dyDescent="0.15"/>
    <row r="1399" ht="15" customHeight="1" x14ac:dyDescent="0.15"/>
    <row r="1400" ht="15" customHeight="1" x14ac:dyDescent="0.15"/>
    <row r="1401" ht="15" customHeight="1" x14ac:dyDescent="0.15"/>
    <row r="1402" ht="15" customHeight="1" x14ac:dyDescent="0.15"/>
    <row r="1403" ht="15" customHeight="1" x14ac:dyDescent="0.15"/>
    <row r="1404" ht="15" customHeight="1" x14ac:dyDescent="0.15"/>
    <row r="1405" ht="15" customHeight="1" x14ac:dyDescent="0.15"/>
    <row r="1406" ht="15" customHeight="1" x14ac:dyDescent="0.15"/>
    <row r="1407" ht="15" customHeight="1" x14ac:dyDescent="0.15"/>
    <row r="1408" ht="15" customHeight="1" x14ac:dyDescent="0.15"/>
    <row r="1409" ht="15" customHeight="1" x14ac:dyDescent="0.15"/>
    <row r="1410" ht="15" customHeight="1" x14ac:dyDescent="0.15"/>
    <row r="1411" ht="15" customHeight="1" x14ac:dyDescent="0.15"/>
    <row r="1412" ht="15" customHeight="1" x14ac:dyDescent="0.15"/>
    <row r="1413" ht="15" customHeight="1" x14ac:dyDescent="0.15"/>
    <row r="1414" ht="15" customHeight="1" x14ac:dyDescent="0.15"/>
    <row r="1415" ht="15" customHeight="1" x14ac:dyDescent="0.15"/>
    <row r="1416" ht="15" customHeight="1" x14ac:dyDescent="0.15"/>
    <row r="1417" ht="15" customHeight="1" x14ac:dyDescent="0.15"/>
    <row r="1418" ht="15" customHeight="1" x14ac:dyDescent="0.15"/>
    <row r="1419" ht="15" customHeight="1" x14ac:dyDescent="0.15"/>
    <row r="1420" ht="15" customHeight="1" x14ac:dyDescent="0.15"/>
    <row r="1421" ht="15" customHeight="1" x14ac:dyDescent="0.15"/>
    <row r="1422" ht="15" customHeight="1" x14ac:dyDescent="0.15"/>
    <row r="1423" ht="15" customHeight="1" x14ac:dyDescent="0.15"/>
    <row r="1424" ht="15" customHeight="1" x14ac:dyDescent="0.15"/>
    <row r="1425" ht="15" customHeight="1" x14ac:dyDescent="0.15"/>
    <row r="1426" ht="15" customHeight="1" x14ac:dyDescent="0.15"/>
    <row r="1427" ht="15" customHeight="1" x14ac:dyDescent="0.15"/>
    <row r="1428" ht="15" customHeight="1" x14ac:dyDescent="0.15"/>
    <row r="1429" ht="15" customHeight="1" x14ac:dyDescent="0.15"/>
    <row r="1430" ht="15" customHeight="1" x14ac:dyDescent="0.15"/>
    <row r="1431" ht="15" customHeight="1" x14ac:dyDescent="0.15"/>
    <row r="1432" ht="15" customHeight="1" x14ac:dyDescent="0.15"/>
    <row r="1433" ht="15" customHeight="1" x14ac:dyDescent="0.15"/>
    <row r="1434" ht="15" customHeight="1" x14ac:dyDescent="0.15"/>
    <row r="1435" ht="15" customHeight="1" x14ac:dyDescent="0.15"/>
    <row r="1436" ht="15" customHeight="1" x14ac:dyDescent="0.15"/>
    <row r="1437" ht="15" customHeight="1" x14ac:dyDescent="0.15"/>
    <row r="1438" ht="15" customHeight="1" x14ac:dyDescent="0.15"/>
    <row r="1439" ht="15" customHeight="1" x14ac:dyDescent="0.15"/>
    <row r="1440" ht="15" customHeight="1" x14ac:dyDescent="0.15"/>
    <row r="1441" ht="15" customHeight="1" x14ac:dyDescent="0.15"/>
    <row r="1442" ht="15" customHeight="1" x14ac:dyDescent="0.15"/>
    <row r="1443" ht="15" customHeight="1" x14ac:dyDescent="0.15"/>
    <row r="1444" ht="15" customHeight="1" x14ac:dyDescent="0.15"/>
    <row r="1445" ht="15" customHeight="1" x14ac:dyDescent="0.15"/>
    <row r="1446" ht="15" customHeight="1" x14ac:dyDescent="0.15"/>
    <row r="1447" ht="15" customHeight="1" x14ac:dyDescent="0.15"/>
    <row r="1448" ht="15" customHeight="1" x14ac:dyDescent="0.15"/>
    <row r="1449" ht="15" customHeight="1" x14ac:dyDescent="0.15"/>
    <row r="1450" ht="15" customHeight="1" x14ac:dyDescent="0.15"/>
    <row r="1451" ht="15" customHeight="1" x14ac:dyDescent="0.15"/>
    <row r="1452" ht="15" customHeight="1" x14ac:dyDescent="0.15"/>
    <row r="1453" ht="15" customHeight="1" x14ac:dyDescent="0.15"/>
    <row r="1454" ht="15" customHeight="1" x14ac:dyDescent="0.15"/>
    <row r="1455" ht="15" customHeight="1" x14ac:dyDescent="0.15"/>
    <row r="1456" ht="15" customHeight="1" x14ac:dyDescent="0.15"/>
    <row r="1457" ht="15" customHeight="1" x14ac:dyDescent="0.15"/>
    <row r="1458" ht="15" customHeight="1" x14ac:dyDescent="0.15"/>
    <row r="1459" ht="15" customHeight="1" x14ac:dyDescent="0.15"/>
    <row r="1460" ht="15" customHeight="1" x14ac:dyDescent="0.15"/>
    <row r="1461" ht="15" customHeight="1" x14ac:dyDescent="0.15"/>
    <row r="1462" ht="15" customHeight="1" x14ac:dyDescent="0.15"/>
    <row r="1463" ht="15" customHeight="1" x14ac:dyDescent="0.15"/>
    <row r="1464" ht="15" customHeight="1" x14ac:dyDescent="0.15"/>
    <row r="1465" ht="15" customHeight="1" x14ac:dyDescent="0.15"/>
    <row r="1466" ht="15" customHeight="1" x14ac:dyDescent="0.15"/>
    <row r="1467" ht="15" customHeight="1" x14ac:dyDescent="0.15"/>
    <row r="1468" ht="15" customHeight="1" x14ac:dyDescent="0.15"/>
    <row r="1469" ht="15" customHeight="1" x14ac:dyDescent="0.15"/>
    <row r="1470" ht="15" customHeight="1" x14ac:dyDescent="0.15"/>
    <row r="1471" ht="15" customHeight="1" x14ac:dyDescent="0.15"/>
    <row r="1472" ht="15" customHeight="1" x14ac:dyDescent="0.15"/>
    <row r="1473" ht="15" customHeight="1" x14ac:dyDescent="0.15"/>
    <row r="1474" ht="15" customHeight="1" x14ac:dyDescent="0.15"/>
    <row r="1475" ht="15" customHeight="1" x14ac:dyDescent="0.15"/>
    <row r="1476" ht="15" customHeight="1" x14ac:dyDescent="0.15"/>
    <row r="1477" ht="15" customHeight="1" x14ac:dyDescent="0.15"/>
    <row r="1478" ht="15" customHeight="1" x14ac:dyDescent="0.15"/>
    <row r="1479" ht="15" customHeight="1" x14ac:dyDescent="0.15"/>
    <row r="1480" ht="15" customHeight="1" x14ac:dyDescent="0.15"/>
    <row r="1481" ht="15" customHeight="1" x14ac:dyDescent="0.15"/>
    <row r="1482" ht="15" customHeight="1" x14ac:dyDescent="0.15"/>
    <row r="1483" ht="15" customHeight="1" x14ac:dyDescent="0.15"/>
    <row r="1484" ht="15" customHeight="1" x14ac:dyDescent="0.15"/>
    <row r="1485" ht="15" customHeight="1" x14ac:dyDescent="0.15"/>
    <row r="1486" ht="15" customHeight="1" x14ac:dyDescent="0.15"/>
    <row r="1487" ht="15" customHeight="1" x14ac:dyDescent="0.15"/>
    <row r="1488" ht="15" customHeight="1" x14ac:dyDescent="0.15"/>
    <row r="1489" ht="15" customHeight="1" x14ac:dyDescent="0.15"/>
    <row r="1490" ht="15" customHeight="1" x14ac:dyDescent="0.15"/>
    <row r="1491" ht="15" customHeight="1" x14ac:dyDescent="0.15"/>
    <row r="1492" ht="15" customHeight="1" x14ac:dyDescent="0.15"/>
    <row r="1493" ht="15" customHeight="1" x14ac:dyDescent="0.15"/>
    <row r="1494" ht="15" customHeight="1" x14ac:dyDescent="0.15"/>
    <row r="1495" ht="15" customHeight="1" x14ac:dyDescent="0.15"/>
    <row r="1496" ht="15" customHeight="1" x14ac:dyDescent="0.15"/>
    <row r="1497" ht="15" customHeight="1" x14ac:dyDescent="0.15"/>
    <row r="1498" ht="15" customHeight="1" x14ac:dyDescent="0.15"/>
    <row r="1499" ht="15" customHeight="1" x14ac:dyDescent="0.15"/>
    <row r="1500" ht="15" customHeight="1" x14ac:dyDescent="0.15"/>
    <row r="1501" ht="15" customHeight="1" x14ac:dyDescent="0.15"/>
    <row r="1502" ht="15" customHeight="1" x14ac:dyDescent="0.15"/>
    <row r="1503" ht="15" customHeight="1" x14ac:dyDescent="0.15"/>
    <row r="1504" ht="15" customHeight="1" x14ac:dyDescent="0.15"/>
    <row r="1505" ht="15" customHeight="1" x14ac:dyDescent="0.15"/>
    <row r="1506" ht="15" customHeight="1" x14ac:dyDescent="0.15"/>
    <row r="1507" ht="15" customHeight="1" x14ac:dyDescent="0.15"/>
    <row r="1508" ht="15" customHeight="1" x14ac:dyDescent="0.15"/>
    <row r="1509" ht="15" customHeight="1" x14ac:dyDescent="0.15"/>
    <row r="1510" ht="15" customHeight="1" x14ac:dyDescent="0.15"/>
    <row r="1511" ht="15" customHeight="1" x14ac:dyDescent="0.15"/>
    <row r="1512" ht="15" customHeight="1" x14ac:dyDescent="0.15"/>
    <row r="1513" ht="15" customHeight="1" x14ac:dyDescent="0.15"/>
    <row r="1514" ht="15" customHeight="1" x14ac:dyDescent="0.15"/>
    <row r="1515" ht="15" customHeight="1" x14ac:dyDescent="0.15"/>
    <row r="1516" ht="15" customHeight="1" x14ac:dyDescent="0.15"/>
    <row r="1517" ht="15" customHeight="1" x14ac:dyDescent="0.15"/>
    <row r="1518" ht="15" customHeight="1" x14ac:dyDescent="0.15"/>
    <row r="1519" ht="15" customHeight="1" x14ac:dyDescent="0.15"/>
    <row r="1520" ht="15" customHeight="1" x14ac:dyDescent="0.15"/>
    <row r="1521" ht="15" customHeight="1" x14ac:dyDescent="0.15"/>
    <row r="1522" ht="15" customHeight="1" x14ac:dyDescent="0.15"/>
    <row r="1523" ht="15" customHeight="1" x14ac:dyDescent="0.15"/>
    <row r="1524" ht="15" customHeight="1" x14ac:dyDescent="0.15"/>
    <row r="1525" ht="15" customHeight="1" x14ac:dyDescent="0.15"/>
    <row r="1526" ht="15" customHeight="1" x14ac:dyDescent="0.15"/>
    <row r="1527" ht="15" customHeight="1" x14ac:dyDescent="0.15"/>
    <row r="1528" ht="15" customHeight="1" x14ac:dyDescent="0.15"/>
    <row r="1529" ht="15" customHeight="1" x14ac:dyDescent="0.15"/>
    <row r="1530" ht="15" customHeight="1" x14ac:dyDescent="0.15"/>
    <row r="1531" ht="15" customHeight="1" x14ac:dyDescent="0.15"/>
    <row r="1532" ht="15" customHeight="1" x14ac:dyDescent="0.15"/>
    <row r="1533" ht="15" customHeight="1" x14ac:dyDescent="0.15"/>
    <row r="1534" ht="15" customHeight="1" x14ac:dyDescent="0.15"/>
    <row r="1535" ht="15" customHeight="1" x14ac:dyDescent="0.15"/>
    <row r="1536" ht="15" customHeight="1" x14ac:dyDescent="0.15"/>
    <row r="1537" ht="15" customHeight="1" x14ac:dyDescent="0.15"/>
    <row r="1538" ht="15" customHeight="1" x14ac:dyDescent="0.15"/>
    <row r="1539" ht="15" customHeight="1" x14ac:dyDescent="0.15"/>
    <row r="1540" ht="15" customHeight="1" x14ac:dyDescent="0.15"/>
    <row r="1541" ht="15" customHeight="1" x14ac:dyDescent="0.15"/>
    <row r="1542" ht="15" customHeight="1" x14ac:dyDescent="0.15"/>
    <row r="1543" ht="15" customHeight="1" x14ac:dyDescent="0.15"/>
    <row r="1544" ht="15" customHeight="1" x14ac:dyDescent="0.15"/>
    <row r="1545" ht="15" customHeight="1" x14ac:dyDescent="0.15"/>
    <row r="1546" ht="15" customHeight="1" x14ac:dyDescent="0.15"/>
    <row r="1547" ht="15" customHeight="1" x14ac:dyDescent="0.15"/>
    <row r="1548" ht="15" customHeight="1" x14ac:dyDescent="0.15"/>
    <row r="1549" ht="15" customHeight="1" x14ac:dyDescent="0.15"/>
    <row r="1550" ht="15" customHeight="1" x14ac:dyDescent="0.15"/>
    <row r="1551" ht="15" customHeight="1" x14ac:dyDescent="0.15"/>
    <row r="1552" ht="15" customHeight="1" x14ac:dyDescent="0.15"/>
    <row r="1553" ht="15" customHeight="1" x14ac:dyDescent="0.15"/>
    <row r="1554" ht="15" customHeight="1" x14ac:dyDescent="0.15"/>
    <row r="1555" ht="15" customHeight="1" x14ac:dyDescent="0.15"/>
    <row r="1556" ht="15" customHeight="1" x14ac:dyDescent="0.15"/>
    <row r="1557" ht="15" customHeight="1" x14ac:dyDescent="0.15"/>
    <row r="1558" ht="15" customHeight="1" x14ac:dyDescent="0.15"/>
    <row r="1559" ht="15" customHeight="1" x14ac:dyDescent="0.15"/>
    <row r="1560" ht="15" customHeight="1" x14ac:dyDescent="0.15"/>
    <row r="1561" ht="15" customHeight="1" x14ac:dyDescent="0.15"/>
    <row r="1562" ht="15" customHeight="1" x14ac:dyDescent="0.15"/>
    <row r="1563" ht="15" customHeight="1" x14ac:dyDescent="0.15"/>
    <row r="1564" ht="15" customHeight="1" x14ac:dyDescent="0.15"/>
    <row r="1565" ht="15" customHeight="1" x14ac:dyDescent="0.15"/>
    <row r="1566" ht="15" customHeight="1" x14ac:dyDescent="0.15"/>
    <row r="1567" ht="15" customHeight="1" x14ac:dyDescent="0.15"/>
    <row r="1568" ht="15" customHeight="1" x14ac:dyDescent="0.15"/>
    <row r="1569" ht="15" customHeight="1" x14ac:dyDescent="0.15"/>
    <row r="1570" ht="15" customHeight="1" x14ac:dyDescent="0.15"/>
    <row r="1571" ht="15" customHeight="1" x14ac:dyDescent="0.15"/>
    <row r="1572" ht="15" customHeight="1" x14ac:dyDescent="0.15"/>
    <row r="1573" ht="15" customHeight="1" x14ac:dyDescent="0.15"/>
    <row r="1574" ht="15" customHeight="1" x14ac:dyDescent="0.15"/>
    <row r="1575" ht="15" customHeight="1" x14ac:dyDescent="0.15"/>
    <row r="1576" ht="15" customHeight="1" x14ac:dyDescent="0.15"/>
    <row r="1577" ht="15" customHeight="1" x14ac:dyDescent="0.15"/>
    <row r="1578" ht="15" customHeight="1" x14ac:dyDescent="0.15"/>
    <row r="1579" ht="15" customHeight="1" x14ac:dyDescent="0.15"/>
    <row r="1580" ht="15" customHeight="1" x14ac:dyDescent="0.15"/>
    <row r="1581" ht="15" customHeight="1" x14ac:dyDescent="0.15"/>
    <row r="1582" ht="15" customHeight="1" x14ac:dyDescent="0.15"/>
    <row r="1583" ht="15" customHeight="1" x14ac:dyDescent="0.15"/>
    <row r="1584" ht="15" customHeight="1" x14ac:dyDescent="0.15"/>
    <row r="1585" ht="15" customHeight="1" x14ac:dyDescent="0.15"/>
    <row r="1586" ht="15" customHeight="1" x14ac:dyDescent="0.15"/>
    <row r="1587" ht="15" customHeight="1" x14ac:dyDescent="0.15"/>
    <row r="1588" ht="15" customHeight="1" x14ac:dyDescent="0.15"/>
    <row r="1589" ht="15" customHeight="1" x14ac:dyDescent="0.15"/>
    <row r="1590" ht="15" customHeight="1" x14ac:dyDescent="0.15"/>
    <row r="1591" ht="15" customHeight="1" x14ac:dyDescent="0.15"/>
    <row r="1592" ht="15" customHeight="1" x14ac:dyDescent="0.15"/>
    <row r="1593" ht="15" customHeight="1" x14ac:dyDescent="0.15"/>
    <row r="1594" ht="15" customHeight="1" x14ac:dyDescent="0.15"/>
    <row r="1595" ht="15" customHeight="1" x14ac:dyDescent="0.15"/>
    <row r="1596" ht="15" customHeight="1" x14ac:dyDescent="0.15"/>
    <row r="1597" ht="15" customHeight="1" x14ac:dyDescent="0.15"/>
    <row r="1598" ht="15" customHeight="1" x14ac:dyDescent="0.15"/>
    <row r="1599" ht="15" customHeight="1" x14ac:dyDescent="0.15"/>
    <row r="1600" ht="15" customHeight="1" x14ac:dyDescent="0.15"/>
    <row r="1601" ht="15" customHeight="1" x14ac:dyDescent="0.15"/>
    <row r="1602" ht="15" customHeight="1" x14ac:dyDescent="0.15"/>
    <row r="1603" ht="15" customHeight="1" x14ac:dyDescent="0.15"/>
    <row r="1604" ht="15" customHeight="1" x14ac:dyDescent="0.15"/>
    <row r="1605" ht="15" customHeight="1" x14ac:dyDescent="0.15"/>
    <row r="1606" ht="15" customHeight="1" x14ac:dyDescent="0.15"/>
    <row r="1607" ht="15" customHeight="1" x14ac:dyDescent="0.15"/>
    <row r="1608" ht="15" customHeight="1" x14ac:dyDescent="0.15"/>
    <row r="1609" ht="15" customHeight="1" x14ac:dyDescent="0.15"/>
    <row r="1610" ht="15" customHeight="1" x14ac:dyDescent="0.15"/>
    <row r="1611" ht="15" customHeight="1" x14ac:dyDescent="0.15"/>
    <row r="1612" ht="15" customHeight="1" x14ac:dyDescent="0.15"/>
    <row r="1613" ht="15" customHeight="1" x14ac:dyDescent="0.15"/>
    <row r="1614" ht="15" customHeight="1" x14ac:dyDescent="0.15"/>
    <row r="1615" ht="15" customHeight="1" x14ac:dyDescent="0.15"/>
    <row r="1616" ht="15" customHeight="1" x14ac:dyDescent="0.15"/>
    <row r="1617" ht="15" customHeight="1" x14ac:dyDescent="0.15"/>
    <row r="1618" ht="15" customHeight="1" x14ac:dyDescent="0.15"/>
    <row r="1619" ht="15" customHeight="1" x14ac:dyDescent="0.15"/>
    <row r="1620" ht="15" customHeight="1" x14ac:dyDescent="0.15"/>
    <row r="1621" ht="15" customHeight="1" x14ac:dyDescent="0.15"/>
    <row r="1622" ht="15" customHeight="1" x14ac:dyDescent="0.15"/>
    <row r="1623" ht="15" customHeight="1" x14ac:dyDescent="0.15"/>
    <row r="1624" ht="15" customHeight="1" x14ac:dyDescent="0.15"/>
    <row r="1625" ht="15" customHeight="1" x14ac:dyDescent="0.15"/>
    <row r="1626" ht="15" customHeight="1" x14ac:dyDescent="0.15"/>
    <row r="1627" ht="15" customHeight="1" x14ac:dyDescent="0.15"/>
    <row r="1628" ht="15" customHeight="1" x14ac:dyDescent="0.15"/>
    <row r="1629" ht="15" customHeight="1" x14ac:dyDescent="0.15"/>
    <row r="1630" ht="15" customHeight="1" x14ac:dyDescent="0.15"/>
    <row r="1631" ht="15" customHeight="1" x14ac:dyDescent="0.15"/>
    <row r="1632" ht="15" customHeight="1" x14ac:dyDescent="0.15"/>
    <row r="1633" ht="15" customHeight="1" x14ac:dyDescent="0.15"/>
    <row r="1634" ht="15" customHeight="1" x14ac:dyDescent="0.15"/>
    <row r="1635" ht="15" customHeight="1" x14ac:dyDescent="0.15"/>
    <row r="1636" ht="15" customHeight="1" x14ac:dyDescent="0.15"/>
    <row r="1637" ht="15" customHeight="1" x14ac:dyDescent="0.15"/>
    <row r="1638" ht="15" customHeight="1" x14ac:dyDescent="0.15"/>
    <row r="1639" ht="15" customHeight="1" x14ac:dyDescent="0.15"/>
    <row r="1640" ht="15" customHeight="1" x14ac:dyDescent="0.15"/>
    <row r="1641" ht="15" customHeight="1" x14ac:dyDescent="0.15"/>
    <row r="1642" ht="15" customHeight="1" x14ac:dyDescent="0.15"/>
    <row r="1643" ht="15" customHeight="1" x14ac:dyDescent="0.15"/>
    <row r="1644" ht="15" customHeight="1" x14ac:dyDescent="0.15"/>
    <row r="1645" ht="15" customHeight="1" x14ac:dyDescent="0.15"/>
    <row r="1646" ht="15" customHeight="1" x14ac:dyDescent="0.15"/>
    <row r="1647" ht="15" customHeight="1" x14ac:dyDescent="0.15"/>
    <row r="1648" ht="15" customHeight="1" x14ac:dyDescent="0.15"/>
    <row r="1649" ht="15" customHeight="1" x14ac:dyDescent="0.15"/>
    <row r="1650" ht="15" customHeight="1" x14ac:dyDescent="0.15"/>
    <row r="1651" ht="15" customHeight="1" x14ac:dyDescent="0.15"/>
    <row r="1652" ht="15" customHeight="1" x14ac:dyDescent="0.15"/>
    <row r="1653" ht="15" customHeight="1" x14ac:dyDescent="0.15"/>
    <row r="1654" ht="15" customHeight="1" x14ac:dyDescent="0.15"/>
    <row r="1655" ht="15" customHeight="1" x14ac:dyDescent="0.15"/>
    <row r="1656" ht="15" customHeight="1" x14ac:dyDescent="0.15"/>
    <row r="1657" ht="15" customHeight="1" x14ac:dyDescent="0.15"/>
    <row r="1658" ht="15" customHeight="1" x14ac:dyDescent="0.15"/>
    <row r="1659" ht="15" customHeight="1" x14ac:dyDescent="0.15"/>
    <row r="1660" ht="15" customHeight="1" x14ac:dyDescent="0.15"/>
    <row r="1661" ht="15" customHeight="1" x14ac:dyDescent="0.15"/>
    <row r="1662" ht="15" customHeight="1" x14ac:dyDescent="0.15"/>
    <row r="1663" ht="15" customHeight="1" x14ac:dyDescent="0.15"/>
    <row r="1664" ht="15" customHeight="1" x14ac:dyDescent="0.15"/>
    <row r="1665" ht="15" customHeight="1" x14ac:dyDescent="0.15"/>
    <row r="1666" ht="15" customHeight="1" x14ac:dyDescent="0.15"/>
    <row r="1667" ht="15" customHeight="1" x14ac:dyDescent="0.15"/>
    <row r="1668" ht="15" customHeight="1" x14ac:dyDescent="0.15"/>
    <row r="1669" ht="15" customHeight="1" x14ac:dyDescent="0.15"/>
    <row r="1670" ht="15" customHeight="1" x14ac:dyDescent="0.15"/>
    <row r="1671" ht="15" customHeight="1" x14ac:dyDescent="0.15"/>
    <row r="1672" ht="15" customHeight="1" x14ac:dyDescent="0.15"/>
    <row r="1673" ht="15" customHeight="1" x14ac:dyDescent="0.15"/>
    <row r="1674" ht="15" customHeight="1" x14ac:dyDescent="0.15"/>
    <row r="1675" ht="15" customHeight="1" x14ac:dyDescent="0.15"/>
    <row r="1676" ht="15" customHeight="1" x14ac:dyDescent="0.15"/>
    <row r="1677" ht="15" customHeight="1" x14ac:dyDescent="0.15"/>
    <row r="1678" ht="15" customHeight="1" x14ac:dyDescent="0.15"/>
    <row r="1679" ht="15" customHeight="1" x14ac:dyDescent="0.15"/>
    <row r="1680" ht="15" customHeight="1" x14ac:dyDescent="0.15"/>
    <row r="1681" ht="15" customHeight="1" x14ac:dyDescent="0.15"/>
    <row r="1682" ht="15" customHeight="1" x14ac:dyDescent="0.15"/>
    <row r="1683" ht="15" customHeight="1" x14ac:dyDescent="0.15"/>
    <row r="1684" ht="15" customHeight="1" x14ac:dyDescent="0.15"/>
    <row r="1685" ht="15" customHeight="1" x14ac:dyDescent="0.15"/>
    <row r="1686" ht="15" customHeight="1" x14ac:dyDescent="0.15"/>
    <row r="1687" ht="15" customHeight="1" x14ac:dyDescent="0.15"/>
    <row r="1688" ht="15" customHeight="1" x14ac:dyDescent="0.15"/>
    <row r="1689" ht="15" customHeight="1" x14ac:dyDescent="0.15"/>
    <row r="1690" ht="15" customHeight="1" x14ac:dyDescent="0.15"/>
    <row r="1691" ht="15" customHeight="1" x14ac:dyDescent="0.15"/>
    <row r="1692" ht="15" customHeight="1" x14ac:dyDescent="0.15"/>
    <row r="1693" ht="15" customHeight="1" x14ac:dyDescent="0.15"/>
    <row r="1694" ht="15" customHeight="1" x14ac:dyDescent="0.15"/>
    <row r="1695" ht="15" customHeight="1" x14ac:dyDescent="0.15"/>
    <row r="1696" ht="15" customHeight="1" x14ac:dyDescent="0.15"/>
    <row r="1697" ht="15" customHeight="1" x14ac:dyDescent="0.15"/>
    <row r="1698" ht="15" customHeight="1" x14ac:dyDescent="0.15"/>
    <row r="1699" ht="15" customHeight="1" x14ac:dyDescent="0.15"/>
    <row r="1700" ht="15" customHeight="1" x14ac:dyDescent="0.15"/>
    <row r="1701" ht="15" customHeight="1" x14ac:dyDescent="0.15"/>
    <row r="1702" ht="15" customHeight="1" x14ac:dyDescent="0.15"/>
    <row r="1703" ht="15" customHeight="1" x14ac:dyDescent="0.15"/>
    <row r="1704" ht="15" customHeight="1" x14ac:dyDescent="0.15"/>
    <row r="1705" ht="15" customHeight="1" x14ac:dyDescent="0.15"/>
    <row r="1706" ht="15" customHeight="1" x14ac:dyDescent="0.15"/>
    <row r="1707" ht="15" customHeight="1" x14ac:dyDescent="0.15"/>
    <row r="1708" ht="15" customHeight="1" x14ac:dyDescent="0.15"/>
    <row r="1709" ht="15" customHeight="1" x14ac:dyDescent="0.15"/>
    <row r="1710" ht="15" customHeight="1" x14ac:dyDescent="0.15"/>
    <row r="1711" ht="15" customHeight="1" x14ac:dyDescent="0.15"/>
    <row r="1712" ht="15" customHeight="1" x14ac:dyDescent="0.15"/>
    <row r="1713" ht="15" customHeight="1" x14ac:dyDescent="0.15"/>
    <row r="1714" ht="15" customHeight="1" x14ac:dyDescent="0.15"/>
    <row r="1715" ht="15" customHeight="1" x14ac:dyDescent="0.15"/>
    <row r="1716" ht="15" customHeight="1" x14ac:dyDescent="0.15"/>
    <row r="1717" ht="15" customHeight="1" x14ac:dyDescent="0.15"/>
    <row r="1718" ht="15" customHeight="1" x14ac:dyDescent="0.15"/>
    <row r="1719" ht="15" customHeight="1" x14ac:dyDescent="0.15"/>
    <row r="1720" ht="15" customHeight="1" x14ac:dyDescent="0.15"/>
    <row r="1721" ht="15" customHeight="1" x14ac:dyDescent="0.15"/>
    <row r="1722" ht="15" customHeight="1" x14ac:dyDescent="0.15"/>
    <row r="1723" ht="15" customHeight="1" x14ac:dyDescent="0.15"/>
    <row r="1724" ht="15" customHeight="1" x14ac:dyDescent="0.15"/>
    <row r="1725" ht="15" customHeight="1" x14ac:dyDescent="0.15"/>
    <row r="1726" ht="15" customHeight="1" x14ac:dyDescent="0.15"/>
    <row r="1727" ht="15" customHeight="1" x14ac:dyDescent="0.15"/>
    <row r="1728" ht="15" customHeight="1" x14ac:dyDescent="0.15"/>
    <row r="1729" ht="15" customHeight="1" x14ac:dyDescent="0.15"/>
    <row r="1730" ht="15" customHeight="1" x14ac:dyDescent="0.15"/>
    <row r="1731" ht="15" customHeight="1" x14ac:dyDescent="0.15"/>
    <row r="1732" ht="15" customHeight="1" x14ac:dyDescent="0.15"/>
    <row r="1733" ht="15" customHeight="1" x14ac:dyDescent="0.15"/>
    <row r="1734" ht="15" customHeight="1" x14ac:dyDescent="0.15"/>
    <row r="1735" ht="15" customHeight="1" x14ac:dyDescent="0.15"/>
    <row r="1736" ht="15" customHeight="1" x14ac:dyDescent="0.15"/>
    <row r="1737" ht="15" customHeight="1" x14ac:dyDescent="0.15"/>
    <row r="1738" ht="15" customHeight="1" x14ac:dyDescent="0.15"/>
    <row r="1739" ht="15" customHeight="1" x14ac:dyDescent="0.15"/>
    <row r="1740" ht="15" customHeight="1" x14ac:dyDescent="0.15"/>
    <row r="1741" ht="15" customHeight="1" x14ac:dyDescent="0.15"/>
    <row r="1742" ht="15" customHeight="1" x14ac:dyDescent="0.15"/>
    <row r="1743" ht="15" customHeight="1" x14ac:dyDescent="0.15"/>
    <row r="1744" ht="15" customHeight="1" x14ac:dyDescent="0.15"/>
    <row r="1745" ht="15" customHeight="1" x14ac:dyDescent="0.15"/>
    <row r="1746" ht="15" customHeight="1" x14ac:dyDescent="0.15"/>
    <row r="1747" ht="15" customHeight="1" x14ac:dyDescent="0.15"/>
    <row r="1748" ht="15" customHeight="1" x14ac:dyDescent="0.15"/>
    <row r="1749" ht="15" customHeight="1" x14ac:dyDescent="0.15"/>
    <row r="1750" ht="15" customHeight="1" x14ac:dyDescent="0.15"/>
    <row r="1751" ht="15" customHeight="1" x14ac:dyDescent="0.15"/>
    <row r="1752" ht="15" customHeight="1" x14ac:dyDescent="0.15"/>
    <row r="1753" ht="15" customHeight="1" x14ac:dyDescent="0.15"/>
    <row r="1754" ht="15" customHeight="1" x14ac:dyDescent="0.15"/>
    <row r="1755" ht="15" customHeight="1" x14ac:dyDescent="0.15"/>
    <row r="1756" ht="15" customHeight="1" x14ac:dyDescent="0.15"/>
    <row r="1757" ht="15" customHeight="1" x14ac:dyDescent="0.15"/>
    <row r="1758" ht="15" customHeight="1" x14ac:dyDescent="0.15"/>
    <row r="1759" ht="15" customHeight="1" x14ac:dyDescent="0.15"/>
    <row r="1760" ht="15" customHeight="1" x14ac:dyDescent="0.15"/>
    <row r="1761" ht="15" customHeight="1" x14ac:dyDescent="0.15"/>
    <row r="1762" ht="15" customHeight="1" x14ac:dyDescent="0.15"/>
    <row r="1763" ht="15" customHeight="1" x14ac:dyDescent="0.15"/>
    <row r="1764" ht="15" customHeight="1" x14ac:dyDescent="0.15"/>
    <row r="1765" ht="15" customHeight="1" x14ac:dyDescent="0.15"/>
    <row r="1766" ht="15" customHeight="1" x14ac:dyDescent="0.15"/>
    <row r="1767" ht="15" customHeight="1" x14ac:dyDescent="0.15"/>
    <row r="1768" ht="15" customHeight="1" x14ac:dyDescent="0.15"/>
    <row r="1769" ht="15" customHeight="1" x14ac:dyDescent="0.15"/>
    <row r="1770" ht="15" customHeight="1" x14ac:dyDescent="0.15"/>
    <row r="1771" ht="15" customHeight="1" x14ac:dyDescent="0.15"/>
    <row r="1772" ht="15" customHeight="1" x14ac:dyDescent="0.15"/>
    <row r="1773" ht="15" customHeight="1" x14ac:dyDescent="0.15"/>
    <row r="1774" ht="15" customHeight="1" x14ac:dyDescent="0.15"/>
    <row r="1775" ht="15" customHeight="1" x14ac:dyDescent="0.15"/>
    <row r="1776" ht="15" customHeight="1" x14ac:dyDescent="0.15"/>
    <row r="1777" ht="15" customHeight="1" x14ac:dyDescent="0.15"/>
    <row r="1778" ht="15" customHeight="1" x14ac:dyDescent="0.15"/>
    <row r="1779" ht="15" customHeight="1" x14ac:dyDescent="0.15"/>
    <row r="1780" ht="15" customHeight="1" x14ac:dyDescent="0.15"/>
    <row r="1781" ht="15" customHeight="1" x14ac:dyDescent="0.15"/>
    <row r="1782" ht="15" customHeight="1" x14ac:dyDescent="0.15"/>
    <row r="1783" ht="15" customHeight="1" x14ac:dyDescent="0.15"/>
    <row r="1784" ht="15" customHeight="1" x14ac:dyDescent="0.15"/>
    <row r="1785" ht="15" customHeight="1" x14ac:dyDescent="0.15"/>
    <row r="1786" ht="15" customHeight="1" x14ac:dyDescent="0.15"/>
    <row r="1787" ht="15" customHeight="1" x14ac:dyDescent="0.15"/>
    <row r="1788" ht="15" customHeight="1" x14ac:dyDescent="0.15"/>
    <row r="1789" ht="15" customHeight="1" x14ac:dyDescent="0.15"/>
    <row r="1790" ht="15" customHeight="1" x14ac:dyDescent="0.15"/>
    <row r="1791" ht="15" customHeight="1" x14ac:dyDescent="0.15"/>
    <row r="1792" ht="15" customHeight="1" x14ac:dyDescent="0.15"/>
    <row r="1793" ht="15" customHeight="1" x14ac:dyDescent="0.15"/>
    <row r="1794" ht="15" customHeight="1" x14ac:dyDescent="0.15"/>
    <row r="1795" ht="15" customHeight="1" x14ac:dyDescent="0.15"/>
    <row r="1796" ht="15" customHeight="1" x14ac:dyDescent="0.15"/>
    <row r="1797" ht="15" customHeight="1" x14ac:dyDescent="0.15"/>
    <row r="1798" ht="15" customHeight="1" x14ac:dyDescent="0.15"/>
    <row r="1799" ht="15" customHeight="1" x14ac:dyDescent="0.15"/>
    <row r="1800" ht="15" customHeight="1" x14ac:dyDescent="0.15"/>
    <row r="1801" ht="15" customHeight="1" x14ac:dyDescent="0.15"/>
    <row r="1802" ht="15" customHeight="1" x14ac:dyDescent="0.15"/>
    <row r="1803" ht="15" customHeight="1" x14ac:dyDescent="0.15"/>
    <row r="1804" ht="15" customHeight="1" x14ac:dyDescent="0.15"/>
    <row r="1805" ht="15" customHeight="1" x14ac:dyDescent="0.15"/>
    <row r="1806" ht="15" customHeight="1" x14ac:dyDescent="0.15"/>
    <row r="1807" ht="15" customHeight="1" x14ac:dyDescent="0.15"/>
    <row r="1808" ht="15" customHeight="1" x14ac:dyDescent="0.15"/>
    <row r="1809" ht="15" customHeight="1" x14ac:dyDescent="0.15"/>
    <row r="1810" ht="15" customHeight="1" x14ac:dyDescent="0.15"/>
    <row r="1811" ht="15" customHeight="1" x14ac:dyDescent="0.15"/>
    <row r="1812" ht="15" customHeight="1" x14ac:dyDescent="0.15"/>
    <row r="1813" ht="15" customHeight="1" x14ac:dyDescent="0.15"/>
    <row r="1814" ht="15" customHeight="1" x14ac:dyDescent="0.15"/>
    <row r="1815" ht="15" customHeight="1" x14ac:dyDescent="0.15"/>
    <row r="1816" ht="15" customHeight="1" x14ac:dyDescent="0.15"/>
    <row r="1817" ht="15" customHeight="1" x14ac:dyDescent="0.15"/>
    <row r="1818" ht="15" customHeight="1" x14ac:dyDescent="0.15"/>
    <row r="1819" ht="15" customHeight="1" x14ac:dyDescent="0.15"/>
    <row r="1820" ht="15" customHeight="1" x14ac:dyDescent="0.15"/>
    <row r="1821" ht="15" customHeight="1" x14ac:dyDescent="0.15"/>
    <row r="1822" ht="15" customHeight="1" x14ac:dyDescent="0.15"/>
    <row r="1823" ht="15" customHeight="1" x14ac:dyDescent="0.15"/>
    <row r="1824" ht="15" customHeight="1" x14ac:dyDescent="0.15"/>
    <row r="1825" ht="15" customHeight="1" x14ac:dyDescent="0.15"/>
    <row r="1826" ht="15" customHeight="1" x14ac:dyDescent="0.15"/>
    <row r="1827" ht="15" customHeight="1" x14ac:dyDescent="0.15"/>
    <row r="1828" ht="15" customHeight="1" x14ac:dyDescent="0.15"/>
    <row r="1829" ht="15" customHeight="1" x14ac:dyDescent="0.15"/>
    <row r="1830" ht="15" customHeight="1" x14ac:dyDescent="0.15"/>
    <row r="1831" ht="15" customHeight="1" x14ac:dyDescent="0.15"/>
    <row r="1832" ht="15" customHeight="1" x14ac:dyDescent="0.15"/>
    <row r="1833" ht="15" customHeight="1" x14ac:dyDescent="0.15"/>
    <row r="1834" ht="15" customHeight="1" x14ac:dyDescent="0.15"/>
    <row r="1835" ht="15" customHeight="1" x14ac:dyDescent="0.15"/>
    <row r="1836" ht="15" customHeight="1" x14ac:dyDescent="0.15"/>
    <row r="1837" ht="15" customHeight="1" x14ac:dyDescent="0.15"/>
    <row r="1838" ht="15" customHeight="1" x14ac:dyDescent="0.15"/>
    <row r="1839" ht="15" customHeight="1" x14ac:dyDescent="0.15"/>
    <row r="1840" ht="15" customHeight="1" x14ac:dyDescent="0.15"/>
    <row r="1841" ht="15" customHeight="1" x14ac:dyDescent="0.15"/>
    <row r="1842" ht="15" customHeight="1" x14ac:dyDescent="0.15"/>
    <row r="1843" ht="15" customHeight="1" x14ac:dyDescent="0.15"/>
    <row r="1844" ht="15" customHeight="1" x14ac:dyDescent="0.15"/>
    <row r="1845" ht="15" customHeight="1" x14ac:dyDescent="0.15"/>
    <row r="1846" ht="15" customHeight="1" x14ac:dyDescent="0.15"/>
    <row r="1847" ht="15" customHeight="1" x14ac:dyDescent="0.15"/>
    <row r="1848" ht="15" customHeight="1" x14ac:dyDescent="0.15"/>
    <row r="1849" ht="15" customHeight="1" x14ac:dyDescent="0.15"/>
    <row r="1850" ht="15" customHeight="1" x14ac:dyDescent="0.15"/>
    <row r="1851" ht="15" customHeight="1" x14ac:dyDescent="0.15"/>
    <row r="1852" ht="15" customHeight="1" x14ac:dyDescent="0.15"/>
    <row r="1853" ht="15" customHeight="1" x14ac:dyDescent="0.15"/>
    <row r="1854" ht="15" customHeight="1" x14ac:dyDescent="0.15"/>
    <row r="1855" ht="15" customHeight="1" x14ac:dyDescent="0.15"/>
    <row r="1856" ht="15" customHeight="1" x14ac:dyDescent="0.15"/>
    <row r="1857" ht="15" customHeight="1" x14ac:dyDescent="0.15"/>
    <row r="1858" ht="15" customHeight="1" x14ac:dyDescent="0.15"/>
    <row r="1859" ht="15" customHeight="1" x14ac:dyDescent="0.15"/>
    <row r="1860" ht="15" customHeight="1" x14ac:dyDescent="0.15"/>
    <row r="1861" ht="15" customHeight="1" x14ac:dyDescent="0.15"/>
    <row r="1862" ht="15" customHeight="1" x14ac:dyDescent="0.15"/>
    <row r="1863" ht="15" customHeight="1" x14ac:dyDescent="0.15"/>
    <row r="1864" ht="15" customHeight="1" x14ac:dyDescent="0.15"/>
    <row r="1865" ht="15" customHeight="1" x14ac:dyDescent="0.15"/>
    <row r="1866" ht="15" customHeight="1" x14ac:dyDescent="0.15"/>
    <row r="1867" ht="15" customHeight="1" x14ac:dyDescent="0.15"/>
    <row r="1868" ht="15" customHeight="1" x14ac:dyDescent="0.15"/>
    <row r="1869" ht="15" customHeight="1" x14ac:dyDescent="0.15"/>
    <row r="1870" ht="15" customHeight="1" x14ac:dyDescent="0.15"/>
    <row r="1871" ht="15" customHeight="1" x14ac:dyDescent="0.15"/>
    <row r="1872" ht="15" customHeight="1" x14ac:dyDescent="0.15"/>
    <row r="1873" ht="15" customHeight="1" x14ac:dyDescent="0.15"/>
    <row r="1874" ht="15" customHeight="1" x14ac:dyDescent="0.15"/>
    <row r="1875" ht="15" customHeight="1" x14ac:dyDescent="0.15"/>
    <row r="1876" ht="15" customHeight="1" x14ac:dyDescent="0.15"/>
    <row r="1877" ht="15" customHeight="1" x14ac:dyDescent="0.15"/>
    <row r="1878" ht="15" customHeight="1" x14ac:dyDescent="0.15"/>
    <row r="1879" ht="15" customHeight="1" x14ac:dyDescent="0.15"/>
    <row r="1880" ht="15" customHeight="1" x14ac:dyDescent="0.15"/>
    <row r="1881" ht="15" customHeight="1" x14ac:dyDescent="0.15"/>
    <row r="1882" ht="15" customHeight="1" x14ac:dyDescent="0.15"/>
    <row r="1883" ht="15" customHeight="1" x14ac:dyDescent="0.15"/>
    <row r="1884" ht="15" customHeight="1" x14ac:dyDescent="0.15"/>
    <row r="1885" ht="15" customHeight="1" x14ac:dyDescent="0.15"/>
    <row r="1886" ht="15" customHeight="1" x14ac:dyDescent="0.15"/>
    <row r="1887" ht="15" customHeight="1" x14ac:dyDescent="0.15"/>
    <row r="1888" ht="15" customHeight="1" x14ac:dyDescent="0.15"/>
    <row r="1889" ht="15" customHeight="1" x14ac:dyDescent="0.15"/>
    <row r="1890" ht="15" customHeight="1" x14ac:dyDescent="0.15"/>
    <row r="1891" ht="15" customHeight="1" x14ac:dyDescent="0.15"/>
    <row r="1892" ht="15" customHeight="1" x14ac:dyDescent="0.15"/>
    <row r="1893" ht="15" customHeight="1" x14ac:dyDescent="0.15"/>
    <row r="1894" ht="15" customHeight="1" x14ac:dyDescent="0.15"/>
    <row r="1895" ht="15" customHeight="1" x14ac:dyDescent="0.15"/>
    <row r="1896" ht="15" customHeight="1" x14ac:dyDescent="0.15"/>
    <row r="1897" ht="15" customHeight="1" x14ac:dyDescent="0.15"/>
    <row r="1898" ht="15" customHeight="1" x14ac:dyDescent="0.15"/>
    <row r="1899" ht="15" customHeight="1" x14ac:dyDescent="0.15"/>
    <row r="1900" ht="15" customHeight="1" x14ac:dyDescent="0.15"/>
    <row r="1901" ht="15" customHeight="1" x14ac:dyDescent="0.15"/>
    <row r="1902" ht="15" customHeight="1" x14ac:dyDescent="0.15"/>
    <row r="1903" ht="15" customHeight="1" x14ac:dyDescent="0.15"/>
    <row r="1904" ht="15" customHeight="1" x14ac:dyDescent="0.15"/>
    <row r="1905" ht="15" customHeight="1" x14ac:dyDescent="0.15"/>
    <row r="1906" ht="15" customHeight="1" x14ac:dyDescent="0.15"/>
    <row r="1907" ht="15" customHeight="1" x14ac:dyDescent="0.15"/>
    <row r="1908" ht="15" customHeight="1" x14ac:dyDescent="0.15"/>
    <row r="1909" ht="15" customHeight="1" x14ac:dyDescent="0.15"/>
    <row r="1910" ht="15" customHeight="1" x14ac:dyDescent="0.15"/>
    <row r="1911" ht="15" customHeight="1" x14ac:dyDescent="0.15"/>
    <row r="1912" ht="15" customHeight="1" x14ac:dyDescent="0.15"/>
    <row r="1913" ht="15" customHeight="1" x14ac:dyDescent="0.15"/>
    <row r="1914" ht="15" customHeight="1" x14ac:dyDescent="0.15"/>
    <row r="1915" ht="15" customHeight="1" x14ac:dyDescent="0.15"/>
    <row r="1916" ht="15" customHeight="1" x14ac:dyDescent="0.15"/>
    <row r="1917" ht="15" customHeight="1" x14ac:dyDescent="0.15"/>
    <row r="1918" ht="15" customHeight="1" x14ac:dyDescent="0.15"/>
    <row r="1919" ht="15" customHeight="1" x14ac:dyDescent="0.15"/>
    <row r="1920" ht="15" customHeight="1" x14ac:dyDescent="0.15"/>
    <row r="1921" ht="15" customHeight="1" x14ac:dyDescent="0.15"/>
    <row r="1922" ht="15" customHeight="1" x14ac:dyDescent="0.15"/>
    <row r="1923" ht="15" customHeight="1" x14ac:dyDescent="0.15"/>
    <row r="1924" ht="15" customHeight="1" x14ac:dyDescent="0.15"/>
    <row r="1925" ht="15" customHeight="1" x14ac:dyDescent="0.15"/>
    <row r="1926" ht="15" customHeight="1" x14ac:dyDescent="0.15"/>
    <row r="1927" ht="15" customHeight="1" x14ac:dyDescent="0.15"/>
    <row r="1928" ht="15" customHeight="1" x14ac:dyDescent="0.15"/>
    <row r="1929" ht="15" customHeight="1" x14ac:dyDescent="0.15"/>
    <row r="1930" ht="15" customHeight="1" x14ac:dyDescent="0.15"/>
    <row r="1931" ht="15" customHeight="1" x14ac:dyDescent="0.15"/>
    <row r="1932" ht="15" customHeight="1" x14ac:dyDescent="0.15"/>
    <row r="1933" ht="15" customHeight="1" x14ac:dyDescent="0.15"/>
    <row r="1934" ht="15" customHeight="1" x14ac:dyDescent="0.15"/>
    <row r="1935" ht="15" customHeight="1" x14ac:dyDescent="0.15"/>
    <row r="1936" ht="15" customHeight="1" x14ac:dyDescent="0.15"/>
    <row r="1937" ht="15" customHeight="1" x14ac:dyDescent="0.15"/>
    <row r="1938" ht="15" customHeight="1" x14ac:dyDescent="0.15"/>
    <row r="1939" ht="15" customHeight="1" x14ac:dyDescent="0.15"/>
    <row r="1940" ht="15" customHeight="1" x14ac:dyDescent="0.15"/>
    <row r="1941" ht="15" customHeight="1" x14ac:dyDescent="0.15"/>
    <row r="1942" ht="15" customHeight="1" x14ac:dyDescent="0.15"/>
    <row r="1943" ht="15" customHeight="1" x14ac:dyDescent="0.15"/>
    <row r="1944" ht="15" customHeight="1" x14ac:dyDescent="0.15"/>
    <row r="1945" ht="15" customHeight="1" x14ac:dyDescent="0.15"/>
    <row r="1946" ht="15" customHeight="1" x14ac:dyDescent="0.15"/>
    <row r="1947" ht="15" customHeight="1" x14ac:dyDescent="0.15"/>
    <row r="1948" ht="15" customHeight="1" x14ac:dyDescent="0.15"/>
    <row r="1949" ht="15" customHeight="1" x14ac:dyDescent="0.15"/>
    <row r="1950" ht="15" customHeight="1" x14ac:dyDescent="0.15"/>
    <row r="1951" ht="15" customHeight="1" x14ac:dyDescent="0.15"/>
    <row r="1952" ht="15" customHeight="1" x14ac:dyDescent="0.15"/>
    <row r="1953" ht="15" customHeight="1" x14ac:dyDescent="0.15"/>
    <row r="1954" ht="15" customHeight="1" x14ac:dyDescent="0.15"/>
    <row r="1955" ht="15" customHeight="1" x14ac:dyDescent="0.15"/>
    <row r="1956" ht="15" customHeight="1" x14ac:dyDescent="0.15"/>
    <row r="1957" ht="15" customHeight="1" x14ac:dyDescent="0.15"/>
    <row r="1958" ht="15" customHeight="1" x14ac:dyDescent="0.15"/>
    <row r="1959" ht="15" customHeight="1" x14ac:dyDescent="0.15"/>
    <row r="1960" ht="15" customHeight="1" x14ac:dyDescent="0.15"/>
    <row r="1961" ht="15" customHeight="1" x14ac:dyDescent="0.15"/>
    <row r="1962" ht="15" customHeight="1" x14ac:dyDescent="0.15"/>
    <row r="1963" ht="15" customHeight="1" x14ac:dyDescent="0.15"/>
    <row r="1964" ht="15" customHeight="1" x14ac:dyDescent="0.15"/>
    <row r="1965" ht="15" customHeight="1" x14ac:dyDescent="0.15"/>
    <row r="1966" ht="15" customHeight="1" x14ac:dyDescent="0.15"/>
    <row r="1967" ht="15" customHeight="1" x14ac:dyDescent="0.15"/>
    <row r="1968" ht="15" customHeight="1" x14ac:dyDescent="0.15"/>
    <row r="1969" ht="15" customHeight="1" x14ac:dyDescent="0.15"/>
    <row r="1970" ht="15" customHeight="1" x14ac:dyDescent="0.15"/>
    <row r="1971" ht="15" customHeight="1" x14ac:dyDescent="0.15"/>
    <row r="1972" ht="15" customHeight="1" x14ac:dyDescent="0.15"/>
    <row r="1973" ht="15" customHeight="1" x14ac:dyDescent="0.15"/>
    <row r="1974" ht="15" customHeight="1" x14ac:dyDescent="0.15"/>
    <row r="1975" ht="15" customHeight="1" x14ac:dyDescent="0.15"/>
    <row r="1976" ht="15" customHeight="1" x14ac:dyDescent="0.15"/>
    <row r="1977" ht="15" customHeight="1" x14ac:dyDescent="0.15"/>
    <row r="1978" ht="15" customHeight="1" x14ac:dyDescent="0.15"/>
    <row r="1979" ht="15" customHeight="1" x14ac:dyDescent="0.15"/>
    <row r="1980" ht="15" customHeight="1" x14ac:dyDescent="0.15"/>
    <row r="1981" ht="15" customHeight="1" x14ac:dyDescent="0.15"/>
    <row r="1982" ht="15" customHeight="1" x14ac:dyDescent="0.15"/>
    <row r="1983" ht="15" customHeight="1" x14ac:dyDescent="0.15"/>
    <row r="1984" ht="15" customHeight="1" x14ac:dyDescent="0.15"/>
    <row r="1985" ht="15" customHeight="1" x14ac:dyDescent="0.15"/>
    <row r="1986" ht="15" customHeight="1" x14ac:dyDescent="0.15"/>
    <row r="1987" ht="15" customHeight="1" x14ac:dyDescent="0.15"/>
    <row r="1988" ht="15" customHeight="1" x14ac:dyDescent="0.15"/>
    <row r="1989" ht="15" customHeight="1" x14ac:dyDescent="0.15"/>
    <row r="1990" ht="15" customHeight="1" x14ac:dyDescent="0.15"/>
    <row r="1991" ht="15" customHeight="1" x14ac:dyDescent="0.15"/>
    <row r="1992" ht="15" customHeight="1" x14ac:dyDescent="0.15"/>
    <row r="1993" ht="15" customHeight="1" x14ac:dyDescent="0.15"/>
    <row r="1994" ht="15" customHeight="1" x14ac:dyDescent="0.15"/>
    <row r="1995" ht="15" customHeight="1" x14ac:dyDescent="0.15"/>
    <row r="1996" ht="15" customHeight="1" x14ac:dyDescent="0.15"/>
    <row r="1997" ht="15" customHeight="1" x14ac:dyDescent="0.15"/>
    <row r="1998" ht="15" customHeight="1" x14ac:dyDescent="0.15"/>
    <row r="1999" ht="15" customHeight="1" x14ac:dyDescent="0.15"/>
    <row r="2000" ht="15" customHeight="1" x14ac:dyDescent="0.15"/>
    <row r="2001" ht="15" customHeight="1" x14ac:dyDescent="0.15"/>
    <row r="2002" ht="15" customHeight="1" x14ac:dyDescent="0.15"/>
    <row r="2003" ht="15" customHeight="1" x14ac:dyDescent="0.15"/>
    <row r="2004" ht="15" customHeight="1" x14ac:dyDescent="0.15"/>
    <row r="2005" ht="15" customHeight="1" x14ac:dyDescent="0.15"/>
    <row r="2006" ht="15" customHeight="1" x14ac:dyDescent="0.15"/>
    <row r="2007" ht="15" customHeight="1" x14ac:dyDescent="0.15"/>
    <row r="2008" ht="15" customHeight="1" x14ac:dyDescent="0.15"/>
    <row r="2009" ht="15" customHeight="1" x14ac:dyDescent="0.15"/>
    <row r="2010" ht="15" customHeight="1" x14ac:dyDescent="0.15"/>
    <row r="2011" ht="15" customHeight="1" x14ac:dyDescent="0.15"/>
    <row r="2012" ht="15" customHeight="1" x14ac:dyDescent="0.15"/>
    <row r="2013" ht="15" customHeight="1" x14ac:dyDescent="0.15"/>
    <row r="2014" ht="15" customHeight="1" x14ac:dyDescent="0.15"/>
    <row r="2015" ht="15" customHeight="1" x14ac:dyDescent="0.15"/>
    <row r="2016" ht="15" customHeight="1" x14ac:dyDescent="0.15"/>
    <row r="2017" ht="15" customHeight="1" x14ac:dyDescent="0.15"/>
    <row r="2018" ht="15" customHeight="1" x14ac:dyDescent="0.15"/>
    <row r="2019" ht="15" customHeight="1" x14ac:dyDescent="0.15"/>
    <row r="2020" ht="15" customHeight="1" x14ac:dyDescent="0.15"/>
    <row r="2021" ht="15" customHeight="1" x14ac:dyDescent="0.15"/>
    <row r="2022" ht="15" customHeight="1" x14ac:dyDescent="0.15"/>
    <row r="2023" ht="15" customHeight="1" x14ac:dyDescent="0.15"/>
    <row r="2024" ht="15" customHeight="1" x14ac:dyDescent="0.15"/>
    <row r="2025" ht="15" customHeight="1" x14ac:dyDescent="0.15"/>
    <row r="2026" ht="15" customHeight="1" x14ac:dyDescent="0.15"/>
    <row r="2027" ht="15" customHeight="1" x14ac:dyDescent="0.15"/>
    <row r="2028" ht="15" customHeight="1" x14ac:dyDescent="0.15"/>
    <row r="2029" ht="15" customHeight="1" x14ac:dyDescent="0.15"/>
    <row r="2030" ht="15" customHeight="1" x14ac:dyDescent="0.15"/>
    <row r="2031" ht="15" customHeight="1" x14ac:dyDescent="0.15"/>
    <row r="2032" ht="15" customHeight="1" x14ac:dyDescent="0.15"/>
    <row r="2033" ht="15" customHeight="1" x14ac:dyDescent="0.15"/>
    <row r="2034" ht="15" customHeight="1" x14ac:dyDescent="0.15"/>
    <row r="2035" ht="15" customHeight="1" x14ac:dyDescent="0.15"/>
    <row r="2036" ht="15" customHeight="1" x14ac:dyDescent="0.15"/>
    <row r="2037" ht="15" customHeight="1" x14ac:dyDescent="0.15"/>
    <row r="2038" ht="15" customHeight="1" x14ac:dyDescent="0.15"/>
    <row r="2039" ht="15" customHeight="1" x14ac:dyDescent="0.15"/>
    <row r="2040" ht="15" customHeight="1" x14ac:dyDescent="0.15"/>
    <row r="2041" ht="15" customHeight="1" x14ac:dyDescent="0.15"/>
    <row r="2042" ht="15" customHeight="1" x14ac:dyDescent="0.15"/>
    <row r="2043" ht="15" customHeight="1" x14ac:dyDescent="0.15"/>
    <row r="2044" ht="15" customHeight="1" x14ac:dyDescent="0.15"/>
    <row r="2045" ht="15" customHeight="1" x14ac:dyDescent="0.15"/>
    <row r="2046" ht="15" customHeight="1" x14ac:dyDescent="0.15"/>
    <row r="2047" ht="15" customHeight="1" x14ac:dyDescent="0.15"/>
    <row r="2048" ht="15" customHeight="1" x14ac:dyDescent="0.15"/>
    <row r="2049" ht="15" customHeight="1" x14ac:dyDescent="0.15"/>
    <row r="2050" ht="15" customHeight="1" x14ac:dyDescent="0.15"/>
    <row r="2051" ht="15" customHeight="1" x14ac:dyDescent="0.15"/>
    <row r="2052" ht="15" customHeight="1" x14ac:dyDescent="0.15"/>
    <row r="2053" ht="15" customHeight="1" x14ac:dyDescent="0.15"/>
    <row r="2054" ht="15" customHeight="1" x14ac:dyDescent="0.15"/>
    <row r="2055" ht="15" customHeight="1" x14ac:dyDescent="0.15"/>
    <row r="2056" ht="15" customHeight="1" x14ac:dyDescent="0.15"/>
    <row r="2057" ht="15" customHeight="1" x14ac:dyDescent="0.15"/>
    <row r="2058" ht="15" customHeight="1" x14ac:dyDescent="0.15"/>
    <row r="2059" ht="15" customHeight="1" x14ac:dyDescent="0.15"/>
    <row r="2060" ht="15" customHeight="1" x14ac:dyDescent="0.15"/>
    <row r="2061" ht="15" customHeight="1" x14ac:dyDescent="0.15"/>
    <row r="2062" ht="15" customHeight="1" x14ac:dyDescent="0.15"/>
    <row r="2063" ht="15" customHeight="1" x14ac:dyDescent="0.15"/>
    <row r="2064" ht="15" customHeight="1" x14ac:dyDescent="0.15"/>
    <row r="2065" ht="15" customHeight="1" x14ac:dyDescent="0.15"/>
    <row r="2066" ht="15" customHeight="1" x14ac:dyDescent="0.15"/>
    <row r="2067" ht="15" customHeight="1" x14ac:dyDescent="0.15"/>
    <row r="2068" ht="15" customHeight="1" x14ac:dyDescent="0.15"/>
    <row r="2069" ht="15" customHeight="1" x14ac:dyDescent="0.15"/>
    <row r="2070" ht="15" customHeight="1" x14ac:dyDescent="0.15"/>
    <row r="2071" ht="15" customHeight="1" x14ac:dyDescent="0.15"/>
    <row r="2072" ht="15" customHeight="1" x14ac:dyDescent="0.15"/>
    <row r="2073" ht="15" customHeight="1" x14ac:dyDescent="0.15"/>
    <row r="2074" ht="15" customHeight="1" x14ac:dyDescent="0.15"/>
    <row r="2075" ht="15" customHeight="1" x14ac:dyDescent="0.15"/>
    <row r="2076" ht="15" customHeight="1" x14ac:dyDescent="0.15"/>
    <row r="2077" ht="15" customHeight="1" x14ac:dyDescent="0.15"/>
    <row r="2078" ht="15" customHeight="1" x14ac:dyDescent="0.15"/>
    <row r="2079" ht="15" customHeight="1" x14ac:dyDescent="0.15"/>
    <row r="2080" ht="15" customHeight="1" x14ac:dyDescent="0.15"/>
    <row r="2081" ht="15" customHeight="1" x14ac:dyDescent="0.15"/>
    <row r="2082" ht="15" customHeight="1" x14ac:dyDescent="0.15"/>
    <row r="2083" ht="15" customHeight="1" x14ac:dyDescent="0.15"/>
    <row r="2084" ht="15" customHeight="1" x14ac:dyDescent="0.15"/>
    <row r="2085" ht="15" customHeight="1" x14ac:dyDescent="0.15"/>
    <row r="2086" ht="15" customHeight="1" x14ac:dyDescent="0.15"/>
    <row r="2087" ht="15" customHeight="1" x14ac:dyDescent="0.15"/>
    <row r="2088" ht="15" customHeight="1" x14ac:dyDescent="0.15"/>
    <row r="2089" ht="15" customHeight="1" x14ac:dyDescent="0.15"/>
    <row r="2090" ht="15" customHeight="1" x14ac:dyDescent="0.15"/>
    <row r="2091" ht="15" customHeight="1" x14ac:dyDescent="0.15"/>
    <row r="2092" ht="15" customHeight="1" x14ac:dyDescent="0.15"/>
    <row r="2093" ht="15" customHeight="1" x14ac:dyDescent="0.15"/>
    <row r="2094" ht="15" customHeight="1" x14ac:dyDescent="0.15"/>
    <row r="2095" ht="15" customHeight="1" x14ac:dyDescent="0.15"/>
    <row r="2096" ht="15" customHeight="1" x14ac:dyDescent="0.15"/>
    <row r="2097" ht="15" customHeight="1" x14ac:dyDescent="0.15"/>
    <row r="2098" ht="15" customHeight="1" x14ac:dyDescent="0.15"/>
    <row r="2099" ht="15" customHeight="1" x14ac:dyDescent="0.15"/>
    <row r="2100" ht="15" customHeight="1" x14ac:dyDescent="0.15"/>
    <row r="2101" ht="15" customHeight="1" x14ac:dyDescent="0.15"/>
    <row r="2102" ht="15" customHeight="1" x14ac:dyDescent="0.15"/>
    <row r="2103" ht="15" customHeight="1" x14ac:dyDescent="0.15"/>
    <row r="2104" ht="15" customHeight="1" x14ac:dyDescent="0.15"/>
    <row r="2105" ht="15" customHeight="1" x14ac:dyDescent="0.15"/>
    <row r="2106" ht="15" customHeight="1" x14ac:dyDescent="0.15"/>
    <row r="2107" ht="15" customHeight="1" x14ac:dyDescent="0.15"/>
    <row r="2108" ht="15" customHeight="1" x14ac:dyDescent="0.15"/>
    <row r="2109" ht="15" customHeight="1" x14ac:dyDescent="0.15"/>
    <row r="2110" ht="15" customHeight="1" x14ac:dyDescent="0.15"/>
    <row r="2111" ht="15" customHeight="1" x14ac:dyDescent="0.15"/>
    <row r="2112" ht="15" customHeight="1" x14ac:dyDescent="0.15"/>
    <row r="2113" ht="15" customHeight="1" x14ac:dyDescent="0.15"/>
    <row r="2114" ht="15" customHeight="1" x14ac:dyDescent="0.15"/>
    <row r="2115" ht="15" customHeight="1" x14ac:dyDescent="0.15"/>
    <row r="2116" ht="15" customHeight="1" x14ac:dyDescent="0.15"/>
    <row r="2117" ht="15" customHeight="1" x14ac:dyDescent="0.15"/>
    <row r="2118" ht="15" customHeight="1" x14ac:dyDescent="0.15"/>
    <row r="2119" ht="15" customHeight="1" x14ac:dyDescent="0.15"/>
    <row r="2120" ht="15" customHeight="1" x14ac:dyDescent="0.15"/>
    <row r="2121" ht="15" customHeight="1" x14ac:dyDescent="0.15"/>
    <row r="2122" ht="15" customHeight="1" x14ac:dyDescent="0.15"/>
    <row r="2123" ht="15" customHeight="1" x14ac:dyDescent="0.15"/>
    <row r="2124" ht="15" customHeight="1" x14ac:dyDescent="0.15"/>
    <row r="2125" ht="15" customHeight="1" x14ac:dyDescent="0.15"/>
    <row r="2126" ht="15" customHeight="1" x14ac:dyDescent="0.15"/>
    <row r="2127" ht="15" customHeight="1" x14ac:dyDescent="0.15"/>
    <row r="2128" ht="15" customHeight="1" x14ac:dyDescent="0.15"/>
    <row r="2129" ht="15" customHeight="1" x14ac:dyDescent="0.15"/>
    <row r="2130" ht="15" customHeight="1" x14ac:dyDescent="0.15"/>
    <row r="2131" ht="15" customHeight="1" x14ac:dyDescent="0.15"/>
    <row r="2132" ht="15" customHeight="1" x14ac:dyDescent="0.15"/>
    <row r="2133" ht="15" customHeight="1" x14ac:dyDescent="0.15"/>
    <row r="2134" ht="15" customHeight="1" x14ac:dyDescent="0.15"/>
    <row r="2135" ht="15" customHeight="1" x14ac:dyDescent="0.15"/>
    <row r="2136" ht="15" customHeight="1" x14ac:dyDescent="0.15"/>
    <row r="2137" ht="15" customHeight="1" x14ac:dyDescent="0.15"/>
    <row r="2138" ht="15" customHeight="1" x14ac:dyDescent="0.15"/>
    <row r="2139" ht="15" customHeight="1" x14ac:dyDescent="0.15"/>
    <row r="2140" ht="15" customHeight="1" x14ac:dyDescent="0.15"/>
    <row r="2141" ht="15" customHeight="1" x14ac:dyDescent="0.15"/>
    <row r="2142" ht="15" customHeight="1" x14ac:dyDescent="0.15"/>
    <row r="2143" ht="15" customHeight="1" x14ac:dyDescent="0.15"/>
    <row r="2144" ht="15" customHeight="1" x14ac:dyDescent="0.15"/>
    <row r="2145" ht="15" customHeight="1" x14ac:dyDescent="0.15"/>
    <row r="2146" ht="15" customHeight="1" x14ac:dyDescent="0.15"/>
    <row r="2147" ht="15" customHeight="1" x14ac:dyDescent="0.15"/>
    <row r="2148" ht="15" customHeight="1" x14ac:dyDescent="0.15"/>
    <row r="2149" ht="15" customHeight="1" x14ac:dyDescent="0.15"/>
    <row r="2150" ht="15" customHeight="1" x14ac:dyDescent="0.15"/>
    <row r="2151" ht="15" customHeight="1" x14ac:dyDescent="0.15"/>
    <row r="2152" ht="15" customHeight="1" x14ac:dyDescent="0.15"/>
    <row r="2153" ht="15" customHeight="1" x14ac:dyDescent="0.15"/>
    <row r="2154" ht="15" customHeight="1" x14ac:dyDescent="0.15"/>
    <row r="2155" ht="15" customHeight="1" x14ac:dyDescent="0.15"/>
    <row r="2156" ht="15" customHeight="1" x14ac:dyDescent="0.15"/>
    <row r="2157" ht="15" customHeight="1" x14ac:dyDescent="0.15"/>
    <row r="2158" ht="15" customHeight="1" x14ac:dyDescent="0.15"/>
    <row r="2159" ht="15" customHeight="1" x14ac:dyDescent="0.15"/>
    <row r="2160" ht="15" customHeight="1" x14ac:dyDescent="0.15"/>
    <row r="2161" ht="15" customHeight="1" x14ac:dyDescent="0.15"/>
    <row r="2162" ht="15" customHeight="1" x14ac:dyDescent="0.15"/>
    <row r="2163" ht="15" customHeight="1" x14ac:dyDescent="0.15"/>
    <row r="2164" ht="15" customHeight="1" x14ac:dyDescent="0.15"/>
    <row r="2165" ht="15" customHeight="1" x14ac:dyDescent="0.15"/>
    <row r="2166" ht="15" customHeight="1" x14ac:dyDescent="0.15"/>
    <row r="2167" ht="15" customHeight="1" x14ac:dyDescent="0.15"/>
    <row r="2168" ht="15" customHeight="1" x14ac:dyDescent="0.15"/>
    <row r="2169" ht="15" customHeight="1" x14ac:dyDescent="0.15"/>
    <row r="2170" ht="15" customHeight="1" x14ac:dyDescent="0.15"/>
    <row r="2171" ht="15" customHeight="1" x14ac:dyDescent="0.15"/>
    <row r="2172" ht="15" customHeight="1" x14ac:dyDescent="0.15"/>
    <row r="2173" ht="15" customHeight="1" x14ac:dyDescent="0.15"/>
    <row r="2174" ht="15" customHeight="1" x14ac:dyDescent="0.15"/>
    <row r="2175" ht="15" customHeight="1" x14ac:dyDescent="0.15"/>
    <row r="2176" ht="15" customHeight="1" x14ac:dyDescent="0.15"/>
    <row r="2177" ht="15" customHeight="1" x14ac:dyDescent="0.15"/>
    <row r="2178" ht="15" customHeight="1" x14ac:dyDescent="0.15"/>
    <row r="2179" ht="15" customHeight="1" x14ac:dyDescent="0.15"/>
    <row r="2180" ht="15" customHeight="1" x14ac:dyDescent="0.15"/>
    <row r="2181" ht="15" customHeight="1" x14ac:dyDescent="0.15"/>
    <row r="2182" ht="15" customHeight="1" x14ac:dyDescent="0.15"/>
    <row r="2183" ht="15" customHeight="1" x14ac:dyDescent="0.15"/>
    <row r="2184" ht="15" customHeight="1" x14ac:dyDescent="0.15"/>
    <row r="2185" ht="15" customHeight="1" x14ac:dyDescent="0.15"/>
    <row r="2186" ht="15" customHeight="1" x14ac:dyDescent="0.15"/>
    <row r="2187" ht="15" customHeight="1" x14ac:dyDescent="0.15"/>
    <row r="2188" ht="15" customHeight="1" x14ac:dyDescent="0.15"/>
    <row r="2189" ht="15" customHeight="1" x14ac:dyDescent="0.15"/>
    <row r="2190" ht="15" customHeight="1" x14ac:dyDescent="0.15"/>
    <row r="2191" ht="15" customHeight="1" x14ac:dyDescent="0.15"/>
    <row r="2192" ht="15" customHeight="1" x14ac:dyDescent="0.15"/>
    <row r="2193" ht="15" customHeight="1" x14ac:dyDescent="0.15"/>
    <row r="2194" ht="15" customHeight="1" x14ac:dyDescent="0.15"/>
    <row r="2195" ht="15" customHeight="1" x14ac:dyDescent="0.15"/>
    <row r="2196" ht="15" customHeight="1" x14ac:dyDescent="0.15"/>
    <row r="2197" ht="15" customHeight="1" x14ac:dyDescent="0.15"/>
    <row r="2198" ht="15" customHeight="1" x14ac:dyDescent="0.15"/>
    <row r="2199" ht="15" customHeight="1" x14ac:dyDescent="0.15"/>
    <row r="2200" ht="15" customHeight="1" x14ac:dyDescent="0.15"/>
    <row r="2201" ht="15" customHeight="1" x14ac:dyDescent="0.15"/>
    <row r="2202" ht="15" customHeight="1" x14ac:dyDescent="0.15"/>
    <row r="2203" ht="15" customHeight="1" x14ac:dyDescent="0.15"/>
    <row r="2204" ht="15" customHeight="1" x14ac:dyDescent="0.15"/>
    <row r="2205" ht="15" customHeight="1" x14ac:dyDescent="0.15"/>
    <row r="2206" ht="15" customHeight="1" x14ac:dyDescent="0.15"/>
    <row r="2207" ht="15" customHeight="1" x14ac:dyDescent="0.15"/>
    <row r="2208" ht="15" customHeight="1" x14ac:dyDescent="0.15"/>
    <row r="2209" ht="15" customHeight="1" x14ac:dyDescent="0.15"/>
    <row r="2210" ht="15" customHeight="1" x14ac:dyDescent="0.15"/>
    <row r="2211" ht="15" customHeight="1" x14ac:dyDescent="0.15"/>
    <row r="2212" ht="15" customHeight="1" x14ac:dyDescent="0.15"/>
    <row r="2213" ht="15" customHeight="1" x14ac:dyDescent="0.15"/>
    <row r="2214" ht="15" customHeight="1" x14ac:dyDescent="0.15"/>
    <row r="2215" ht="15" customHeight="1" x14ac:dyDescent="0.15"/>
    <row r="2216" ht="15" customHeight="1" x14ac:dyDescent="0.15"/>
    <row r="2217" ht="15" customHeight="1" x14ac:dyDescent="0.15"/>
    <row r="2218" ht="15" customHeight="1" x14ac:dyDescent="0.15"/>
    <row r="2219" ht="15" customHeight="1" x14ac:dyDescent="0.15"/>
    <row r="2220" ht="15" customHeight="1" x14ac:dyDescent="0.15"/>
    <row r="2221" ht="15" customHeight="1" x14ac:dyDescent="0.15"/>
    <row r="2222" ht="15" customHeight="1" x14ac:dyDescent="0.15"/>
    <row r="2223" ht="15" customHeight="1" x14ac:dyDescent="0.15"/>
    <row r="2224" ht="15" customHeight="1" x14ac:dyDescent="0.15"/>
    <row r="2225" ht="15" customHeight="1" x14ac:dyDescent="0.15"/>
    <row r="2226" ht="15" customHeight="1" x14ac:dyDescent="0.15"/>
    <row r="2227" ht="15" customHeight="1" x14ac:dyDescent="0.15"/>
    <row r="2228" ht="15" customHeight="1" x14ac:dyDescent="0.15"/>
    <row r="2229" ht="15" customHeight="1" x14ac:dyDescent="0.15"/>
    <row r="2230" ht="15" customHeight="1" x14ac:dyDescent="0.15"/>
    <row r="2231" ht="15" customHeight="1" x14ac:dyDescent="0.15"/>
    <row r="2232" ht="15" customHeight="1" x14ac:dyDescent="0.15"/>
    <row r="2233" ht="15" customHeight="1" x14ac:dyDescent="0.15"/>
    <row r="2234" ht="15" customHeight="1" x14ac:dyDescent="0.15"/>
    <row r="2235" ht="15" customHeight="1" x14ac:dyDescent="0.15"/>
    <row r="2236" ht="15" customHeight="1" x14ac:dyDescent="0.15"/>
    <row r="2237" ht="15" customHeight="1" x14ac:dyDescent="0.15"/>
    <row r="2238" ht="15" customHeight="1" x14ac:dyDescent="0.15"/>
    <row r="2239" ht="15" customHeight="1" x14ac:dyDescent="0.15"/>
    <row r="2240" ht="15" customHeight="1" x14ac:dyDescent="0.15"/>
    <row r="2241" ht="15" customHeight="1" x14ac:dyDescent="0.15"/>
    <row r="2242" ht="15" customHeight="1" x14ac:dyDescent="0.15"/>
    <row r="2243" ht="15" customHeight="1" x14ac:dyDescent="0.15"/>
    <row r="2244" ht="15" customHeight="1" x14ac:dyDescent="0.15"/>
    <row r="2245" ht="15" customHeight="1" x14ac:dyDescent="0.15"/>
    <row r="2246" ht="15" customHeight="1" x14ac:dyDescent="0.15"/>
    <row r="2247" ht="15" customHeight="1" x14ac:dyDescent="0.15"/>
  </sheetData>
  <mergeCells count="29">
    <mergeCell ref="E85:F86"/>
    <mergeCell ref="N85:O86"/>
    <mergeCell ref="I86:I87"/>
    <mergeCell ref="K86:L87"/>
    <mergeCell ref="T86:T87"/>
    <mergeCell ref="N87:O87"/>
    <mergeCell ref="P84:P87"/>
    <mergeCell ref="Q84:R87"/>
    <mergeCell ref="S84:S87"/>
    <mergeCell ref="T84:T85"/>
    <mergeCell ref="S74:Y75"/>
    <mergeCell ref="Q75:R76"/>
    <mergeCell ref="L76:M76"/>
    <mergeCell ref="O76:P76"/>
    <mergeCell ref="G84:H87"/>
    <mergeCell ref="I84:I85"/>
    <mergeCell ref="J84:J87"/>
    <mergeCell ref="K84:L85"/>
    <mergeCell ref="M84:M87"/>
    <mergeCell ref="N84:O84"/>
    <mergeCell ref="U84:U87"/>
    <mergeCell ref="L73:M73"/>
    <mergeCell ref="O73:P73"/>
    <mergeCell ref="Q73:R74"/>
    <mergeCell ref="J74:K75"/>
    <mergeCell ref="L74:L75"/>
    <mergeCell ref="M74:M75"/>
    <mergeCell ref="N74:N75"/>
    <mergeCell ref="O74:P75"/>
  </mergeCells>
  <phoneticPr fontId="2"/>
  <pageMargins left="0.7" right="0.7" top="0.75" bottom="0.75" header="0.3" footer="0.3"/>
  <pageSetup paperSize="9" orientation="portrait" verticalDpi="300" r:id="rId1"/>
  <headerFooter alignWithMargins="0"/>
  <rowBreaks count="1" manualBreakCount="1">
    <brk id="15" max="30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列車荷重Sheet"/>
  <dimension ref="A1:BK2752"/>
  <sheetViews>
    <sheetView view="pageBreakPreview" topLeftCell="A125" zoomScaleNormal="145" zoomScaleSheetLayoutView="100" workbookViewId="0">
      <selection activeCell="M116" sqref="M116"/>
    </sheetView>
  </sheetViews>
  <sheetFormatPr defaultColWidth="2.625" defaultRowHeight="15.75" customHeight="1" x14ac:dyDescent="0.15"/>
  <cols>
    <col min="1" max="19" width="2.625" style="2"/>
    <col min="20" max="20" width="2.75" style="2" customWidth="1"/>
    <col min="21" max="31" width="2.625" style="2"/>
    <col min="32" max="32" width="2.625" style="2" customWidth="1"/>
    <col min="33" max="35" width="2.625" style="2"/>
    <col min="36" max="36" width="2.875" style="2" customWidth="1"/>
    <col min="37" max="37" width="13.375" style="2" bestFit="1" customWidth="1"/>
    <col min="38" max="16384" width="2.625" style="2"/>
  </cols>
  <sheetData>
    <row r="1" spans="1:37" ht="15.75" customHeight="1" x14ac:dyDescent="0.15">
      <c r="AK1" s="2">
        <v>-10.610079765319824</v>
      </c>
    </row>
    <row r="2" spans="1:37" s="5" customFormat="1" ht="15.75" customHeight="1" x14ac:dyDescent="0.15">
      <c r="A2" s="198"/>
      <c r="B2" s="198"/>
      <c r="C2" s="195" t="s">
        <v>27</v>
      </c>
      <c r="D2" s="196"/>
      <c r="E2" s="196"/>
      <c r="F2" s="196"/>
      <c r="G2" s="196"/>
      <c r="H2" s="196"/>
      <c r="I2" s="196"/>
      <c r="J2" s="196"/>
      <c r="K2" s="199"/>
      <c r="AK2" s="5">
        <v>-8.9124660491943359</v>
      </c>
    </row>
    <row r="3" spans="1:37" s="5" customFormat="1" ht="15.75" customHeight="1" x14ac:dyDescent="0.15">
      <c r="A3" s="198"/>
      <c r="B3" s="198"/>
      <c r="C3" s="194" t="s">
        <v>11</v>
      </c>
      <c r="D3" s="171"/>
      <c r="E3" s="171"/>
      <c r="F3" s="171" t="s">
        <v>28</v>
      </c>
      <c r="G3" s="171"/>
      <c r="H3" s="171"/>
      <c r="I3" s="171" t="s">
        <v>12</v>
      </c>
      <c r="J3" s="171"/>
      <c r="K3" s="172"/>
      <c r="AK3" s="5">
        <v>-7.2148542404174805</v>
      </c>
    </row>
    <row r="4" spans="1:37" s="5" customFormat="1" ht="15.75" customHeight="1" x14ac:dyDescent="0.15">
      <c r="A4" s="200" t="s">
        <v>7</v>
      </c>
      <c r="B4" s="200"/>
      <c r="C4" s="207">
        <v>0.625</v>
      </c>
      <c r="D4" s="208"/>
      <c r="E4" s="209"/>
      <c r="F4" s="210">
        <v>18.850000000000001</v>
      </c>
      <c r="G4" s="208"/>
      <c r="H4" s="209"/>
      <c r="I4" s="210">
        <v>0.625</v>
      </c>
      <c r="J4" s="208"/>
      <c r="K4" s="211"/>
      <c r="AK4" s="5">
        <v>-5.5172410011291504</v>
      </c>
    </row>
    <row r="5" spans="1:37" s="5" customFormat="1" ht="15.75" customHeight="1" x14ac:dyDescent="0.15">
      <c r="A5" s="201" t="s">
        <v>8</v>
      </c>
      <c r="B5" s="201"/>
      <c r="C5" s="202">
        <v>0.375</v>
      </c>
      <c r="D5" s="203"/>
      <c r="E5" s="204"/>
      <c r="F5" s="205">
        <v>9.25</v>
      </c>
      <c r="G5" s="203"/>
      <c r="H5" s="204"/>
      <c r="I5" s="205">
        <v>0.375</v>
      </c>
      <c r="J5" s="203"/>
      <c r="K5" s="206"/>
      <c r="L5" s="9"/>
      <c r="M5" s="9"/>
      <c r="AK5" s="5">
        <v>-3.8196284770965576</v>
      </c>
    </row>
    <row r="6" spans="1:37" s="5" customFormat="1" ht="15.75" customHeight="1" x14ac:dyDescent="0.15">
      <c r="A6" s="9"/>
      <c r="B6" s="6"/>
      <c r="C6" s="6"/>
      <c r="D6" s="10"/>
      <c r="E6" s="10"/>
      <c r="F6" s="10"/>
      <c r="G6" s="10"/>
      <c r="H6" s="10"/>
      <c r="I6" s="10"/>
      <c r="J6" s="10"/>
      <c r="K6" s="10"/>
      <c r="L6" s="59"/>
      <c r="M6" s="60"/>
      <c r="N6" s="7"/>
      <c r="O6" s="7"/>
      <c r="P6" s="7"/>
      <c r="Q6" s="7"/>
      <c r="R6" s="7"/>
      <c r="S6" s="8"/>
      <c r="T6" s="8"/>
      <c r="AK6" s="5">
        <v>-2.1220159530639648</v>
      </c>
    </row>
    <row r="7" spans="1:37" ht="15.75" customHeight="1" x14ac:dyDescent="0.15">
      <c r="A7" s="195" t="s">
        <v>13</v>
      </c>
      <c r="B7" s="196"/>
      <c r="C7" s="196"/>
      <c r="D7" s="196"/>
      <c r="E7" s="196"/>
      <c r="F7" s="196"/>
      <c r="G7" s="196" t="s">
        <v>14</v>
      </c>
      <c r="H7" s="196"/>
      <c r="I7" s="175">
        <v>25</v>
      </c>
      <c r="J7" s="175"/>
      <c r="K7" s="175"/>
      <c r="L7" s="175"/>
      <c r="M7" s="176"/>
      <c r="AK7" s="2">
        <v>-0.42440277338027954</v>
      </c>
    </row>
    <row r="8" spans="1:37" ht="15.75" customHeight="1" x14ac:dyDescent="0.15">
      <c r="A8" s="180" t="s">
        <v>15</v>
      </c>
      <c r="B8" s="181"/>
      <c r="C8" s="197" t="s">
        <v>16</v>
      </c>
      <c r="D8" s="197"/>
      <c r="E8" s="197"/>
      <c r="F8" s="197"/>
      <c r="G8" s="177" t="s">
        <v>14</v>
      </c>
      <c r="H8" s="177"/>
      <c r="I8" s="169">
        <v>5</v>
      </c>
      <c r="J8" s="169"/>
      <c r="K8" s="169"/>
      <c r="L8" s="169"/>
      <c r="M8" s="170"/>
      <c r="AK8" s="2">
        <v>1.2732093334197998</v>
      </c>
    </row>
    <row r="9" spans="1:37" ht="15.75" customHeight="1" x14ac:dyDescent="0.15">
      <c r="A9" s="180"/>
      <c r="B9" s="181"/>
      <c r="C9" s="197" t="s">
        <v>17</v>
      </c>
      <c r="D9" s="197"/>
      <c r="E9" s="197"/>
      <c r="F9" s="197"/>
      <c r="G9" s="177" t="s">
        <v>14</v>
      </c>
      <c r="H9" s="177"/>
      <c r="I9" s="169">
        <v>2.5</v>
      </c>
      <c r="J9" s="169"/>
      <c r="K9" s="169"/>
      <c r="L9" s="169"/>
      <c r="M9" s="170"/>
      <c r="AK9" s="2">
        <v>2.9708223342895508</v>
      </c>
    </row>
    <row r="10" spans="1:37" ht="15.75" customHeight="1" x14ac:dyDescent="0.15">
      <c r="A10" s="180" t="s">
        <v>18</v>
      </c>
      <c r="B10" s="181"/>
      <c r="C10" s="178" t="s">
        <v>19</v>
      </c>
      <c r="D10" s="178"/>
      <c r="E10" s="178"/>
      <c r="F10" s="178"/>
      <c r="G10" s="177" t="s">
        <v>20</v>
      </c>
      <c r="H10" s="177"/>
      <c r="I10" s="173">
        <v>320</v>
      </c>
      <c r="J10" s="173"/>
      <c r="K10" s="173"/>
      <c r="L10" s="173"/>
      <c r="M10" s="174"/>
      <c r="AK10" s="2">
        <v>4.6684346199035645</v>
      </c>
    </row>
    <row r="11" spans="1:37" ht="15.75" customHeight="1" x14ac:dyDescent="0.15">
      <c r="A11" s="180"/>
      <c r="B11" s="181"/>
      <c r="C11" s="178" t="s">
        <v>21</v>
      </c>
      <c r="D11" s="178"/>
      <c r="E11" s="178"/>
      <c r="F11" s="178"/>
      <c r="G11" s="177" t="s">
        <v>22</v>
      </c>
      <c r="H11" s="177"/>
      <c r="I11" s="173">
        <v>32</v>
      </c>
      <c r="J11" s="173"/>
      <c r="K11" s="173"/>
      <c r="L11" s="173"/>
      <c r="M11" s="174"/>
      <c r="AK11" s="2">
        <v>6.3660473823547363</v>
      </c>
    </row>
    <row r="12" spans="1:37" ht="15.75" customHeight="1" x14ac:dyDescent="0.15">
      <c r="A12" s="182" t="s">
        <v>23</v>
      </c>
      <c r="B12" s="177"/>
      <c r="C12" s="177"/>
      <c r="D12" s="177"/>
      <c r="E12" s="177"/>
      <c r="F12" s="177"/>
      <c r="G12" s="177"/>
      <c r="H12" s="177"/>
      <c r="I12" s="173">
        <v>10</v>
      </c>
      <c r="J12" s="173"/>
      <c r="K12" s="173"/>
      <c r="L12" s="173"/>
      <c r="M12" s="174"/>
      <c r="AK12" s="2">
        <v>8.0636606216430664</v>
      </c>
    </row>
    <row r="13" spans="1:37" ht="15.75" customHeight="1" x14ac:dyDescent="0.15">
      <c r="A13" s="183" t="s">
        <v>24</v>
      </c>
      <c r="B13" s="184"/>
      <c r="C13" s="178" t="s">
        <v>10</v>
      </c>
      <c r="D13" s="178"/>
      <c r="E13" s="178"/>
      <c r="F13" s="178"/>
      <c r="G13" s="177"/>
      <c r="H13" s="177"/>
      <c r="I13" s="190">
        <v>1</v>
      </c>
      <c r="J13" s="190"/>
      <c r="K13" s="190"/>
      <c r="L13" s="190"/>
      <c r="M13" s="191"/>
      <c r="AK13" s="2">
        <v>9.7612733840942383</v>
      </c>
    </row>
    <row r="14" spans="1:37" ht="15.75" customHeight="1" x14ac:dyDescent="0.15">
      <c r="A14" s="183"/>
      <c r="B14" s="184"/>
      <c r="C14" s="188" t="s">
        <v>25</v>
      </c>
      <c r="D14" s="188"/>
      <c r="E14" s="188"/>
      <c r="F14" s="188"/>
      <c r="G14" s="177"/>
      <c r="H14" s="177"/>
      <c r="I14" s="190">
        <v>1.23</v>
      </c>
      <c r="J14" s="190"/>
      <c r="K14" s="190"/>
      <c r="L14" s="190"/>
      <c r="M14" s="191"/>
      <c r="AK14" s="2">
        <v>11.458885192871094</v>
      </c>
    </row>
    <row r="15" spans="1:37" ht="12" x14ac:dyDescent="0.15">
      <c r="A15" s="185"/>
      <c r="B15" s="186"/>
      <c r="C15" s="187" t="s">
        <v>26</v>
      </c>
      <c r="D15" s="187"/>
      <c r="E15" s="187"/>
      <c r="F15" s="187"/>
      <c r="G15" s="189"/>
      <c r="H15" s="189"/>
      <c r="I15" s="192">
        <v>1</v>
      </c>
      <c r="J15" s="192"/>
      <c r="K15" s="192"/>
      <c r="L15" s="192"/>
      <c r="M15" s="193"/>
      <c r="AK15" s="2">
        <v>13.156497955322266</v>
      </c>
    </row>
    <row r="16" spans="1:37" ht="12" x14ac:dyDescent="0.15">
      <c r="AK16" s="2">
        <v>14.854110717773438</v>
      </c>
    </row>
    <row r="17" spans="1:37" ht="15.75" customHeight="1" x14ac:dyDescent="0.15">
      <c r="AK17" s="2">
        <v>16.551723480224609</v>
      </c>
    </row>
    <row r="18" spans="1:37" s="11" customFormat="1" ht="15" customHeight="1" x14ac:dyDescent="0.15">
      <c r="B18" s="12" t="s">
        <v>397</v>
      </c>
      <c r="AK18" s="11">
        <v>18.249338150024414</v>
      </c>
    </row>
    <row r="19" spans="1:37" s="11" customFormat="1" ht="15" customHeight="1" x14ac:dyDescent="0.15">
      <c r="A19" s="26"/>
      <c r="AK19" s="11">
        <v>19.946949005126953</v>
      </c>
    </row>
    <row r="20" spans="1:37" s="11" customFormat="1" ht="15" customHeight="1" x14ac:dyDescent="0.15">
      <c r="A20" s="26"/>
      <c r="C20" s="13" t="s">
        <v>32</v>
      </c>
      <c r="D20" s="14" t="s">
        <v>33</v>
      </c>
      <c r="AK20" s="11">
        <v>21.644561767578125</v>
      </c>
    </row>
    <row r="21" spans="1:37" s="11" customFormat="1" ht="6" customHeight="1" x14ac:dyDescent="0.15">
      <c r="A21" s="26"/>
      <c r="AK21" s="11">
        <v>23.342174530029297</v>
      </c>
    </row>
    <row r="22" spans="1:37" s="11" customFormat="1" ht="15" customHeight="1" x14ac:dyDescent="0.15">
      <c r="A22" s="26"/>
      <c r="D22" s="11" t="s">
        <v>34</v>
      </c>
      <c r="AK22" s="11">
        <v>25.039785385131836</v>
      </c>
    </row>
    <row r="23" spans="1:37" s="11" customFormat="1" ht="15" customHeight="1" x14ac:dyDescent="0.15">
      <c r="A23" s="26"/>
      <c r="D23" s="11" t="s">
        <v>35</v>
      </c>
      <c r="AK23" s="11">
        <v>26.737400054931641</v>
      </c>
    </row>
    <row r="24" spans="1:37" s="11" customFormat="1" ht="15" customHeight="1" x14ac:dyDescent="0.15">
      <c r="A24" s="26"/>
      <c r="D24" s="11" t="s">
        <v>36</v>
      </c>
      <c r="AK24" s="11">
        <v>28.435012817382813</v>
      </c>
    </row>
    <row r="25" spans="1:37" s="11" customFormat="1" ht="15" customHeight="1" x14ac:dyDescent="0.15">
      <c r="A25" s="26"/>
      <c r="AK25" s="11">
        <v>30.132627487182617</v>
      </c>
    </row>
    <row r="26" spans="1:37" s="11" customFormat="1" ht="15" customHeight="1" x14ac:dyDescent="0.15">
      <c r="A26" s="26"/>
      <c r="E26" s="103" t="s">
        <v>37</v>
      </c>
      <c r="F26" s="103"/>
      <c r="G26" s="15" t="s">
        <v>30</v>
      </c>
      <c r="H26" s="103" t="s">
        <v>38</v>
      </c>
      <c r="I26" s="103"/>
      <c r="J26" s="11" t="s">
        <v>4</v>
      </c>
      <c r="K26" s="103" t="s">
        <v>39</v>
      </c>
      <c r="L26" s="103"/>
      <c r="M26" s="15" t="s">
        <v>40</v>
      </c>
      <c r="N26" s="168">
        <v>1</v>
      </c>
      <c r="O26" s="168"/>
      <c r="AK26" s="11">
        <v>21.220157623291016</v>
      </c>
    </row>
    <row r="27" spans="1:37" s="11" customFormat="1" ht="15" customHeight="1" x14ac:dyDescent="0.15">
      <c r="A27" s="26"/>
      <c r="AK27" s="11">
        <v>24.615381240844727</v>
      </c>
    </row>
    <row r="28" spans="1:37" s="11" customFormat="1" ht="15" customHeight="1" x14ac:dyDescent="0.15">
      <c r="A28" s="26"/>
      <c r="E28" s="11" t="s">
        <v>41</v>
      </c>
      <c r="H28" s="103" t="s">
        <v>37</v>
      </c>
      <c r="I28" s="103"/>
      <c r="J28" s="15" t="s">
        <v>31</v>
      </c>
      <c r="K28" s="11" t="s">
        <v>42</v>
      </c>
      <c r="O28" s="11" t="s">
        <v>43</v>
      </c>
      <c r="P28" s="168">
        <v>1</v>
      </c>
      <c r="Q28" s="168"/>
      <c r="R28" s="11" t="s">
        <v>3</v>
      </c>
      <c r="AK28" s="11">
        <v>28.010608673095703</v>
      </c>
    </row>
    <row r="29" spans="1:37" s="11" customFormat="1" ht="15" customHeight="1" x14ac:dyDescent="0.15">
      <c r="A29" s="26"/>
      <c r="H29" s="103" t="s">
        <v>38</v>
      </c>
      <c r="I29" s="103"/>
      <c r="J29" s="15" t="s">
        <v>31</v>
      </c>
      <c r="K29" s="11" t="s">
        <v>44</v>
      </c>
      <c r="O29" s="11" t="s">
        <v>43</v>
      </c>
      <c r="P29" s="103" t="s">
        <v>45</v>
      </c>
      <c r="Q29" s="103"/>
      <c r="R29" s="103"/>
      <c r="S29" s="11" t="s">
        <v>3</v>
      </c>
      <c r="AK29" s="11">
        <v>31.40583610534668</v>
      </c>
    </row>
    <row r="30" spans="1:37" s="11" customFormat="1" ht="15" customHeight="1" x14ac:dyDescent="0.15">
      <c r="A30" s="26"/>
      <c r="H30" s="103" t="s">
        <v>39</v>
      </c>
      <c r="I30" s="103"/>
      <c r="J30" s="15" t="s">
        <v>31</v>
      </c>
      <c r="K30" s="11" t="s">
        <v>46</v>
      </c>
      <c r="O30" s="11" t="s">
        <v>43</v>
      </c>
      <c r="P30" s="103" t="s">
        <v>47</v>
      </c>
      <c r="Q30" s="103"/>
      <c r="R30" s="103"/>
      <c r="S30" s="11" t="s">
        <v>3</v>
      </c>
      <c r="AK30" s="11">
        <v>34.801059722900391</v>
      </c>
    </row>
    <row r="31" spans="1:37" s="11" customFormat="1" ht="15" customHeight="1" x14ac:dyDescent="0.15">
      <c r="A31" s="26"/>
      <c r="H31" s="103" t="s">
        <v>48</v>
      </c>
      <c r="I31" s="103"/>
      <c r="J31" s="15" t="s">
        <v>31</v>
      </c>
      <c r="K31" s="11" t="s">
        <v>49</v>
      </c>
      <c r="O31" s="11" t="s">
        <v>43</v>
      </c>
      <c r="P31" s="168">
        <v>1</v>
      </c>
      <c r="Q31" s="168"/>
      <c r="R31" s="11" t="s">
        <v>3</v>
      </c>
      <c r="AK31" s="11">
        <v>38.196285247802734</v>
      </c>
    </row>
    <row r="32" spans="1:37" s="11" customFormat="1" ht="15" customHeight="1" x14ac:dyDescent="0.15">
      <c r="A32" s="26"/>
      <c r="AK32" s="11">
        <v>41.591506958007813</v>
      </c>
    </row>
    <row r="33" spans="1:37" s="11" customFormat="1" ht="15" customHeight="1" x14ac:dyDescent="0.15">
      <c r="A33" s="26"/>
      <c r="D33" s="14" t="s">
        <v>50</v>
      </c>
      <c r="E33" s="14" t="s">
        <v>29</v>
      </c>
      <c r="AK33" s="11">
        <v>44.986736297607422</v>
      </c>
    </row>
    <row r="34" spans="1:37" s="11" customFormat="1" ht="6" customHeight="1" x14ac:dyDescent="0.15">
      <c r="A34" s="26"/>
      <c r="AK34" s="11">
        <v>48.381961822509766</v>
      </c>
    </row>
    <row r="35" spans="1:37" s="11" customFormat="1" ht="15" customHeight="1" x14ac:dyDescent="0.15">
      <c r="A35" s="26"/>
      <c r="E35" s="103" t="s">
        <v>51</v>
      </c>
      <c r="F35" s="103"/>
      <c r="G35" s="103"/>
      <c r="H35" s="103"/>
      <c r="I35" s="15" t="s">
        <v>31</v>
      </c>
      <c r="J35" s="11" t="s">
        <v>52</v>
      </c>
      <c r="N35" s="11" t="s">
        <v>53</v>
      </c>
      <c r="O35" s="167">
        <v>60</v>
      </c>
      <c r="P35" s="167"/>
      <c r="Q35" s="11" t="s">
        <v>54</v>
      </c>
      <c r="AK35" s="11">
        <v>51.777187347412109</v>
      </c>
    </row>
    <row r="36" spans="1:37" s="11" customFormat="1" ht="15" customHeight="1" x14ac:dyDescent="0.15">
      <c r="A36" s="26"/>
      <c r="E36" s="103" t="s">
        <v>55</v>
      </c>
      <c r="F36" s="103"/>
      <c r="G36" s="103"/>
      <c r="H36" s="103"/>
      <c r="I36" s="15" t="s">
        <v>31</v>
      </c>
      <c r="J36" s="11" t="s">
        <v>56</v>
      </c>
      <c r="N36" s="11" t="s">
        <v>53</v>
      </c>
      <c r="O36" s="167">
        <v>0</v>
      </c>
      <c r="P36" s="167"/>
      <c r="Q36" s="11" t="s">
        <v>54</v>
      </c>
      <c r="AK36" s="11">
        <v>55.172412872314453</v>
      </c>
    </row>
    <row r="37" spans="1:37" s="11" customFormat="1" ht="15" customHeight="1" x14ac:dyDescent="0.15">
      <c r="A37" s="26"/>
      <c r="AK37" s="11">
        <v>58.567634582519531</v>
      </c>
    </row>
    <row r="38" spans="1:37" s="11" customFormat="1" ht="15" customHeight="1" x14ac:dyDescent="0.15">
      <c r="A38" s="26"/>
      <c r="D38" s="14" t="s">
        <v>89</v>
      </c>
      <c r="E38" s="14" t="s">
        <v>57</v>
      </c>
      <c r="AK38" s="11">
        <v>61.962863922119141</v>
      </c>
    </row>
    <row r="39" spans="1:37" s="11" customFormat="1" ht="6" customHeight="1" x14ac:dyDescent="0.15">
      <c r="A39" s="26"/>
      <c r="AK39" s="11">
        <v>65.358085632324219</v>
      </c>
    </row>
    <row r="40" spans="1:37" s="11" customFormat="1" ht="15" customHeight="1" x14ac:dyDescent="0.15">
      <c r="A40" s="26"/>
      <c r="E40" s="11" t="s">
        <v>58</v>
      </c>
      <c r="AK40" s="11">
        <v>68.753311157226563</v>
      </c>
    </row>
    <row r="41" spans="1:37" s="11" customFormat="1" ht="15" customHeight="1" x14ac:dyDescent="0.15">
      <c r="A41" s="26"/>
      <c r="E41" s="11" t="s">
        <v>59</v>
      </c>
      <c r="AK41" s="11">
        <v>72.148544311523438</v>
      </c>
    </row>
    <row r="42" spans="1:37" s="11" customFormat="1" ht="15" customHeight="1" x14ac:dyDescent="0.15">
      <c r="A42" s="26"/>
      <c r="E42" s="11" t="s">
        <v>60</v>
      </c>
      <c r="AK42" s="11">
        <v>75.54376220703125</v>
      </c>
    </row>
    <row r="43" spans="1:37" s="11" customFormat="1" ht="15" customHeight="1" x14ac:dyDescent="0.15">
      <c r="A43" s="26"/>
      <c r="AK43" s="11">
        <v>78.938987731933594</v>
      </c>
    </row>
    <row r="44" spans="1:37" s="11" customFormat="1" ht="15" customHeight="1" x14ac:dyDescent="0.15">
      <c r="A44" s="26"/>
      <c r="D44" s="14" t="s">
        <v>90</v>
      </c>
      <c r="E44" s="14" t="s">
        <v>61</v>
      </c>
      <c r="AK44" s="11">
        <v>82.334213256835938</v>
      </c>
    </row>
    <row r="45" spans="1:37" s="11" customFormat="1" ht="6" customHeight="1" x14ac:dyDescent="0.15">
      <c r="A45" s="26"/>
      <c r="AK45" s="11">
        <v>85.729446411132813</v>
      </c>
    </row>
    <row r="46" spans="1:37" s="11" customFormat="1" ht="15" customHeight="1" x14ac:dyDescent="0.15">
      <c r="A46" s="26"/>
      <c r="E46" s="11" t="s">
        <v>62</v>
      </c>
      <c r="AK46" s="11">
        <v>89.124664306640625</v>
      </c>
    </row>
    <row r="47" spans="1:37" s="11" customFormat="1" ht="15" customHeight="1" x14ac:dyDescent="0.15">
      <c r="A47" s="26"/>
      <c r="AK47" s="11">
        <v>92.519889831542969</v>
      </c>
    </row>
    <row r="48" spans="1:37" s="11" customFormat="1" ht="15" customHeight="1" x14ac:dyDescent="0.15">
      <c r="A48" s="26"/>
      <c r="F48" s="103" t="s">
        <v>63</v>
      </c>
      <c r="G48" s="103"/>
      <c r="H48" s="103"/>
      <c r="I48" s="103" t="s">
        <v>6</v>
      </c>
      <c r="J48" s="103" t="s">
        <v>64</v>
      </c>
      <c r="K48" s="103"/>
      <c r="L48" s="103" t="s">
        <v>30</v>
      </c>
      <c r="O48" s="11">
        <v>10</v>
      </c>
      <c r="P48" s="16" t="s">
        <v>65</v>
      </c>
      <c r="S48" s="103" t="s">
        <v>30</v>
      </c>
      <c r="T48" s="111" t="s">
        <v>1</v>
      </c>
      <c r="U48" s="103" t="s">
        <v>66</v>
      </c>
      <c r="V48" s="103" t="s">
        <v>9</v>
      </c>
      <c r="W48" s="103" t="s">
        <v>67</v>
      </c>
      <c r="X48" s="103"/>
      <c r="Y48" s="111" t="s">
        <v>3</v>
      </c>
      <c r="Z48" s="103" t="s">
        <v>4</v>
      </c>
      <c r="AA48" s="103" t="s">
        <v>68</v>
      </c>
      <c r="AB48" s="103"/>
      <c r="AK48" s="11">
        <v>95.915115356445313</v>
      </c>
    </row>
    <row r="49" spans="1:37" s="11" customFormat="1" ht="15" customHeight="1" x14ac:dyDescent="0.15">
      <c r="A49" s="26"/>
      <c r="F49" s="103"/>
      <c r="G49" s="103"/>
      <c r="H49" s="103"/>
      <c r="I49" s="103"/>
      <c r="J49" s="103"/>
      <c r="K49" s="103"/>
      <c r="L49" s="103"/>
      <c r="M49" s="17" t="s">
        <v>1</v>
      </c>
      <c r="N49" s="17">
        <v>2</v>
      </c>
      <c r="O49" s="17" t="s">
        <v>0</v>
      </c>
      <c r="P49" s="18">
        <v>10</v>
      </c>
      <c r="Q49" s="19">
        <v>6</v>
      </c>
      <c r="R49" s="18" t="s">
        <v>69</v>
      </c>
      <c r="S49" s="103"/>
      <c r="T49" s="111"/>
      <c r="U49" s="103"/>
      <c r="V49" s="103"/>
      <c r="W49" s="123" t="s">
        <v>70</v>
      </c>
      <c r="X49" s="123"/>
      <c r="Y49" s="111"/>
      <c r="Z49" s="103"/>
      <c r="AA49" s="103"/>
      <c r="AB49" s="103"/>
      <c r="AK49" s="11">
        <v>99.310348510742188</v>
      </c>
    </row>
    <row r="50" spans="1:37" s="11" customFormat="1" ht="15" customHeight="1" x14ac:dyDescent="0.15">
      <c r="A50" s="26"/>
      <c r="AK50" s="11">
        <v>102.70557403564453</v>
      </c>
    </row>
    <row r="51" spans="1:37" s="11" customFormat="1" ht="15" customHeight="1" x14ac:dyDescent="0.15">
      <c r="A51" s="26"/>
      <c r="F51" s="11" t="s">
        <v>41</v>
      </c>
      <c r="I51" s="103" t="s">
        <v>65</v>
      </c>
      <c r="J51" s="103"/>
      <c r="K51" s="15" t="s">
        <v>6</v>
      </c>
      <c r="L51" s="104">
        <v>3.09</v>
      </c>
      <c r="M51" s="104"/>
      <c r="N51" s="11" t="s">
        <v>9</v>
      </c>
      <c r="O51" s="166">
        <v>3.0000000000000001E-3</v>
      </c>
      <c r="P51" s="166"/>
      <c r="Q51" s="15" t="s">
        <v>71</v>
      </c>
      <c r="AK51" s="11">
        <v>106.10079193115234</v>
      </c>
    </row>
    <row r="52" spans="1:37" s="11" customFormat="1" ht="15" customHeight="1" x14ac:dyDescent="0.15">
      <c r="A52" s="26"/>
      <c r="I52" s="103" t="s">
        <v>72</v>
      </c>
      <c r="J52" s="103"/>
      <c r="K52" s="15" t="s">
        <v>6</v>
      </c>
      <c r="L52" s="104">
        <v>0.12</v>
      </c>
      <c r="M52" s="104"/>
      <c r="AK52" s="11">
        <v>109.49601745605469</v>
      </c>
    </row>
    <row r="53" spans="1:37" s="11" customFormat="1" ht="15" customHeight="1" x14ac:dyDescent="0.15">
      <c r="A53" s="26"/>
      <c r="I53" s="103" t="s">
        <v>67</v>
      </c>
      <c r="J53" s="103"/>
      <c r="K53" s="15" t="s">
        <v>31</v>
      </c>
      <c r="L53" s="11" t="s">
        <v>73</v>
      </c>
      <c r="AK53" s="11">
        <v>112.89124298095703</v>
      </c>
    </row>
    <row r="54" spans="1:37" s="11" customFormat="1" ht="15" customHeight="1" x14ac:dyDescent="0.15">
      <c r="A54" s="26"/>
      <c r="I54" s="15"/>
      <c r="J54" s="15"/>
      <c r="K54" s="15"/>
      <c r="L54" s="11" t="s">
        <v>74</v>
      </c>
      <c r="AK54" s="11">
        <v>116.28646850585938</v>
      </c>
    </row>
    <row r="55" spans="1:37" s="11" customFormat="1" ht="15" customHeight="1" x14ac:dyDescent="0.15">
      <c r="A55" s="26"/>
      <c r="I55" s="103" t="s">
        <v>70</v>
      </c>
      <c r="J55" s="103"/>
      <c r="K55" s="15" t="s">
        <v>31</v>
      </c>
      <c r="L55" s="11" t="s">
        <v>75</v>
      </c>
      <c r="AK55" s="11">
        <v>119.68169403076172</v>
      </c>
    </row>
    <row r="56" spans="1:37" s="11" customFormat="1" ht="15" customHeight="1" x14ac:dyDescent="0.15">
      <c r="A56" s="26"/>
      <c r="I56" s="103" t="s">
        <v>64</v>
      </c>
      <c r="J56" s="103"/>
      <c r="K56" s="15" t="s">
        <v>31</v>
      </c>
      <c r="L56" s="11" t="s">
        <v>76</v>
      </c>
      <c r="AA56" s="15"/>
      <c r="AB56" s="15"/>
      <c r="AK56" s="11">
        <v>123.07691955566406</v>
      </c>
    </row>
    <row r="57" spans="1:37" s="11" customFormat="1" ht="15" customHeight="1" x14ac:dyDescent="0.15">
      <c r="A57" s="26"/>
      <c r="I57" s="15"/>
      <c r="J57" s="15"/>
      <c r="K57" s="15"/>
      <c r="L57" s="11" t="s">
        <v>77</v>
      </c>
      <c r="AA57" s="15"/>
      <c r="AB57" s="15"/>
      <c r="AK57" s="11">
        <v>126.47213745117188</v>
      </c>
    </row>
    <row r="58" spans="1:37" s="11" customFormat="1" ht="15" customHeight="1" x14ac:dyDescent="0.15">
      <c r="A58" s="26"/>
      <c r="I58" s="103" t="s">
        <v>68</v>
      </c>
      <c r="J58" s="103"/>
      <c r="K58" s="15" t="s">
        <v>31</v>
      </c>
      <c r="L58" s="11" t="s">
        <v>78</v>
      </c>
      <c r="Q58" s="11" t="s">
        <v>43</v>
      </c>
      <c r="R58" s="104">
        <v>1.05</v>
      </c>
      <c r="S58" s="104"/>
      <c r="T58" s="11" t="s">
        <v>3</v>
      </c>
      <c r="AK58" s="11">
        <v>129.86737060546875</v>
      </c>
    </row>
    <row r="59" spans="1:37" s="11" customFormat="1" ht="15" customHeight="1" x14ac:dyDescent="0.15">
      <c r="A59" s="26"/>
      <c r="I59" s="103" t="s">
        <v>71</v>
      </c>
      <c r="J59" s="103"/>
      <c r="K59" s="15" t="s">
        <v>31</v>
      </c>
      <c r="L59" s="11" t="s">
        <v>79</v>
      </c>
      <c r="AK59" s="11">
        <v>133.26260375976563</v>
      </c>
    </row>
    <row r="60" spans="1:37" s="11" customFormat="1" ht="15" customHeight="1" x14ac:dyDescent="0.15">
      <c r="A60" s="26"/>
      <c r="AK60" s="11">
        <v>136.65782165527344</v>
      </c>
    </row>
    <row r="61" spans="1:37" s="11" customFormat="1" ht="15" customHeight="1" x14ac:dyDescent="0.15">
      <c r="A61" s="26"/>
      <c r="AK61" s="11">
        <v>140.05303955078125</v>
      </c>
    </row>
    <row r="62" spans="1:37" s="11" customFormat="1" ht="15" customHeight="1" x14ac:dyDescent="0.15">
      <c r="A62" s="26"/>
      <c r="D62" s="14" t="s">
        <v>206</v>
      </c>
      <c r="E62" s="14" t="s">
        <v>80</v>
      </c>
      <c r="AK62" s="11">
        <v>143.44827270507813</v>
      </c>
    </row>
    <row r="63" spans="1:37" s="11" customFormat="1" ht="6" customHeight="1" x14ac:dyDescent="0.15">
      <c r="A63" s="26"/>
      <c r="AK63" s="11">
        <v>146.843505859375</v>
      </c>
    </row>
    <row r="64" spans="1:37" s="11" customFormat="1" ht="15" customHeight="1" x14ac:dyDescent="0.15">
      <c r="A64" s="26"/>
      <c r="E64" s="11" t="s">
        <v>81</v>
      </c>
      <c r="AK64" s="11">
        <v>150.23872375488281</v>
      </c>
    </row>
    <row r="65" spans="1:37" s="11" customFormat="1" ht="15" customHeight="1" x14ac:dyDescent="0.15">
      <c r="A65" s="26"/>
      <c r="AK65" s="11">
        <v>153.63394165039063</v>
      </c>
    </row>
    <row r="66" spans="1:37" s="11" customFormat="1" ht="18" customHeight="1" x14ac:dyDescent="0.15">
      <c r="A66" s="26"/>
      <c r="E66" s="164" t="s">
        <v>82</v>
      </c>
      <c r="F66" s="158"/>
      <c r="G66" s="158"/>
      <c r="H66" s="159"/>
      <c r="I66" s="165" t="s">
        <v>83</v>
      </c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K66" s="11">
        <v>157.0291748046875</v>
      </c>
    </row>
    <row r="67" spans="1:37" s="11" customFormat="1" ht="18" customHeight="1" x14ac:dyDescent="0.15">
      <c r="A67" s="26"/>
      <c r="E67" s="157"/>
      <c r="F67" s="158"/>
      <c r="G67" s="158"/>
      <c r="H67" s="159"/>
      <c r="I67" s="165" t="s">
        <v>84</v>
      </c>
      <c r="J67" s="165"/>
      <c r="K67" s="165"/>
      <c r="L67" s="165"/>
      <c r="M67" s="165"/>
      <c r="N67" s="165"/>
      <c r="O67" s="165"/>
      <c r="P67" s="165"/>
      <c r="Q67" s="165"/>
      <c r="R67" s="165"/>
      <c r="S67" s="165" t="s">
        <v>84</v>
      </c>
      <c r="T67" s="165"/>
      <c r="U67" s="165"/>
      <c r="V67" s="165"/>
      <c r="W67" s="165"/>
      <c r="X67" s="165"/>
      <c r="Y67" s="165"/>
      <c r="Z67" s="165"/>
      <c r="AA67" s="165"/>
      <c r="AB67" s="165"/>
      <c r="AK67" s="11">
        <v>160.42439270019531</v>
      </c>
    </row>
    <row r="68" spans="1:37" s="11" customFormat="1" ht="18" customHeight="1" x14ac:dyDescent="0.15">
      <c r="A68" s="26"/>
      <c r="E68" s="157" t="s">
        <v>85</v>
      </c>
      <c r="F68" s="158"/>
      <c r="G68" s="158"/>
      <c r="H68" s="159"/>
      <c r="I68" s="20"/>
      <c r="J68" s="21"/>
      <c r="K68" s="160">
        <v>2.7</v>
      </c>
      <c r="L68" s="160"/>
      <c r="M68" s="22" t="s">
        <v>9</v>
      </c>
      <c r="N68" s="161">
        <v>3.0000000000000001E-3</v>
      </c>
      <c r="O68" s="161"/>
      <c r="P68" s="21" t="s">
        <v>71</v>
      </c>
      <c r="Q68" s="21"/>
      <c r="R68" s="23"/>
      <c r="S68" s="20"/>
      <c r="T68" s="21"/>
      <c r="U68" s="160">
        <v>3.09</v>
      </c>
      <c r="V68" s="160"/>
      <c r="W68" s="22" t="s">
        <v>9</v>
      </c>
      <c r="X68" s="161">
        <v>3.0000000000000001E-3</v>
      </c>
      <c r="Y68" s="161"/>
      <c r="Z68" s="21" t="s">
        <v>71</v>
      </c>
      <c r="AA68" s="21"/>
      <c r="AB68" s="23"/>
      <c r="AK68" s="11">
        <v>163.81961059570313</v>
      </c>
    </row>
    <row r="69" spans="1:37" s="11" customFormat="1" ht="18" customHeight="1" x14ac:dyDescent="0.15">
      <c r="A69" s="26"/>
      <c r="E69" s="157" t="s">
        <v>72</v>
      </c>
      <c r="F69" s="158"/>
      <c r="G69" s="158"/>
      <c r="H69" s="159"/>
      <c r="I69" s="162">
        <v>0.06</v>
      </c>
      <c r="J69" s="160"/>
      <c r="K69" s="160"/>
      <c r="L69" s="160"/>
      <c r="M69" s="160"/>
      <c r="N69" s="160"/>
      <c r="O69" s="160"/>
      <c r="P69" s="160"/>
      <c r="Q69" s="160"/>
      <c r="R69" s="163"/>
      <c r="S69" s="162">
        <v>0.12</v>
      </c>
      <c r="T69" s="160"/>
      <c r="U69" s="160"/>
      <c r="V69" s="160"/>
      <c r="W69" s="160"/>
      <c r="X69" s="160"/>
      <c r="Y69" s="160"/>
      <c r="Z69" s="160"/>
      <c r="AA69" s="160"/>
      <c r="AB69" s="163"/>
      <c r="AK69" s="11">
        <v>167.21485900878906</v>
      </c>
    </row>
    <row r="70" spans="1:37" s="11" customFormat="1" ht="15" customHeight="1" x14ac:dyDescent="0.15">
      <c r="A70" s="26"/>
      <c r="AK70" s="11">
        <v>170.61007690429688</v>
      </c>
    </row>
    <row r="71" spans="1:37" s="11" customFormat="1" ht="15" customHeight="1" x14ac:dyDescent="0.15">
      <c r="A71" s="26"/>
      <c r="AK71" s="11">
        <v>174.00531005859375</v>
      </c>
    </row>
    <row r="72" spans="1:37" s="11" customFormat="1" ht="15" customHeight="1" x14ac:dyDescent="0.15">
      <c r="A72" s="26"/>
      <c r="D72" s="14" t="s">
        <v>207</v>
      </c>
      <c r="E72" s="14" t="s">
        <v>86</v>
      </c>
      <c r="AK72" s="11">
        <v>177.4005126953125</v>
      </c>
    </row>
    <row r="73" spans="1:37" s="11" customFormat="1" ht="6" customHeight="1" x14ac:dyDescent="0.15">
      <c r="A73" s="26"/>
      <c r="AK73" s="11">
        <v>180.79574584960938</v>
      </c>
    </row>
    <row r="74" spans="1:37" s="11" customFormat="1" ht="15" customHeight="1" x14ac:dyDescent="0.15">
      <c r="A74" s="26"/>
      <c r="E74" s="11" t="s">
        <v>87</v>
      </c>
      <c r="AK74" s="11">
        <v>184.19097900390625</v>
      </c>
    </row>
    <row r="75" spans="1:37" s="11" customFormat="1" ht="15" customHeight="1" x14ac:dyDescent="0.15">
      <c r="A75" s="26"/>
      <c r="AK75" s="11">
        <v>187.58621215820313</v>
      </c>
    </row>
    <row r="76" spans="1:37" s="11" customFormat="1" ht="15" customHeight="1" x14ac:dyDescent="0.15">
      <c r="E76" s="24" t="s">
        <v>208</v>
      </c>
      <c r="F76" s="11" t="s">
        <v>88</v>
      </c>
      <c r="AK76" s="11">
        <v>190.98143005371094</v>
      </c>
    </row>
    <row r="77" spans="1:37" s="11" customFormat="1" ht="6" customHeight="1" x14ac:dyDescent="0.15">
      <c r="AK77" s="11">
        <v>194.37664794921875</v>
      </c>
    </row>
    <row r="78" spans="1:37" s="11" customFormat="1" ht="15" customHeight="1" x14ac:dyDescent="0.15">
      <c r="F78" s="11" t="str">
        <f>"下図に示す 疲労破壊照査用の列車荷重：" &amp; 編成数 &amp; "両編成 が通過するときのC支点"</f>
        <v>下図に示す 疲労破壊照査用の列車荷重：10両編成 が通過するときのC支点</v>
      </c>
      <c r="AK78" s="11">
        <v>197.77188110351563</v>
      </c>
    </row>
    <row r="79" spans="1:37" s="11" customFormat="1" ht="15" customHeight="1" x14ac:dyDescent="0.15">
      <c r="F79" s="11" t="s">
        <v>209</v>
      </c>
      <c r="AK79" s="11">
        <v>201.1671142578125</v>
      </c>
    </row>
    <row r="80" spans="1:37" s="1" customFormat="1" ht="15.75" customHeight="1" x14ac:dyDescent="0.15">
      <c r="D80" s="4"/>
      <c r="E80" s="4"/>
      <c r="AK80" s="1">
        <v>204.56233215332031</v>
      </c>
    </row>
    <row r="81" spans="1:63" s="1" customFormat="1" ht="15" customHeight="1" x14ac:dyDescent="0.15">
      <c r="D81" s="3"/>
      <c r="E81" s="3"/>
      <c r="F81" s="179"/>
      <c r="G81" s="179"/>
      <c r="H81" s="179"/>
      <c r="I81" s="179"/>
      <c r="J81" s="179"/>
      <c r="K81" s="179"/>
      <c r="L81" s="179"/>
      <c r="M81" s="179"/>
      <c r="N81" s="179"/>
      <c r="O81" s="179"/>
      <c r="P81" s="179"/>
      <c r="Q81" s="179"/>
      <c r="R81" s="179"/>
      <c r="S81" s="179"/>
      <c r="T81" s="179"/>
      <c r="U81" s="179"/>
      <c r="V81" s="179"/>
      <c r="W81" s="179"/>
      <c r="X81" s="179"/>
      <c r="Y81" s="179"/>
      <c r="Z81" s="179"/>
      <c r="AA81" s="179"/>
      <c r="AB81" s="179"/>
      <c r="AC81" s="179"/>
      <c r="AD81" s="179"/>
      <c r="AE81" s="179"/>
      <c r="AK81" s="1">
        <v>207.95755004882813</v>
      </c>
    </row>
    <row r="82" spans="1:63" s="1" customFormat="1" ht="15" customHeight="1" x14ac:dyDescent="0.15">
      <c r="C82" s="3"/>
      <c r="D82" s="3"/>
      <c r="E82" s="3"/>
      <c r="F82" s="179"/>
      <c r="G82" s="179"/>
      <c r="H82" s="179"/>
      <c r="I82" s="179"/>
      <c r="J82" s="179"/>
      <c r="K82" s="179"/>
      <c r="L82" s="179"/>
      <c r="M82" s="179"/>
      <c r="N82" s="179"/>
      <c r="O82" s="179"/>
      <c r="P82" s="179"/>
      <c r="Q82" s="179"/>
      <c r="R82" s="179"/>
      <c r="S82" s="179"/>
      <c r="T82" s="179"/>
      <c r="U82" s="179"/>
      <c r="V82" s="179"/>
      <c r="W82" s="179"/>
      <c r="X82" s="179"/>
      <c r="Y82" s="179"/>
      <c r="Z82" s="179"/>
      <c r="AA82" s="179"/>
      <c r="AB82" s="179"/>
      <c r="AC82" s="179"/>
      <c r="AD82" s="179"/>
      <c r="AE82" s="179"/>
      <c r="AK82" s="1">
        <v>211.352783203125</v>
      </c>
    </row>
    <row r="83" spans="1:63" s="1" customFormat="1" ht="15" customHeight="1" x14ac:dyDescent="0.15">
      <c r="C83" s="3"/>
      <c r="D83" s="3"/>
      <c r="E83" s="3"/>
      <c r="F83" s="179"/>
      <c r="G83" s="179"/>
      <c r="H83" s="179"/>
      <c r="I83" s="179"/>
      <c r="J83" s="179"/>
      <c r="K83" s="179"/>
      <c r="L83" s="179"/>
      <c r="M83" s="179"/>
      <c r="N83" s="179"/>
      <c r="O83" s="179"/>
      <c r="P83" s="179"/>
      <c r="Q83" s="179"/>
      <c r="R83" s="179"/>
      <c r="S83" s="179"/>
      <c r="T83" s="179"/>
      <c r="U83" s="179"/>
      <c r="V83" s="179"/>
      <c r="W83" s="179"/>
      <c r="X83" s="179"/>
      <c r="Y83" s="179"/>
      <c r="Z83" s="179"/>
      <c r="AA83" s="179"/>
      <c r="AB83" s="179"/>
      <c r="AC83" s="179"/>
      <c r="AD83" s="179"/>
      <c r="AE83" s="179"/>
      <c r="AK83" s="1">
        <v>214.74800109863281</v>
      </c>
      <c r="AN83" s="39" t="s">
        <v>211</v>
      </c>
      <c r="AO83" s="14" t="s">
        <v>91</v>
      </c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</row>
    <row r="84" spans="1:63" s="1" customFormat="1" ht="15" customHeight="1" x14ac:dyDescent="0.15">
      <c r="C84" s="3"/>
      <c r="D84" s="3"/>
      <c r="E84" s="3"/>
      <c r="F84" s="179"/>
      <c r="G84" s="179"/>
      <c r="H84" s="179"/>
      <c r="I84" s="179"/>
      <c r="J84" s="179"/>
      <c r="K84" s="179"/>
      <c r="L84" s="179"/>
      <c r="M84" s="179"/>
      <c r="N84" s="179"/>
      <c r="O84" s="179"/>
      <c r="P84" s="179"/>
      <c r="Q84" s="179"/>
      <c r="R84" s="179"/>
      <c r="S84" s="179"/>
      <c r="T84" s="179"/>
      <c r="U84" s="179"/>
      <c r="V84" s="179"/>
      <c r="W84" s="179"/>
      <c r="X84" s="179"/>
      <c r="Y84" s="179"/>
      <c r="Z84" s="179"/>
      <c r="AA84" s="179"/>
      <c r="AB84" s="179"/>
      <c r="AC84" s="179"/>
      <c r="AD84" s="179"/>
      <c r="AE84" s="179"/>
      <c r="AK84" s="1">
        <v>218.14324951171875</v>
      </c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</row>
    <row r="85" spans="1:63" s="1" customFormat="1" ht="15" customHeight="1" x14ac:dyDescent="0.15">
      <c r="C85" s="3"/>
      <c r="D85" s="3"/>
      <c r="E85" s="3"/>
      <c r="F85" s="179"/>
      <c r="G85" s="179"/>
      <c r="H85" s="179"/>
      <c r="I85" s="179"/>
      <c r="J85" s="179"/>
      <c r="K85" s="179"/>
      <c r="L85" s="179"/>
      <c r="M85" s="179"/>
      <c r="N85" s="179"/>
      <c r="O85" s="179"/>
      <c r="P85" s="179"/>
      <c r="Q85" s="179"/>
      <c r="R85" s="179"/>
      <c r="S85" s="179"/>
      <c r="T85" s="179"/>
      <c r="U85" s="179"/>
      <c r="V85" s="179"/>
      <c r="W85" s="179"/>
      <c r="X85" s="179"/>
      <c r="Y85" s="179"/>
      <c r="Z85" s="179"/>
      <c r="AA85" s="179"/>
      <c r="AB85" s="179"/>
      <c r="AC85" s="179"/>
      <c r="AD85" s="179"/>
      <c r="AE85" s="179"/>
      <c r="AK85" s="1">
        <v>221.5384521484375</v>
      </c>
      <c r="AN85" s="11"/>
      <c r="AO85" s="11" t="s">
        <v>92</v>
      </c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</row>
    <row r="86" spans="1:63" s="1" customFormat="1" ht="15" customHeight="1" x14ac:dyDescent="0.15">
      <c r="C86" s="3"/>
      <c r="D86" s="3"/>
      <c r="E86" s="3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79"/>
      <c r="AB86" s="179"/>
      <c r="AC86" s="179"/>
      <c r="AD86" s="179"/>
      <c r="AE86" s="179"/>
      <c r="AK86" s="1">
        <v>224.93368530273438</v>
      </c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" customFormat="1" ht="15" customHeight="1" x14ac:dyDescent="0.15">
      <c r="C87" s="3"/>
      <c r="D87" s="3"/>
      <c r="E87" s="3"/>
      <c r="F87" s="179"/>
      <c r="G87" s="179"/>
      <c r="H87" s="179"/>
      <c r="I87" s="179"/>
      <c r="J87" s="179"/>
      <c r="K87" s="179"/>
      <c r="L87" s="179"/>
      <c r="M87" s="179"/>
      <c r="N87" s="179"/>
      <c r="O87" s="179"/>
      <c r="P87" s="179"/>
      <c r="Q87" s="179"/>
      <c r="R87" s="179"/>
      <c r="S87" s="179"/>
      <c r="T87" s="179"/>
      <c r="U87" s="179"/>
      <c r="V87" s="179"/>
      <c r="W87" s="179"/>
      <c r="X87" s="179"/>
      <c r="Y87" s="179"/>
      <c r="Z87" s="179"/>
      <c r="AA87" s="179"/>
      <c r="AB87" s="179"/>
      <c r="AC87" s="179"/>
      <c r="AD87" s="179"/>
      <c r="AE87" s="179"/>
      <c r="AK87" s="1">
        <v>228.32890319824219</v>
      </c>
      <c r="AN87" s="26"/>
      <c r="AO87" s="11"/>
      <c r="AP87" s="11"/>
      <c r="AQ87" s="25" t="s">
        <v>5</v>
      </c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</row>
    <row r="88" spans="1:63" s="1" customFormat="1" ht="15" customHeight="1" x14ac:dyDescent="0.15">
      <c r="C88" s="3"/>
      <c r="D88" s="3"/>
      <c r="E88" s="3"/>
      <c r="F88" s="179"/>
      <c r="G88" s="179"/>
      <c r="H88" s="179"/>
      <c r="I88" s="179"/>
      <c r="J88" s="179"/>
      <c r="K88" s="179"/>
      <c r="L88" s="179"/>
      <c r="M88" s="179"/>
      <c r="N88" s="179"/>
      <c r="O88" s="179"/>
      <c r="P88" s="179"/>
      <c r="Q88" s="179"/>
      <c r="R88" s="179"/>
      <c r="S88" s="179"/>
      <c r="T88" s="179"/>
      <c r="U88" s="179"/>
      <c r="V88" s="179"/>
      <c r="W88" s="179"/>
      <c r="X88" s="179"/>
      <c r="Y88" s="179"/>
      <c r="Z88" s="179"/>
      <c r="AA88" s="179"/>
      <c r="AB88" s="179"/>
      <c r="AC88" s="179"/>
      <c r="AD88" s="179"/>
      <c r="AE88" s="179"/>
      <c r="AK88" s="1">
        <v>231.72413635253906</v>
      </c>
      <c r="AN88" s="26"/>
      <c r="AO88" s="152" t="s">
        <v>93</v>
      </c>
      <c r="AP88" s="152" t="s">
        <v>6</v>
      </c>
      <c r="AQ88" s="152" t="s">
        <v>94</v>
      </c>
      <c r="AR88" s="152" t="s">
        <v>95</v>
      </c>
      <c r="AS88" s="152" t="s">
        <v>96</v>
      </c>
      <c r="AT88" s="122" t="s">
        <v>97</v>
      </c>
      <c r="AU88" s="122"/>
      <c r="AV88" s="152" t="s">
        <v>98</v>
      </c>
      <c r="AW88" s="152"/>
      <c r="AX88" s="11"/>
      <c r="AY88" s="11"/>
      <c r="AZ88" s="152" t="s">
        <v>99</v>
      </c>
      <c r="BA88" s="152"/>
      <c r="BB88" s="152"/>
      <c r="BC88" s="152"/>
      <c r="BD88" s="11"/>
      <c r="BE88" s="11"/>
      <c r="BF88" s="11"/>
      <c r="BG88" s="11"/>
      <c r="BH88" s="11"/>
      <c r="BI88" s="11"/>
      <c r="BJ88" s="11"/>
      <c r="BK88" s="11"/>
    </row>
    <row r="89" spans="1:63" s="1" customFormat="1" ht="15" customHeight="1" x14ac:dyDescent="0.15">
      <c r="C89" s="3"/>
      <c r="D89" s="3"/>
      <c r="E89" s="3"/>
      <c r="F89" s="179"/>
      <c r="G89" s="179"/>
      <c r="H89" s="179"/>
      <c r="I89" s="179"/>
      <c r="J89" s="179"/>
      <c r="K89" s="179"/>
      <c r="L89" s="179"/>
      <c r="M89" s="179"/>
      <c r="N89" s="179"/>
      <c r="O89" s="179"/>
      <c r="P89" s="179"/>
      <c r="Q89" s="179"/>
      <c r="R89" s="179"/>
      <c r="S89" s="179"/>
      <c r="T89" s="179"/>
      <c r="U89" s="179"/>
      <c r="V89" s="179"/>
      <c r="W89" s="179"/>
      <c r="X89" s="179"/>
      <c r="Y89" s="179"/>
      <c r="Z89" s="179"/>
      <c r="AA89" s="179"/>
      <c r="AB89" s="179"/>
      <c r="AC89" s="179"/>
      <c r="AD89" s="179"/>
      <c r="AE89" s="179"/>
      <c r="AK89" s="1">
        <v>235.11936950683594</v>
      </c>
      <c r="AN89" s="26"/>
      <c r="AO89" s="152"/>
      <c r="AP89" s="152"/>
      <c r="AQ89" s="152"/>
      <c r="AR89" s="152"/>
      <c r="AS89" s="152"/>
      <c r="AT89" s="103" t="s">
        <v>100</v>
      </c>
      <c r="AU89" s="103"/>
      <c r="AV89" s="152"/>
      <c r="AW89" s="152"/>
      <c r="AX89" s="11"/>
      <c r="AY89" s="11"/>
      <c r="AZ89" s="152"/>
      <c r="BA89" s="152"/>
      <c r="BB89" s="152"/>
      <c r="BC89" s="152"/>
      <c r="BD89" s="11"/>
      <c r="BE89" s="11"/>
      <c r="BF89" s="11"/>
      <c r="BG89" s="11"/>
      <c r="BH89" s="11"/>
      <c r="BI89" s="11"/>
      <c r="BJ89" s="11"/>
      <c r="BK89" s="11"/>
    </row>
    <row r="90" spans="1:63" s="1" customFormat="1" ht="15.75" customHeight="1" x14ac:dyDescent="0.15">
      <c r="D90" s="4"/>
      <c r="E90" s="4"/>
      <c r="AK90" s="1">
        <v>238.51458740234375</v>
      </c>
      <c r="AN90" s="26"/>
      <c r="AO90" s="11"/>
      <c r="AP90" s="11"/>
      <c r="AQ90" s="27" t="s">
        <v>101</v>
      </c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</row>
    <row r="91" spans="1:63" s="11" customFormat="1" ht="15" customHeight="1" x14ac:dyDescent="0.15">
      <c r="E91" s="24" t="s">
        <v>210</v>
      </c>
      <c r="F91" s="11" t="str">
        <f>"1列車（" &amp; 編成数 &amp; "両編成）１回当り の反力の振幅"</f>
        <v>1列車（10両編成）１回当り の反力の振幅</v>
      </c>
      <c r="AK91" s="11">
        <v>241.90982055664063</v>
      </c>
    </row>
    <row r="92" spans="1:63" s="11" customFormat="1" ht="15" customHeight="1" x14ac:dyDescent="0.15">
      <c r="A92" s="24"/>
      <c r="AK92" s="11">
        <v>245.30503845214844</v>
      </c>
      <c r="AO92" s="153"/>
      <c r="AP92" s="154"/>
      <c r="AQ92" s="155" t="s">
        <v>100</v>
      </c>
      <c r="AR92" s="156"/>
      <c r="AS92" s="156"/>
      <c r="AT92" s="156"/>
      <c r="AU92" s="156" t="s">
        <v>102</v>
      </c>
      <c r="AV92" s="156"/>
      <c r="AW92" s="156"/>
      <c r="AX92" s="156"/>
      <c r="AY92" s="143" t="s">
        <v>103</v>
      </c>
      <c r="AZ92" s="156"/>
      <c r="BA92" s="156"/>
      <c r="BB92" s="156"/>
      <c r="BC92" s="143" t="s">
        <v>104</v>
      </c>
      <c r="BD92" s="156"/>
      <c r="BE92" s="156"/>
      <c r="BF92" s="156"/>
      <c r="BG92" s="143" t="s">
        <v>93</v>
      </c>
      <c r="BH92" s="144"/>
      <c r="BI92" s="145"/>
    </row>
    <row r="93" spans="1:63" s="11" customFormat="1" ht="15" customHeight="1" x14ac:dyDescent="0.15">
      <c r="A93" s="24"/>
      <c r="AK93" s="11">
        <v>248.70025634765625</v>
      </c>
      <c r="AO93" s="146"/>
      <c r="AP93" s="147"/>
      <c r="AQ93" s="119">
        <f>MAX(AQ94:AT112)</f>
        <v>1028.47802734375</v>
      </c>
      <c r="AR93" s="97"/>
      <c r="AS93" s="97"/>
      <c r="AT93" s="97"/>
      <c r="AU93" s="97">
        <v>0</v>
      </c>
      <c r="AV93" s="97"/>
      <c r="AW93" s="97"/>
      <c r="AX93" s="97"/>
      <c r="AY93" s="148">
        <f>AQ93-AU93</f>
        <v>1028.47802734375</v>
      </c>
      <c r="AZ93" s="148"/>
      <c r="BA93" s="148"/>
      <c r="BB93" s="148"/>
      <c r="BC93" s="97">
        <v>1</v>
      </c>
      <c r="BD93" s="97"/>
      <c r="BE93" s="97"/>
      <c r="BF93" s="97"/>
      <c r="BG93" s="149">
        <v>1</v>
      </c>
      <c r="BH93" s="150"/>
      <c r="BI93" s="151"/>
    </row>
    <row r="94" spans="1:63" s="11" customFormat="1" ht="15" customHeight="1" x14ac:dyDescent="0.15">
      <c r="A94" s="24"/>
      <c r="AK94" s="11">
        <v>252.09548950195313</v>
      </c>
      <c r="AO94" s="137">
        <v>1</v>
      </c>
      <c r="AP94" s="138"/>
      <c r="AQ94" s="100">
        <f t="shared" ref="AQ94:AQ112" si="0">renji($AK:$AK,AO94,0)</f>
        <v>1028.47802734375</v>
      </c>
      <c r="AR94" s="101"/>
      <c r="AS94" s="101"/>
      <c r="AT94" s="101"/>
      <c r="AU94" s="101">
        <f t="shared" ref="AU94:AU112" si="1">renji($AK:$AK,AO94,1)</f>
        <v>534.17449951171875</v>
      </c>
      <c r="AV94" s="101"/>
      <c r="AW94" s="101"/>
      <c r="AX94" s="101"/>
      <c r="AY94" s="139">
        <f>AQ94-AU94</f>
        <v>494.30352783203125</v>
      </c>
      <c r="AZ94" s="139"/>
      <c r="BA94" s="139"/>
      <c r="BB94" s="139"/>
      <c r="BC94" s="101">
        <f t="shared" ref="BC94:BC112" si="2">renji($AK:$AK,AO94,2)</f>
        <v>9</v>
      </c>
      <c r="BD94" s="101"/>
      <c r="BE94" s="101"/>
      <c r="BF94" s="101"/>
      <c r="BG94" s="140">
        <f>IF(AY94&lt;0,0,BC94*((AY94/AY113)^(1/0.12)))</f>
        <v>2.0070812091830065E-2</v>
      </c>
      <c r="BH94" s="141"/>
      <c r="BI94" s="142"/>
    </row>
    <row r="95" spans="1:63" s="11" customFormat="1" ht="15" customHeight="1" x14ac:dyDescent="0.15">
      <c r="A95" s="24"/>
      <c r="AK95" s="11">
        <v>255.49072265625</v>
      </c>
      <c r="AO95" s="137">
        <f>AO94+1</f>
        <v>2</v>
      </c>
      <c r="AP95" s="138"/>
      <c r="AQ95" s="100">
        <f t="shared" si="0"/>
        <v>1024.954345703125</v>
      </c>
      <c r="AR95" s="101"/>
      <c r="AS95" s="101"/>
      <c r="AT95" s="101"/>
      <c r="AU95" s="101">
        <f t="shared" si="1"/>
        <v>534.17449951171875</v>
      </c>
      <c r="AV95" s="101"/>
      <c r="AW95" s="101"/>
      <c r="AX95" s="101"/>
      <c r="AY95" s="139">
        <f>AQ95-AU95</f>
        <v>490.77984619140625</v>
      </c>
      <c r="AZ95" s="139"/>
      <c r="BA95" s="139"/>
      <c r="BB95" s="139"/>
      <c r="BC95" s="101">
        <f t="shared" si="2"/>
        <v>9</v>
      </c>
      <c r="BD95" s="101"/>
      <c r="BE95" s="101"/>
      <c r="BF95" s="101"/>
      <c r="BG95" s="140">
        <f>IF(AY95&lt;0,0,BC95*((AY95/AY113)^(1/0.12)))</f>
        <v>1.8909209038849017E-2</v>
      </c>
      <c r="BH95" s="141"/>
      <c r="BI95" s="142"/>
    </row>
    <row r="96" spans="1:63" s="11" customFormat="1" ht="15" customHeight="1" x14ac:dyDescent="0.15">
      <c r="A96" s="24"/>
      <c r="AK96" s="11">
        <v>258.88592529296875</v>
      </c>
      <c r="AO96" s="137">
        <f>AO95+1</f>
        <v>3</v>
      </c>
      <c r="AP96" s="138"/>
      <c r="AQ96" s="100">
        <f t="shared" si="0"/>
        <v>1024.481689453125</v>
      </c>
      <c r="AR96" s="101"/>
      <c r="AS96" s="101"/>
      <c r="AT96" s="101"/>
      <c r="AU96" s="101">
        <f t="shared" si="1"/>
        <v>534.17449951171875</v>
      </c>
      <c r="AV96" s="101"/>
      <c r="AW96" s="101"/>
      <c r="AX96" s="101"/>
      <c r="AY96" s="139">
        <f>AQ96-AU96</f>
        <v>490.30718994140625</v>
      </c>
      <c r="AZ96" s="139"/>
      <c r="BA96" s="139"/>
      <c r="BB96" s="139"/>
      <c r="BC96" s="101">
        <f t="shared" si="2"/>
        <v>9</v>
      </c>
      <c r="BD96" s="101"/>
      <c r="BE96" s="101"/>
      <c r="BF96" s="101"/>
      <c r="BG96" s="140">
        <f>IF(AY96&lt;0,0,BC96*((AY96/AY113)^(1/0.12)))</f>
        <v>1.8757986124175244E-2</v>
      </c>
      <c r="BH96" s="141"/>
      <c r="BI96" s="142"/>
    </row>
    <row r="97" spans="1:63" s="11" customFormat="1" ht="15" customHeight="1" x14ac:dyDescent="0.15">
      <c r="A97" s="24"/>
      <c r="AK97" s="11">
        <v>262.28115844726563</v>
      </c>
      <c r="AN97" s="26"/>
      <c r="AO97" s="137">
        <f t="shared" ref="AO97:AO103" si="3">AO96+1</f>
        <v>4</v>
      </c>
      <c r="AP97" s="138"/>
      <c r="AQ97" s="100">
        <f t="shared" si="0"/>
        <v>1022.848388671875</v>
      </c>
      <c r="AR97" s="101"/>
      <c r="AS97" s="101"/>
      <c r="AT97" s="101"/>
      <c r="AU97" s="101">
        <f t="shared" si="1"/>
        <v>877.0372314453125</v>
      </c>
      <c r="AV97" s="101"/>
      <c r="AW97" s="101"/>
      <c r="AX97" s="101"/>
      <c r="AY97" s="139">
        <f t="shared" ref="AY97:AY103" si="4">AQ97-AU97</f>
        <v>145.8111572265625</v>
      </c>
      <c r="AZ97" s="139"/>
      <c r="BA97" s="139"/>
      <c r="BB97" s="139"/>
      <c r="BC97" s="101">
        <f t="shared" si="2"/>
        <v>9</v>
      </c>
      <c r="BD97" s="101"/>
      <c r="BE97" s="101"/>
      <c r="BF97" s="101"/>
      <c r="BG97" s="140">
        <f>IF(AY97&lt;0,0,BC97*((AY97/AY113)^(1/0.12)))</f>
        <v>7.6596160586927064E-7</v>
      </c>
      <c r="BH97" s="141"/>
      <c r="BI97" s="142"/>
      <c r="BJ97" s="26"/>
      <c r="BK97" s="26"/>
    </row>
    <row r="98" spans="1:63" s="11" customFormat="1" ht="15" customHeight="1" x14ac:dyDescent="0.15">
      <c r="A98" s="24"/>
      <c r="AK98" s="11">
        <v>265.6763916015625</v>
      </c>
      <c r="AN98" s="26"/>
      <c r="AO98" s="137">
        <f t="shared" si="3"/>
        <v>5</v>
      </c>
      <c r="AP98" s="138"/>
      <c r="AQ98" s="100">
        <f t="shared" si="0"/>
        <v>1021.4307250976563</v>
      </c>
      <c r="AR98" s="101"/>
      <c r="AS98" s="101"/>
      <c r="AT98" s="101"/>
      <c r="AU98" s="101">
        <f t="shared" si="1"/>
        <v>534.17449951171875</v>
      </c>
      <c r="AV98" s="101"/>
      <c r="AW98" s="101"/>
      <c r="AX98" s="101"/>
      <c r="AY98" s="139">
        <f t="shared" si="4"/>
        <v>487.2562255859375</v>
      </c>
      <c r="AZ98" s="139"/>
      <c r="BA98" s="139"/>
      <c r="BB98" s="139"/>
      <c r="BC98" s="101">
        <f t="shared" si="2"/>
        <v>9</v>
      </c>
      <c r="BD98" s="101"/>
      <c r="BE98" s="101"/>
      <c r="BF98" s="101"/>
      <c r="BG98" s="140">
        <f>IF(AY98&lt;0,0,BC98*((AY98/AY113)^(1/0.12)))</f>
        <v>1.7807201274017609E-2</v>
      </c>
      <c r="BH98" s="141"/>
      <c r="BI98" s="142"/>
      <c r="BJ98" s="26"/>
      <c r="BK98" s="26"/>
    </row>
    <row r="99" spans="1:63" s="11" customFormat="1" ht="15" customHeight="1" x14ac:dyDescent="0.15">
      <c r="A99" s="24"/>
      <c r="AK99" s="11">
        <v>269.07162475585938</v>
      </c>
      <c r="AN99" s="26"/>
      <c r="AO99" s="137">
        <f t="shared" si="3"/>
        <v>6</v>
      </c>
      <c r="AP99" s="138"/>
      <c r="AQ99" s="100">
        <f t="shared" si="0"/>
        <v>1021.2149658203125</v>
      </c>
      <c r="AR99" s="101"/>
      <c r="AS99" s="101"/>
      <c r="AT99" s="101"/>
      <c r="AU99" s="101">
        <f t="shared" si="1"/>
        <v>534.17449951171875</v>
      </c>
      <c r="AV99" s="101"/>
      <c r="AW99" s="101"/>
      <c r="AX99" s="101"/>
      <c r="AY99" s="139">
        <f t="shared" si="4"/>
        <v>487.04046630859375</v>
      </c>
      <c r="AZ99" s="139"/>
      <c r="BA99" s="139"/>
      <c r="BB99" s="139"/>
      <c r="BC99" s="101">
        <f t="shared" si="2"/>
        <v>9</v>
      </c>
      <c r="BD99" s="101"/>
      <c r="BE99" s="101"/>
      <c r="BF99" s="101"/>
      <c r="BG99" s="140">
        <f>IF(AY99&lt;0,0,BC99*((AY99/AY113)^(1/0.12)))</f>
        <v>1.7741598611980568E-2</v>
      </c>
      <c r="BH99" s="141"/>
      <c r="BI99" s="142"/>
      <c r="BJ99" s="26"/>
      <c r="BK99" s="26"/>
    </row>
    <row r="100" spans="1:63" s="11" customFormat="1" ht="15" customHeight="1" x14ac:dyDescent="0.15">
      <c r="A100" s="24"/>
      <c r="AK100" s="11">
        <v>272.46682739257813</v>
      </c>
      <c r="AN100" s="26"/>
      <c r="AO100" s="137">
        <f t="shared" si="3"/>
        <v>7</v>
      </c>
      <c r="AP100" s="138"/>
      <c r="AQ100" s="100">
        <f t="shared" si="0"/>
        <v>1019.58154296875</v>
      </c>
      <c r="AR100" s="101"/>
      <c r="AS100" s="101"/>
      <c r="AT100" s="101"/>
      <c r="AU100" s="101">
        <f t="shared" si="1"/>
        <v>534.17449951171875</v>
      </c>
      <c r="AV100" s="101"/>
      <c r="AW100" s="101"/>
      <c r="AX100" s="101"/>
      <c r="AY100" s="139">
        <f t="shared" si="4"/>
        <v>485.40704345703125</v>
      </c>
      <c r="AZ100" s="139"/>
      <c r="BA100" s="139"/>
      <c r="BB100" s="139"/>
      <c r="BC100" s="101">
        <f t="shared" si="2"/>
        <v>9</v>
      </c>
      <c r="BD100" s="101"/>
      <c r="BE100" s="101"/>
      <c r="BF100" s="101"/>
      <c r="BG100" s="140">
        <f>IF(AY100&lt;0,0,BC100*((AY100/AY113)^(1/0.12)))</f>
        <v>1.7251809084519436E-2</v>
      </c>
      <c r="BH100" s="141"/>
      <c r="BI100" s="142"/>
      <c r="BJ100" s="26"/>
      <c r="BK100" s="26"/>
    </row>
    <row r="101" spans="1:63" s="11" customFormat="1" ht="15" customHeight="1" x14ac:dyDescent="0.15">
      <c r="A101" s="24"/>
      <c r="AK101" s="11">
        <v>275.862060546875</v>
      </c>
      <c r="AN101" s="26"/>
      <c r="AO101" s="137">
        <f t="shared" si="3"/>
        <v>8</v>
      </c>
      <c r="AP101" s="138"/>
      <c r="AQ101" s="100">
        <f t="shared" si="0"/>
        <v>1017.9482421875</v>
      </c>
      <c r="AR101" s="101"/>
      <c r="AS101" s="101"/>
      <c r="AT101" s="101"/>
      <c r="AU101" s="101">
        <f t="shared" si="1"/>
        <v>877.0372314453125</v>
      </c>
      <c r="AV101" s="101"/>
      <c r="AW101" s="101"/>
      <c r="AX101" s="101"/>
      <c r="AY101" s="139">
        <f t="shared" si="4"/>
        <v>140.9110107421875</v>
      </c>
      <c r="AZ101" s="139"/>
      <c r="BA101" s="139"/>
      <c r="BB101" s="139"/>
      <c r="BC101" s="101">
        <f t="shared" si="2"/>
        <v>9</v>
      </c>
      <c r="BD101" s="101"/>
      <c r="BE101" s="101"/>
      <c r="BF101" s="101"/>
      <c r="BG101" s="140">
        <f>IF(AY101&lt;0,0,BC101*((AY101/AY113)^(1/0.12)))</f>
        <v>5.7609191292281092E-7</v>
      </c>
      <c r="BH101" s="141"/>
      <c r="BI101" s="142"/>
      <c r="BJ101" s="26"/>
      <c r="BK101" s="26"/>
    </row>
    <row r="102" spans="1:63" s="11" customFormat="1" ht="15" customHeight="1" x14ac:dyDescent="0.15">
      <c r="A102" s="24"/>
      <c r="AK102" s="11">
        <v>279.25729370117188</v>
      </c>
      <c r="AN102" s="26"/>
      <c r="AO102" s="137">
        <f t="shared" si="3"/>
        <v>9</v>
      </c>
      <c r="AP102" s="138"/>
      <c r="AQ102" s="100">
        <f t="shared" si="0"/>
        <v>1017.906982421875</v>
      </c>
      <c r="AR102" s="101"/>
      <c r="AS102" s="101"/>
      <c r="AT102" s="101"/>
      <c r="AU102" s="101">
        <f t="shared" si="1"/>
        <v>534.17449951171875</v>
      </c>
      <c r="AV102" s="101"/>
      <c r="AW102" s="101"/>
      <c r="AX102" s="101"/>
      <c r="AY102" s="139">
        <f t="shared" si="4"/>
        <v>483.73248291015625</v>
      </c>
      <c r="AZ102" s="139"/>
      <c r="BA102" s="139"/>
      <c r="BB102" s="139"/>
      <c r="BC102" s="101">
        <f t="shared" si="2"/>
        <v>9</v>
      </c>
      <c r="BD102" s="101"/>
      <c r="BE102" s="101"/>
      <c r="BF102" s="101"/>
      <c r="BG102" s="140">
        <f>IF(AY102&lt;0,0,BC102*((AY102/AY113)^(1/0.12)))</f>
        <v>1.6762075425034696E-2</v>
      </c>
      <c r="BH102" s="141"/>
      <c r="BI102" s="142"/>
      <c r="BJ102" s="26"/>
      <c r="BK102" s="26"/>
    </row>
    <row r="103" spans="1:63" s="11" customFormat="1" ht="15" customHeight="1" x14ac:dyDescent="0.15">
      <c r="A103" s="24"/>
      <c r="AK103" s="11">
        <v>282.65252685546875</v>
      </c>
      <c r="AN103" s="26"/>
      <c r="AO103" s="137">
        <f t="shared" si="3"/>
        <v>10</v>
      </c>
      <c r="AP103" s="138"/>
      <c r="AQ103" s="100">
        <f t="shared" si="0"/>
        <v>1016.3148193359375</v>
      </c>
      <c r="AR103" s="101"/>
      <c r="AS103" s="101"/>
      <c r="AT103" s="101"/>
      <c r="AU103" s="101">
        <f t="shared" si="1"/>
        <v>534.17449951171875</v>
      </c>
      <c r="AV103" s="101"/>
      <c r="AW103" s="101"/>
      <c r="AX103" s="101"/>
      <c r="AY103" s="139">
        <f t="shared" si="4"/>
        <v>482.14031982421875</v>
      </c>
      <c r="AZ103" s="139"/>
      <c r="BA103" s="139"/>
      <c r="BB103" s="139"/>
      <c r="BC103" s="101">
        <f t="shared" si="2"/>
        <v>9</v>
      </c>
      <c r="BD103" s="101"/>
      <c r="BE103" s="101"/>
      <c r="BF103" s="101"/>
      <c r="BG103" s="140">
        <f>IF(AY103&lt;0,0,BC103*((AY103/AY113)^(1/0.12)))</f>
        <v>1.630782810609311E-2</v>
      </c>
      <c r="BH103" s="141"/>
      <c r="BI103" s="142"/>
      <c r="BJ103" s="26"/>
      <c r="BK103" s="26"/>
    </row>
    <row r="104" spans="1:63" s="11" customFormat="1" ht="15" customHeight="1" x14ac:dyDescent="0.15">
      <c r="A104" s="24"/>
      <c r="AK104" s="11">
        <v>286.0477294921875</v>
      </c>
      <c r="AN104" s="26"/>
      <c r="AO104" s="137">
        <f t="shared" ref="AO104:AO111" si="5">AO103+1</f>
        <v>11</v>
      </c>
      <c r="AP104" s="138"/>
      <c r="AQ104" s="100">
        <f t="shared" si="0"/>
        <v>1014.6815185546875</v>
      </c>
      <c r="AR104" s="101"/>
      <c r="AS104" s="101"/>
      <c r="AT104" s="101"/>
      <c r="AU104" s="101">
        <f t="shared" si="1"/>
        <v>877.0372314453125</v>
      </c>
      <c r="AV104" s="101"/>
      <c r="AW104" s="101"/>
      <c r="AX104" s="101"/>
      <c r="AY104" s="139">
        <f t="shared" ref="AY104:AY111" si="6">AQ104-AU104</f>
        <v>137.644287109375</v>
      </c>
      <c r="AZ104" s="139"/>
      <c r="BA104" s="139"/>
      <c r="BB104" s="139"/>
      <c r="BC104" s="101">
        <f t="shared" si="2"/>
        <v>9</v>
      </c>
      <c r="BD104" s="101"/>
      <c r="BE104" s="101"/>
      <c r="BF104" s="101"/>
      <c r="BG104" s="140">
        <f>IF(AY104&lt;0,0,BC104*((AY104/AY113)^(1/0.12)))</f>
        <v>4.7380788622318952E-7</v>
      </c>
      <c r="BH104" s="141"/>
      <c r="BI104" s="142"/>
      <c r="BJ104" s="26"/>
      <c r="BK104" s="26"/>
    </row>
    <row r="105" spans="1:63" s="69" customFormat="1" ht="15" customHeight="1" x14ac:dyDescent="0.15">
      <c r="A105" s="24"/>
      <c r="AI105" s="11"/>
      <c r="AJ105" s="11"/>
      <c r="AK105" s="11">
        <v>289.44296264648438</v>
      </c>
      <c r="AL105" s="11"/>
      <c r="AM105" s="11"/>
      <c r="AN105" s="26"/>
      <c r="AO105" s="137">
        <f t="shared" si="5"/>
        <v>12</v>
      </c>
      <c r="AP105" s="138"/>
      <c r="AQ105" s="100">
        <f t="shared" si="0"/>
        <v>1014.38330078125</v>
      </c>
      <c r="AR105" s="101"/>
      <c r="AS105" s="101"/>
      <c r="AT105" s="101"/>
      <c r="AU105" s="101">
        <f t="shared" si="1"/>
        <v>534.17449951171875</v>
      </c>
      <c r="AV105" s="101"/>
      <c r="AW105" s="101"/>
      <c r="AX105" s="101"/>
      <c r="AY105" s="139">
        <f t="shared" si="6"/>
        <v>480.20880126953125</v>
      </c>
      <c r="AZ105" s="139"/>
      <c r="BA105" s="139"/>
      <c r="BB105" s="139"/>
      <c r="BC105" s="101">
        <f t="shared" si="2"/>
        <v>9</v>
      </c>
      <c r="BD105" s="101"/>
      <c r="BE105" s="101"/>
      <c r="BF105" s="101"/>
      <c r="BG105" s="140">
        <f>IF(AY105&lt;0,0,BC105*((AY105/AY113)^(1/0.12)))</f>
        <v>1.5771330193209004E-2</v>
      </c>
      <c r="BH105" s="141"/>
      <c r="BI105" s="142"/>
      <c r="BJ105" s="26"/>
      <c r="BK105" s="26"/>
    </row>
    <row r="106" spans="1:63" s="69" customFormat="1" ht="15" customHeight="1" x14ac:dyDescent="0.15">
      <c r="A106" s="24"/>
      <c r="AI106" s="11"/>
      <c r="AJ106" s="11"/>
      <c r="AK106" s="11">
        <v>292.83819580078125</v>
      </c>
      <c r="AL106" s="11"/>
      <c r="AM106" s="11"/>
      <c r="AN106" s="26"/>
      <c r="AO106" s="137">
        <f t="shared" si="5"/>
        <v>13</v>
      </c>
      <c r="AP106" s="138"/>
      <c r="AQ106" s="100">
        <f t="shared" si="0"/>
        <v>1013.048095703125</v>
      </c>
      <c r="AR106" s="101"/>
      <c r="AS106" s="101"/>
      <c r="AT106" s="101"/>
      <c r="AU106" s="101">
        <f t="shared" si="1"/>
        <v>534.17449951171875</v>
      </c>
      <c r="AV106" s="101"/>
      <c r="AW106" s="101"/>
      <c r="AX106" s="101"/>
      <c r="AY106" s="139">
        <f t="shared" si="6"/>
        <v>478.87359619140625</v>
      </c>
      <c r="AZ106" s="139"/>
      <c r="BA106" s="139"/>
      <c r="BB106" s="139"/>
      <c r="BC106" s="101">
        <f t="shared" si="2"/>
        <v>9</v>
      </c>
      <c r="BD106" s="101"/>
      <c r="BE106" s="101"/>
      <c r="BF106" s="101"/>
      <c r="BG106" s="140">
        <f>IF(AY106&lt;0,0,BC106*((AY106/AY113)^(1/0.12)))</f>
        <v>1.5409603365378714E-2</v>
      </c>
      <c r="BH106" s="141"/>
      <c r="BI106" s="142"/>
      <c r="BJ106" s="26"/>
      <c r="BK106" s="26"/>
    </row>
    <row r="107" spans="1:63" s="69" customFormat="1" ht="15" customHeight="1" x14ac:dyDescent="0.15">
      <c r="A107" s="24"/>
      <c r="AI107" s="11"/>
      <c r="AJ107" s="11"/>
      <c r="AK107" s="11">
        <v>296.23342895507813</v>
      </c>
      <c r="AL107" s="11"/>
      <c r="AM107" s="11"/>
      <c r="AN107" s="26"/>
      <c r="AO107" s="137">
        <f t="shared" si="5"/>
        <v>14</v>
      </c>
      <c r="AP107" s="138"/>
      <c r="AQ107" s="100">
        <f t="shared" si="0"/>
        <v>1011.4146728515625</v>
      </c>
      <c r="AR107" s="101"/>
      <c r="AS107" s="101"/>
      <c r="AT107" s="101"/>
      <c r="AU107" s="101">
        <f t="shared" si="1"/>
        <v>877.0372314453125</v>
      </c>
      <c r="AV107" s="101"/>
      <c r="AW107" s="101"/>
      <c r="AX107" s="101"/>
      <c r="AY107" s="139">
        <f t="shared" si="6"/>
        <v>134.37744140625</v>
      </c>
      <c r="AZ107" s="139"/>
      <c r="BA107" s="139"/>
      <c r="BB107" s="139"/>
      <c r="BC107" s="101">
        <f t="shared" si="2"/>
        <v>9</v>
      </c>
      <c r="BD107" s="101"/>
      <c r="BE107" s="101"/>
      <c r="BF107" s="101"/>
      <c r="BG107" s="140">
        <f>IF(AY107&lt;0,0,BC107*((AY107/AY113)^(1/0.12)))</f>
        <v>3.8785592098430983E-7</v>
      </c>
      <c r="BH107" s="141"/>
      <c r="BI107" s="142"/>
      <c r="BJ107" s="26"/>
      <c r="BK107" s="26"/>
    </row>
    <row r="108" spans="1:63" s="69" customFormat="1" ht="15" customHeight="1" x14ac:dyDescent="0.15">
      <c r="A108" s="24"/>
      <c r="AI108" s="11"/>
      <c r="AJ108" s="11"/>
      <c r="AK108" s="11">
        <v>299.62863159179688</v>
      </c>
      <c r="AL108" s="11"/>
      <c r="AM108" s="11"/>
      <c r="AN108" s="26"/>
      <c r="AO108" s="137">
        <f t="shared" si="5"/>
        <v>15</v>
      </c>
      <c r="AP108" s="138"/>
      <c r="AQ108" s="100">
        <f t="shared" si="0"/>
        <v>1010.8595581054688</v>
      </c>
      <c r="AR108" s="101"/>
      <c r="AS108" s="101"/>
      <c r="AT108" s="101"/>
      <c r="AU108" s="101">
        <f t="shared" si="1"/>
        <v>534.17449951171875</v>
      </c>
      <c r="AV108" s="101"/>
      <c r="AW108" s="101"/>
      <c r="AX108" s="101"/>
      <c r="AY108" s="139">
        <f t="shared" si="6"/>
        <v>476.68505859375</v>
      </c>
      <c r="AZ108" s="139"/>
      <c r="BA108" s="139"/>
      <c r="BB108" s="139"/>
      <c r="BC108" s="101">
        <f t="shared" si="2"/>
        <v>9</v>
      </c>
      <c r="BD108" s="101"/>
      <c r="BE108" s="101"/>
      <c r="BF108" s="101"/>
      <c r="BG108" s="140">
        <f>IF(AY108&lt;0,0,BC108*((AY108/AY113)^(1/0.12)))</f>
        <v>1.4832471532442555E-2</v>
      </c>
      <c r="BH108" s="141"/>
      <c r="BI108" s="142"/>
      <c r="BJ108" s="26"/>
      <c r="BK108" s="26"/>
    </row>
    <row r="109" spans="1:63" s="69" customFormat="1" ht="15" customHeight="1" x14ac:dyDescent="0.15">
      <c r="A109" s="24"/>
      <c r="AI109" s="11"/>
      <c r="AJ109" s="11"/>
      <c r="AK109" s="11">
        <v>303.02386474609375</v>
      </c>
      <c r="AL109" s="11"/>
      <c r="AM109" s="11"/>
      <c r="AN109" s="26"/>
      <c r="AO109" s="137">
        <f t="shared" si="5"/>
        <v>16</v>
      </c>
      <c r="AP109" s="138"/>
      <c r="AQ109" s="100">
        <f t="shared" si="0"/>
        <v>1009.7813720703125</v>
      </c>
      <c r="AR109" s="101"/>
      <c r="AS109" s="101"/>
      <c r="AT109" s="101"/>
      <c r="AU109" s="101">
        <f t="shared" si="1"/>
        <v>534.17449951171875</v>
      </c>
      <c r="AV109" s="101"/>
      <c r="AW109" s="101"/>
      <c r="AX109" s="101"/>
      <c r="AY109" s="139">
        <f t="shared" si="6"/>
        <v>475.60687255859375</v>
      </c>
      <c r="AZ109" s="139"/>
      <c r="BA109" s="139"/>
      <c r="BB109" s="139"/>
      <c r="BC109" s="101">
        <f t="shared" si="2"/>
        <v>9</v>
      </c>
      <c r="BD109" s="101"/>
      <c r="BE109" s="101"/>
      <c r="BF109" s="101"/>
      <c r="BG109" s="140">
        <f>IF(AY109&lt;0,0,BC109*((AY109/AY113)^(1/0.12)))</f>
        <v>1.4555206612311831E-2</v>
      </c>
      <c r="BH109" s="141"/>
      <c r="BI109" s="142"/>
      <c r="BJ109" s="26"/>
      <c r="BK109" s="26"/>
    </row>
    <row r="110" spans="1:63" s="69" customFormat="1" ht="15" customHeight="1" x14ac:dyDescent="0.15">
      <c r="A110" s="24"/>
      <c r="AI110" s="11"/>
      <c r="AJ110" s="11"/>
      <c r="AK110" s="11">
        <v>306.4190673828125</v>
      </c>
      <c r="AL110" s="11"/>
      <c r="AM110" s="11"/>
      <c r="AN110" s="26"/>
      <c r="AO110" s="137">
        <f t="shared" si="5"/>
        <v>17</v>
      </c>
      <c r="AP110" s="138"/>
      <c r="AQ110" s="100">
        <f t="shared" si="0"/>
        <v>1008.14794921875</v>
      </c>
      <c r="AR110" s="101"/>
      <c r="AS110" s="101"/>
      <c r="AT110" s="101"/>
      <c r="AU110" s="101">
        <f t="shared" si="1"/>
        <v>877.0372314453125</v>
      </c>
      <c r="AV110" s="101"/>
      <c r="AW110" s="101"/>
      <c r="AX110" s="101"/>
      <c r="AY110" s="139">
        <f t="shared" si="6"/>
        <v>131.1107177734375</v>
      </c>
      <c r="AZ110" s="139"/>
      <c r="BA110" s="139"/>
      <c r="BB110" s="139"/>
      <c r="BC110" s="101">
        <f t="shared" si="2"/>
        <v>9</v>
      </c>
      <c r="BD110" s="101"/>
      <c r="BE110" s="101"/>
      <c r="BF110" s="101"/>
      <c r="BG110" s="140">
        <f>IF(AY110&lt;0,0,BC110*((AY110/AY113)^(1/0.12)))</f>
        <v>3.1593833096281424E-7</v>
      </c>
      <c r="BH110" s="141"/>
      <c r="BI110" s="142"/>
      <c r="BJ110" s="26"/>
      <c r="BK110" s="26"/>
    </row>
    <row r="111" spans="1:63" s="69" customFormat="1" ht="15" customHeight="1" x14ac:dyDescent="0.15">
      <c r="A111" s="24"/>
      <c r="AI111" s="11"/>
      <c r="AJ111" s="11"/>
      <c r="AK111" s="11">
        <v>309.8143310546875</v>
      </c>
      <c r="AL111" s="11"/>
      <c r="AM111" s="11"/>
      <c r="AN111" s="26"/>
      <c r="AO111" s="137">
        <f t="shared" si="5"/>
        <v>18</v>
      </c>
      <c r="AP111" s="138"/>
      <c r="AQ111" s="100">
        <f t="shared" si="0"/>
        <v>1007.3358154296875</v>
      </c>
      <c r="AR111" s="101"/>
      <c r="AS111" s="101"/>
      <c r="AT111" s="101"/>
      <c r="AU111" s="101">
        <f t="shared" si="1"/>
        <v>534.17449951171875</v>
      </c>
      <c r="AV111" s="101"/>
      <c r="AW111" s="101"/>
      <c r="AX111" s="101"/>
      <c r="AY111" s="139">
        <f t="shared" si="6"/>
        <v>473.16131591796875</v>
      </c>
      <c r="AZ111" s="139"/>
      <c r="BA111" s="139"/>
      <c r="BB111" s="139"/>
      <c r="BC111" s="101">
        <f t="shared" si="2"/>
        <v>9</v>
      </c>
      <c r="BD111" s="101"/>
      <c r="BE111" s="101"/>
      <c r="BF111" s="101"/>
      <c r="BG111" s="140">
        <f>IF(AY111&lt;0,0,BC111*((AY111/AY113)^(1/0.12)))</f>
        <v>1.3943151707245484E-2</v>
      </c>
      <c r="BH111" s="141"/>
      <c r="BI111" s="142"/>
      <c r="BJ111" s="26"/>
      <c r="BK111" s="26"/>
    </row>
    <row r="112" spans="1:63" s="69" customFormat="1" ht="15" customHeight="1" x14ac:dyDescent="0.15">
      <c r="A112" s="24"/>
      <c r="AI112" s="11"/>
      <c r="AJ112" s="11"/>
      <c r="AK112" s="11">
        <v>313.20953369140625</v>
      </c>
      <c r="AL112" s="11"/>
      <c r="AM112" s="11"/>
      <c r="AN112" s="26"/>
      <c r="AO112" s="137">
        <f t="shared" ref="AO112" si="7">AO111+1</f>
        <v>19</v>
      </c>
      <c r="AP112" s="138"/>
      <c r="AQ112" s="100">
        <f t="shared" si="0"/>
        <v>1006.5145263671875</v>
      </c>
      <c r="AR112" s="101"/>
      <c r="AS112" s="101"/>
      <c r="AT112" s="101"/>
      <c r="AU112" s="101">
        <f t="shared" si="1"/>
        <v>534.17449951171875</v>
      </c>
      <c r="AV112" s="101"/>
      <c r="AW112" s="101"/>
      <c r="AX112" s="101"/>
      <c r="AY112" s="139">
        <f t="shared" ref="AY112" si="8">AQ112-AU112</f>
        <v>472.34002685546875</v>
      </c>
      <c r="AZ112" s="139"/>
      <c r="BA112" s="139"/>
      <c r="BB112" s="139"/>
      <c r="BC112" s="101">
        <f t="shared" si="2"/>
        <v>9</v>
      </c>
      <c r="BD112" s="101"/>
      <c r="BE112" s="101"/>
      <c r="BF112" s="101"/>
      <c r="BG112" s="140">
        <f>IF(AY112&lt;0,0,BC112*((AY112/AY113)^(1/0.12)))</f>
        <v>1.3742748889990357E-2</v>
      </c>
      <c r="BH112" s="141"/>
      <c r="BI112" s="142"/>
      <c r="BJ112" s="26"/>
      <c r="BK112" s="26"/>
    </row>
    <row r="113" spans="1:63" s="69" customFormat="1" ht="15" customHeight="1" x14ac:dyDescent="0.15">
      <c r="A113" s="24"/>
      <c r="AI113" s="11"/>
      <c r="AJ113" s="11"/>
      <c r="AK113" s="11">
        <v>316.60476684570313</v>
      </c>
      <c r="AL113" s="11"/>
      <c r="AM113" s="11"/>
      <c r="AN113" s="11"/>
      <c r="AO113" s="130"/>
      <c r="AP113" s="131"/>
      <c r="AQ113" s="132"/>
      <c r="AR113" s="133"/>
      <c r="AS113" s="133"/>
      <c r="AT113" s="133"/>
      <c r="AU113" s="126" t="s">
        <v>352</v>
      </c>
      <c r="AV113" s="127"/>
      <c r="AW113" s="127"/>
      <c r="AX113" s="127"/>
      <c r="AY113" s="128">
        <f>MAX(AY93:BB112)</f>
        <v>1028.47802734375</v>
      </c>
      <c r="AZ113" s="128"/>
      <c r="BA113" s="128"/>
      <c r="BB113" s="129"/>
      <c r="BC113" s="126" t="s">
        <v>105</v>
      </c>
      <c r="BD113" s="127"/>
      <c r="BE113" s="127"/>
      <c r="BF113" s="127"/>
      <c r="BG113" s="124">
        <f>SUM(BG93:BI112)</f>
        <v>1.2318655517127348</v>
      </c>
      <c r="BH113" s="124"/>
      <c r="BI113" s="125"/>
      <c r="BJ113" s="11"/>
      <c r="BK113" s="11"/>
    </row>
    <row r="114" spans="1:63" s="69" customFormat="1" ht="15" customHeight="1" x14ac:dyDescent="0.15">
      <c r="A114" s="24"/>
      <c r="AI114" s="11"/>
      <c r="AJ114" s="11"/>
      <c r="AK114" s="11">
        <v>320</v>
      </c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s="69" customFormat="1" ht="15" customHeight="1" x14ac:dyDescent="0.15">
      <c r="A115" s="24"/>
      <c r="E115" s="70"/>
      <c r="F115" s="71" t="s">
        <v>393</v>
      </c>
      <c r="G115" s="72" t="s">
        <v>394</v>
      </c>
      <c r="H115" s="134">
        <v>365</v>
      </c>
      <c r="I115" s="134"/>
      <c r="J115" s="73" t="s">
        <v>300</v>
      </c>
      <c r="K115" s="134">
        <v>100</v>
      </c>
      <c r="L115" s="134"/>
      <c r="M115" s="73" t="s">
        <v>300</v>
      </c>
      <c r="N115" s="135">
        <f>O35</f>
        <v>60</v>
      </c>
      <c r="O115" s="135"/>
      <c r="P115" s="73" t="s">
        <v>300</v>
      </c>
      <c r="Q115" s="136">
        <v>10.39</v>
      </c>
      <c r="R115" s="136"/>
      <c r="S115" s="136"/>
      <c r="T115" s="73" t="s">
        <v>300</v>
      </c>
      <c r="U115" s="92">
        <v>1</v>
      </c>
      <c r="V115" s="92"/>
      <c r="W115" s="92"/>
      <c r="X115" s="93">
        <v>0.06</v>
      </c>
      <c r="Y115" s="93"/>
      <c r="Z115" s="72" t="s">
        <v>394</v>
      </c>
      <c r="AA115" s="94">
        <f>ROUND(H115*K115*(N115*Q115*U115^(1/X115)),-2)/1000</f>
        <v>22754.1</v>
      </c>
      <c r="AB115" s="94"/>
      <c r="AC115" s="94"/>
      <c r="AD115" s="94"/>
      <c r="AE115" s="74" t="s">
        <v>300</v>
      </c>
      <c r="AF115" s="74" t="s">
        <v>395</v>
      </c>
      <c r="AG115" s="75"/>
      <c r="AH115" s="70"/>
      <c r="AI115" s="11"/>
      <c r="AJ115" s="11"/>
      <c r="AK115" s="11">
        <v>323.39520263671875</v>
      </c>
      <c r="AL115" s="11"/>
      <c r="AM115" s="11"/>
      <c r="AN115" s="11"/>
      <c r="AO115" s="11"/>
      <c r="AP115" s="11"/>
    </row>
    <row r="116" spans="1:63" s="69" customFormat="1" ht="15" customHeight="1" x14ac:dyDescent="0.15">
      <c r="A116" s="24"/>
      <c r="AI116" s="11"/>
      <c r="AJ116" s="11"/>
      <c r="AK116" s="11">
        <v>326.79046630859375</v>
      </c>
      <c r="AL116" s="11"/>
      <c r="AM116" s="11"/>
      <c r="AN116" s="11"/>
      <c r="AO116" s="11"/>
      <c r="AP116" s="11"/>
    </row>
    <row r="117" spans="1:63" s="11" customFormat="1" ht="15" customHeight="1" x14ac:dyDescent="0.15">
      <c r="A117" s="24"/>
      <c r="AK117" s="11">
        <v>330.1856689453125</v>
      </c>
    </row>
    <row r="118" spans="1:63" s="11" customFormat="1" ht="15" customHeight="1" x14ac:dyDescent="0.15">
      <c r="A118" s="26"/>
      <c r="D118" s="14" t="s">
        <v>353</v>
      </c>
      <c r="E118" s="14" t="s">
        <v>106</v>
      </c>
      <c r="AK118" s="11">
        <v>333.58087158203125</v>
      </c>
    </row>
    <row r="119" spans="1:63" s="11" customFormat="1" ht="15" customHeight="1" x14ac:dyDescent="0.15">
      <c r="A119" s="26"/>
      <c r="AK119" s="11">
        <v>336.97613525390625</v>
      </c>
    </row>
    <row r="120" spans="1:63" s="11" customFormat="1" ht="15" customHeight="1" x14ac:dyDescent="0.15">
      <c r="A120" s="26"/>
      <c r="E120" s="11" t="s">
        <v>107</v>
      </c>
      <c r="AI120" s="2"/>
      <c r="AJ120" s="2"/>
      <c r="AK120" s="2">
        <v>340.371337890625</v>
      </c>
      <c r="AL120" s="2"/>
      <c r="AM120" s="2"/>
      <c r="AN120" s="2"/>
      <c r="AO120" s="2"/>
      <c r="AP120" s="2"/>
    </row>
    <row r="121" spans="1:63" s="11" customFormat="1" ht="15" customHeight="1" x14ac:dyDescent="0.15">
      <c r="A121" s="26"/>
      <c r="AI121" s="2"/>
      <c r="AJ121" s="2"/>
      <c r="AK121" s="2">
        <v>343.76657104492188</v>
      </c>
      <c r="AL121" s="2"/>
      <c r="AM121" s="2"/>
      <c r="AN121" s="2"/>
      <c r="AO121" s="2"/>
      <c r="AP121" s="2"/>
    </row>
    <row r="122" spans="1:63" s="11" customFormat="1" ht="15" customHeight="1" x14ac:dyDescent="0.15">
      <c r="A122" s="26"/>
      <c r="F122" s="103" t="s">
        <v>108</v>
      </c>
      <c r="G122" s="103"/>
      <c r="H122" s="103" t="s">
        <v>6</v>
      </c>
      <c r="I122" s="103" t="s">
        <v>64</v>
      </c>
      <c r="J122" s="103"/>
      <c r="K122" s="103" t="s">
        <v>30</v>
      </c>
      <c r="L122" s="103" t="s">
        <v>109</v>
      </c>
      <c r="M122" s="103"/>
      <c r="N122" s="103" t="s">
        <v>30</v>
      </c>
      <c r="O122" s="24">
        <v>10</v>
      </c>
      <c r="P122" s="28" t="s">
        <v>65</v>
      </c>
      <c r="Q122" s="103" t="s">
        <v>110</v>
      </c>
      <c r="R122" s="103" t="s">
        <v>111</v>
      </c>
      <c r="S122" s="103" t="s">
        <v>9</v>
      </c>
      <c r="T122" s="29" t="s">
        <v>67</v>
      </c>
      <c r="U122" s="29"/>
      <c r="V122" s="111" t="s">
        <v>3</v>
      </c>
      <c r="W122" s="103" t="s">
        <v>4</v>
      </c>
      <c r="X122" s="103" t="s">
        <v>68</v>
      </c>
      <c r="Y122" s="103"/>
      <c r="AI122" s="2"/>
      <c r="AJ122" s="2"/>
      <c r="AK122" s="2">
        <v>347.16180419921875</v>
      </c>
      <c r="AL122" s="2"/>
      <c r="AM122" s="2"/>
      <c r="AN122" s="2"/>
      <c r="AO122" s="2"/>
      <c r="AP122" s="2"/>
    </row>
    <row r="123" spans="1:63" s="11" customFormat="1" ht="15" customHeight="1" x14ac:dyDescent="0.15">
      <c r="A123" s="26"/>
      <c r="F123" s="103"/>
      <c r="G123" s="103"/>
      <c r="H123" s="103"/>
      <c r="I123" s="103"/>
      <c r="J123" s="103"/>
      <c r="K123" s="103"/>
      <c r="L123" s="103"/>
      <c r="M123" s="103"/>
      <c r="N123" s="103"/>
      <c r="O123" s="30" t="s">
        <v>93</v>
      </c>
      <c r="P123" s="19" t="s">
        <v>72</v>
      </c>
      <c r="Q123" s="103"/>
      <c r="R123" s="103"/>
      <c r="S123" s="103"/>
      <c r="T123" s="103" t="s">
        <v>70</v>
      </c>
      <c r="U123" s="103"/>
      <c r="V123" s="111"/>
      <c r="W123" s="103"/>
      <c r="X123" s="103"/>
      <c r="Y123" s="103"/>
      <c r="AI123" s="2"/>
      <c r="AJ123" s="2"/>
      <c r="AK123" s="2">
        <v>350.5570068359375</v>
      </c>
      <c r="AL123" s="2"/>
      <c r="AM123" s="2"/>
      <c r="AN123" s="2"/>
      <c r="AO123" s="2"/>
      <c r="AP123" s="2"/>
    </row>
    <row r="124" spans="1:63" s="11" customFormat="1" ht="15" customHeight="1" x14ac:dyDescent="0.15">
      <c r="A124" s="26"/>
      <c r="AI124" s="2"/>
      <c r="AJ124" s="2"/>
      <c r="AK124" s="2">
        <v>353.9522705078125</v>
      </c>
      <c r="AL124" s="2"/>
      <c r="AM124" s="2"/>
      <c r="AN124" s="2"/>
      <c r="AO124" s="2"/>
      <c r="AP124" s="2"/>
    </row>
    <row r="125" spans="1:63" s="11" customFormat="1" ht="15" customHeight="1" x14ac:dyDescent="0.15">
      <c r="A125" s="26"/>
      <c r="F125" s="11" t="s">
        <v>41</v>
      </c>
      <c r="I125" s="103" t="s">
        <v>108</v>
      </c>
      <c r="J125" s="103"/>
      <c r="K125" s="15" t="s">
        <v>31</v>
      </c>
      <c r="L125" s="11" t="s">
        <v>112</v>
      </c>
      <c r="AI125" s="2"/>
      <c r="AJ125" s="2"/>
      <c r="AK125" s="2">
        <v>357.34747314453125</v>
      </c>
      <c r="AL125" s="2"/>
      <c r="AM125" s="2"/>
      <c r="AN125" s="2"/>
      <c r="AO125" s="2"/>
      <c r="AP125" s="2"/>
    </row>
    <row r="126" spans="1:63" s="11" customFormat="1" ht="15" customHeight="1" x14ac:dyDescent="0.15">
      <c r="A126" s="26"/>
      <c r="I126" s="103" t="s">
        <v>93</v>
      </c>
      <c r="J126" s="103"/>
      <c r="K126" s="15" t="s">
        <v>31</v>
      </c>
      <c r="L126" s="11" t="s">
        <v>113</v>
      </c>
      <c r="AI126" s="2"/>
      <c r="AJ126" s="2"/>
      <c r="AK126" s="2">
        <v>360.74267578125</v>
      </c>
      <c r="AL126" s="2"/>
      <c r="AM126" s="2"/>
      <c r="AN126" s="2"/>
      <c r="AO126" s="2"/>
      <c r="AP126" s="2"/>
    </row>
    <row r="127" spans="1:63" s="11" customFormat="1" ht="15" customHeight="1" x14ac:dyDescent="0.15">
      <c r="A127" s="26"/>
      <c r="I127" s="103" t="s">
        <v>114</v>
      </c>
      <c r="J127" s="103"/>
      <c r="K127" s="15" t="s">
        <v>31</v>
      </c>
      <c r="L127" s="11" t="s">
        <v>115</v>
      </c>
      <c r="AI127" s="2"/>
      <c r="AJ127" s="2"/>
      <c r="AK127" s="2">
        <v>364.137939453125</v>
      </c>
      <c r="AL127" s="2"/>
      <c r="AM127" s="2"/>
      <c r="AN127" s="2"/>
      <c r="AO127" s="2"/>
      <c r="AP127" s="2"/>
    </row>
    <row r="128" spans="1:63" s="11" customFormat="1" ht="15" customHeight="1" x14ac:dyDescent="0.15">
      <c r="A128" s="26"/>
      <c r="I128" s="103" t="s">
        <v>67</v>
      </c>
      <c r="J128" s="103"/>
      <c r="K128" s="15" t="s">
        <v>31</v>
      </c>
      <c r="L128" s="11" t="s">
        <v>116</v>
      </c>
      <c r="AI128" s="2"/>
      <c r="AJ128" s="2"/>
      <c r="AK128" s="2">
        <v>367.53314208984375</v>
      </c>
      <c r="AL128" s="2"/>
      <c r="AM128" s="2"/>
      <c r="AN128" s="2"/>
      <c r="AO128" s="2"/>
      <c r="AP128" s="2"/>
    </row>
    <row r="129" spans="1:42" s="11" customFormat="1" ht="15" customHeight="1" x14ac:dyDescent="0.15">
      <c r="A129" s="26"/>
      <c r="I129" s="15"/>
      <c r="J129" s="15"/>
      <c r="K129" s="15"/>
      <c r="L129" s="11" t="s">
        <v>74</v>
      </c>
      <c r="AI129" s="2"/>
      <c r="AJ129" s="2"/>
      <c r="AK129" s="2">
        <v>370.92840576171875</v>
      </c>
      <c r="AL129" s="2"/>
      <c r="AM129" s="2"/>
      <c r="AN129" s="2"/>
      <c r="AO129" s="2"/>
      <c r="AP129" s="2"/>
    </row>
    <row r="130" spans="1:42" s="11" customFormat="1" ht="15" customHeight="1" x14ac:dyDescent="0.15">
      <c r="A130" s="26"/>
      <c r="I130" s="103" t="s">
        <v>70</v>
      </c>
      <c r="J130" s="103"/>
      <c r="K130" s="15" t="s">
        <v>31</v>
      </c>
      <c r="L130" s="11" t="s">
        <v>75</v>
      </c>
      <c r="AI130" s="2"/>
      <c r="AJ130" s="2"/>
      <c r="AK130" s="2">
        <v>374.3236083984375</v>
      </c>
      <c r="AL130" s="2"/>
      <c r="AM130" s="2"/>
      <c r="AN130" s="2"/>
      <c r="AO130" s="2"/>
      <c r="AP130" s="2"/>
    </row>
    <row r="131" spans="1:42" s="11" customFormat="1" ht="15" customHeight="1" x14ac:dyDescent="0.15">
      <c r="A131" s="26"/>
      <c r="I131" s="103" t="s">
        <v>64</v>
      </c>
      <c r="J131" s="103"/>
      <c r="K131" s="15" t="s">
        <v>31</v>
      </c>
      <c r="L131" s="11" t="s">
        <v>76</v>
      </c>
      <c r="AI131" s="2"/>
      <c r="AJ131" s="2"/>
      <c r="AK131" s="2">
        <v>377.71881103515625</v>
      </c>
      <c r="AL131" s="2"/>
      <c r="AM131" s="2"/>
      <c r="AN131" s="2"/>
      <c r="AO131" s="2"/>
      <c r="AP131" s="2"/>
    </row>
    <row r="132" spans="1:42" s="11" customFormat="1" ht="15" customHeight="1" x14ac:dyDescent="0.15">
      <c r="A132" s="26"/>
      <c r="I132" s="15"/>
      <c r="J132" s="15"/>
      <c r="K132" s="15"/>
      <c r="L132" s="11" t="s">
        <v>77</v>
      </c>
      <c r="AI132" s="2"/>
      <c r="AJ132" s="2"/>
      <c r="AK132" s="2">
        <v>381.11407470703125</v>
      </c>
      <c r="AL132" s="2"/>
      <c r="AM132" s="2"/>
      <c r="AN132" s="2"/>
      <c r="AO132" s="2"/>
      <c r="AP132" s="2"/>
    </row>
    <row r="133" spans="1:42" s="11" customFormat="1" ht="15" customHeight="1" x14ac:dyDescent="0.15">
      <c r="A133" s="26"/>
      <c r="I133" s="103" t="s">
        <v>117</v>
      </c>
      <c r="J133" s="103"/>
      <c r="K133" s="15" t="s">
        <v>31</v>
      </c>
      <c r="L133" s="11" t="s">
        <v>118</v>
      </c>
      <c r="AI133" s="2"/>
      <c r="AJ133" s="2"/>
      <c r="AK133" s="2">
        <v>384.50927734375</v>
      </c>
      <c r="AL133" s="2"/>
      <c r="AM133" s="2"/>
      <c r="AN133" s="2"/>
      <c r="AO133" s="2"/>
      <c r="AP133" s="2"/>
    </row>
    <row r="134" spans="1:42" s="11" customFormat="1" ht="15" customHeight="1" x14ac:dyDescent="0.15">
      <c r="A134" s="26"/>
      <c r="I134" s="15"/>
      <c r="J134" s="15"/>
      <c r="K134" s="15"/>
      <c r="L134" s="103" t="s">
        <v>117</v>
      </c>
      <c r="M134" s="103"/>
      <c r="N134" s="103" t="s">
        <v>6</v>
      </c>
      <c r="O134" s="111" t="s">
        <v>1</v>
      </c>
      <c r="R134" s="122">
        <v>1</v>
      </c>
      <c r="S134" s="122"/>
      <c r="V134" s="111" t="s">
        <v>3</v>
      </c>
      <c r="W134" s="16" t="s">
        <v>72</v>
      </c>
      <c r="AI134" s="2"/>
      <c r="AJ134" s="2"/>
      <c r="AK134" s="2">
        <v>387.90451049804688</v>
      </c>
      <c r="AL134" s="2"/>
      <c r="AM134" s="2"/>
      <c r="AN134" s="2"/>
      <c r="AO134" s="2"/>
      <c r="AP134" s="2"/>
    </row>
    <row r="135" spans="1:42" s="11" customFormat="1" ht="15" customHeight="1" x14ac:dyDescent="0.15">
      <c r="A135" s="26"/>
      <c r="I135" s="15"/>
      <c r="J135" s="15"/>
      <c r="K135" s="15"/>
      <c r="L135" s="103"/>
      <c r="M135" s="103"/>
      <c r="N135" s="103"/>
      <c r="O135" s="111"/>
      <c r="P135" s="123" t="s">
        <v>119</v>
      </c>
      <c r="Q135" s="123"/>
      <c r="R135" s="17" t="s">
        <v>2</v>
      </c>
      <c r="S135" s="123" t="s">
        <v>120</v>
      </c>
      <c r="T135" s="123"/>
      <c r="U135" s="123"/>
      <c r="V135" s="111"/>
      <c r="AI135" s="2"/>
      <c r="AJ135" s="2"/>
      <c r="AK135" s="2">
        <v>391.29971313476563</v>
      </c>
      <c r="AL135" s="2"/>
      <c r="AM135" s="2"/>
      <c r="AN135" s="2"/>
      <c r="AO135" s="2"/>
      <c r="AP135" s="2"/>
    </row>
    <row r="136" spans="1:42" s="11" customFormat="1" ht="15" customHeight="1" x14ac:dyDescent="0.15">
      <c r="A136" s="26"/>
      <c r="I136" s="103" t="s">
        <v>121</v>
      </c>
      <c r="J136" s="103"/>
      <c r="K136" s="15" t="s">
        <v>31</v>
      </c>
      <c r="L136" s="11" t="s">
        <v>122</v>
      </c>
      <c r="AI136" s="2"/>
      <c r="AJ136" s="2"/>
      <c r="AK136" s="2">
        <v>394.6949462890625</v>
      </c>
      <c r="AL136" s="2"/>
      <c r="AM136" s="2"/>
      <c r="AN136" s="2"/>
      <c r="AO136" s="2"/>
      <c r="AP136" s="2"/>
    </row>
    <row r="137" spans="1:42" s="11" customFormat="1" ht="15" customHeight="1" x14ac:dyDescent="0.15">
      <c r="A137" s="26"/>
      <c r="I137" s="15"/>
      <c r="J137" s="15"/>
      <c r="K137" s="15"/>
      <c r="L137" s="11" t="s">
        <v>123</v>
      </c>
      <c r="AI137" s="2"/>
      <c r="AJ137" s="2"/>
      <c r="AK137" s="2">
        <v>398.0902099609375</v>
      </c>
      <c r="AL137" s="2"/>
      <c r="AM137" s="2"/>
      <c r="AN137" s="2"/>
      <c r="AO137" s="2"/>
      <c r="AP137" s="2"/>
    </row>
    <row r="138" spans="1:42" s="11" customFormat="1" ht="15" customHeight="1" x14ac:dyDescent="0.15">
      <c r="A138" s="26"/>
      <c r="I138" s="103" t="s">
        <v>68</v>
      </c>
      <c r="J138" s="103"/>
      <c r="K138" s="15" t="s">
        <v>31</v>
      </c>
      <c r="L138" s="11" t="s">
        <v>78</v>
      </c>
      <c r="Q138" s="11" t="s">
        <v>43</v>
      </c>
      <c r="R138" s="104">
        <v>1.05</v>
      </c>
      <c r="S138" s="104"/>
      <c r="T138" s="11" t="s">
        <v>3</v>
      </c>
      <c r="AI138" s="2"/>
      <c r="AJ138" s="2"/>
      <c r="AK138" s="2">
        <v>401.48541259765625</v>
      </c>
      <c r="AL138" s="2"/>
      <c r="AM138" s="2"/>
      <c r="AN138" s="2"/>
      <c r="AO138" s="2"/>
      <c r="AP138" s="2"/>
    </row>
    <row r="139" spans="1:42" s="11" customFormat="1" ht="15" customHeight="1" x14ac:dyDescent="0.15">
      <c r="A139" s="26"/>
      <c r="AI139" s="2"/>
      <c r="AJ139" s="2"/>
      <c r="AK139" s="2">
        <v>404.880615234375</v>
      </c>
      <c r="AL139" s="2"/>
      <c r="AM139" s="2"/>
      <c r="AN139" s="2"/>
      <c r="AO139" s="2"/>
      <c r="AP139" s="2"/>
    </row>
    <row r="140" spans="1:42" s="31" customFormat="1" ht="20.100000000000001" customHeight="1" x14ac:dyDescent="0.15">
      <c r="C140" s="105" t="s">
        <v>124</v>
      </c>
      <c r="D140" s="105"/>
      <c r="E140" s="105"/>
      <c r="F140" s="105"/>
      <c r="G140" s="105"/>
      <c r="H140" s="105"/>
      <c r="I140" s="105"/>
      <c r="J140" s="105"/>
      <c r="K140" s="105"/>
      <c r="L140" s="105"/>
      <c r="M140" s="105"/>
      <c r="N140" s="105"/>
      <c r="O140" s="105"/>
      <c r="P140" s="105"/>
      <c r="Q140" s="105"/>
      <c r="R140" s="105"/>
      <c r="S140" s="105"/>
      <c r="T140" s="105"/>
      <c r="U140" s="105"/>
      <c r="V140" s="105"/>
      <c r="W140" s="105"/>
      <c r="X140" s="105"/>
      <c r="Y140" s="105"/>
      <c r="Z140" s="105"/>
      <c r="AA140" s="105"/>
      <c r="AB140" s="105"/>
      <c r="AC140" s="105"/>
      <c r="AD140" s="105"/>
      <c r="AI140" s="2"/>
      <c r="AJ140" s="2"/>
      <c r="AK140" s="2">
        <v>408.27581787109375</v>
      </c>
      <c r="AL140" s="2"/>
      <c r="AM140" s="2"/>
      <c r="AN140" s="2"/>
      <c r="AO140" s="2"/>
      <c r="AP140" s="2"/>
    </row>
    <row r="141" spans="1:42" s="31" customFormat="1" ht="20.100000000000001" customHeight="1" x14ac:dyDescent="0.15">
      <c r="C141" s="106"/>
      <c r="D141" s="107"/>
      <c r="E141" s="107"/>
      <c r="F141" s="107"/>
      <c r="G141" s="107"/>
      <c r="H141" s="107"/>
      <c r="I141" s="107"/>
      <c r="J141" s="107"/>
      <c r="K141" s="108" t="s">
        <v>125</v>
      </c>
      <c r="L141" s="109"/>
      <c r="M141" s="109"/>
      <c r="N141" s="109"/>
      <c r="O141" s="109" t="s">
        <v>126</v>
      </c>
      <c r="P141" s="109"/>
      <c r="Q141" s="109"/>
      <c r="R141" s="109"/>
      <c r="S141" s="109" t="s">
        <v>127</v>
      </c>
      <c r="T141" s="109"/>
      <c r="U141" s="109"/>
      <c r="V141" s="109"/>
      <c r="W141" s="109" t="s">
        <v>128</v>
      </c>
      <c r="X141" s="109"/>
      <c r="Y141" s="109"/>
      <c r="Z141" s="109"/>
      <c r="AA141" s="109" t="s">
        <v>129</v>
      </c>
      <c r="AB141" s="109"/>
      <c r="AC141" s="109"/>
      <c r="AD141" s="110"/>
      <c r="AI141" s="2"/>
      <c r="AJ141" s="2"/>
      <c r="AK141" s="2">
        <v>411.67108154296875</v>
      </c>
      <c r="AL141" s="2"/>
      <c r="AM141" s="2"/>
      <c r="AN141" s="2"/>
      <c r="AO141" s="2"/>
      <c r="AP141" s="2"/>
    </row>
    <row r="142" spans="1:42" s="31" customFormat="1" ht="20.100000000000001" customHeight="1" x14ac:dyDescent="0.15">
      <c r="C142" s="112" t="s">
        <v>130</v>
      </c>
      <c r="D142" s="113"/>
      <c r="E142" s="118" t="s">
        <v>131</v>
      </c>
      <c r="F142" s="118"/>
      <c r="G142" s="118"/>
      <c r="H142" s="118"/>
      <c r="I142" s="118"/>
      <c r="J142" s="118"/>
      <c r="K142" s="119"/>
      <c r="L142" s="97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  <c r="AB142" s="97"/>
      <c r="AC142" s="97"/>
      <c r="AD142" s="98"/>
      <c r="AI142" s="2"/>
      <c r="AJ142" s="2"/>
      <c r="AK142" s="2">
        <v>415.06631469726563</v>
      </c>
      <c r="AL142" s="2"/>
      <c r="AM142" s="2"/>
      <c r="AN142" s="2"/>
      <c r="AO142" s="2"/>
      <c r="AP142" s="2"/>
    </row>
    <row r="143" spans="1:42" s="31" customFormat="1" ht="20.100000000000001" customHeight="1" x14ac:dyDescent="0.15">
      <c r="C143" s="114"/>
      <c r="D143" s="115"/>
      <c r="E143" s="99" t="s">
        <v>132</v>
      </c>
      <c r="F143" s="99"/>
      <c r="G143" s="99"/>
      <c r="H143" s="99"/>
      <c r="I143" s="99"/>
      <c r="J143" s="99"/>
      <c r="K143" s="100">
        <v>1</v>
      </c>
      <c r="L143" s="101"/>
      <c r="M143" s="101"/>
      <c r="N143" s="101"/>
      <c r="O143" s="101">
        <v>1</v>
      </c>
      <c r="P143" s="101"/>
      <c r="Q143" s="101"/>
      <c r="R143" s="101"/>
      <c r="S143" s="101">
        <v>1</v>
      </c>
      <c r="T143" s="101"/>
      <c r="U143" s="101"/>
      <c r="V143" s="101"/>
      <c r="W143" s="101">
        <v>1</v>
      </c>
      <c r="X143" s="101"/>
      <c r="Y143" s="101"/>
      <c r="Z143" s="101"/>
      <c r="AA143" s="101">
        <v>1</v>
      </c>
      <c r="AB143" s="101"/>
      <c r="AC143" s="101"/>
      <c r="AD143" s="102"/>
      <c r="AI143" s="2"/>
      <c r="AJ143" s="2"/>
      <c r="AK143" s="2">
        <v>418.4615478515625</v>
      </c>
      <c r="AL143" s="2"/>
      <c r="AM143" s="2"/>
      <c r="AN143" s="2"/>
      <c r="AO143" s="2"/>
      <c r="AP143" s="2"/>
    </row>
    <row r="144" spans="1:42" s="31" customFormat="1" ht="20.100000000000001" customHeight="1" x14ac:dyDescent="0.15">
      <c r="C144" s="116"/>
      <c r="D144" s="117"/>
      <c r="E144" s="120" t="s">
        <v>121</v>
      </c>
      <c r="F144" s="120"/>
      <c r="G144" s="120"/>
      <c r="H144" s="120"/>
      <c r="I144" s="120"/>
      <c r="J144" s="120"/>
      <c r="K144" s="121">
        <f>K142/K143</f>
        <v>0</v>
      </c>
      <c r="L144" s="95"/>
      <c r="M144" s="95"/>
      <c r="N144" s="95"/>
      <c r="O144" s="95">
        <f>O142/O143</f>
        <v>0</v>
      </c>
      <c r="P144" s="95"/>
      <c r="Q144" s="95"/>
      <c r="R144" s="95"/>
      <c r="S144" s="95">
        <f>S142/S143</f>
        <v>0</v>
      </c>
      <c r="T144" s="95"/>
      <c r="U144" s="95"/>
      <c r="V144" s="95"/>
      <c r="W144" s="95">
        <f>W142/W143</f>
        <v>0</v>
      </c>
      <c r="X144" s="95"/>
      <c r="Y144" s="95"/>
      <c r="Z144" s="95"/>
      <c r="AA144" s="95">
        <f>AA142/AA143</f>
        <v>0</v>
      </c>
      <c r="AB144" s="95"/>
      <c r="AC144" s="95"/>
      <c r="AD144" s="96"/>
      <c r="AI144" s="2"/>
      <c r="AJ144" s="2"/>
      <c r="AK144" s="2">
        <v>421.85675048828125</v>
      </c>
      <c r="AL144" s="2"/>
      <c r="AM144" s="2"/>
      <c r="AN144" s="2"/>
      <c r="AO144" s="2"/>
      <c r="AP144" s="2"/>
    </row>
    <row r="145" spans="1:42" s="11" customFormat="1" ht="15" customHeight="1" x14ac:dyDescent="0.15">
      <c r="A145" s="26"/>
      <c r="AI145" s="2"/>
      <c r="AJ145" s="2"/>
      <c r="AK145" s="2">
        <v>425.251953125</v>
      </c>
      <c r="AL145" s="2"/>
      <c r="AM145" s="2"/>
      <c r="AN145" s="2"/>
      <c r="AO145" s="2"/>
      <c r="AP145" s="2"/>
    </row>
    <row r="146" spans="1:42" s="11" customFormat="1" ht="15" customHeight="1" x14ac:dyDescent="0.15">
      <c r="A146" s="26"/>
      <c r="AI146" s="2"/>
      <c r="AJ146" s="2"/>
      <c r="AK146" s="2">
        <v>428.647216796875</v>
      </c>
      <c r="AL146" s="2"/>
      <c r="AM146" s="2"/>
      <c r="AN146" s="2"/>
      <c r="AO146" s="2"/>
      <c r="AP146" s="2"/>
    </row>
    <row r="147" spans="1:42" s="11" customFormat="1" ht="15" customHeight="1" x14ac:dyDescent="0.15">
      <c r="A147" s="26"/>
      <c r="B147" s="24"/>
      <c r="AI147" s="2"/>
      <c r="AJ147" s="2"/>
      <c r="AK147" s="2">
        <v>432.04244995117188</v>
      </c>
      <c r="AL147" s="2"/>
      <c r="AM147" s="2"/>
      <c r="AN147" s="2"/>
      <c r="AO147" s="2"/>
      <c r="AP147" s="2"/>
    </row>
    <row r="148" spans="1:42" s="11" customFormat="1" ht="15" customHeight="1" x14ac:dyDescent="0.15">
      <c r="A148" s="26"/>
      <c r="B148" s="24"/>
      <c r="AI148" s="2"/>
      <c r="AJ148" s="2"/>
      <c r="AK148" s="2">
        <v>435.43765258789063</v>
      </c>
      <c r="AL148" s="2"/>
      <c r="AM148" s="2"/>
      <c r="AN148" s="2"/>
      <c r="AO148" s="2"/>
      <c r="AP148" s="2"/>
    </row>
    <row r="149" spans="1:42" s="11" customFormat="1" ht="15" customHeight="1" x14ac:dyDescent="0.15">
      <c r="A149" s="26"/>
      <c r="B149" s="24"/>
      <c r="AI149" s="2"/>
      <c r="AJ149" s="2"/>
      <c r="AK149" s="2">
        <v>438.8328857421875</v>
      </c>
      <c r="AL149" s="2"/>
      <c r="AM149" s="2"/>
      <c r="AN149" s="2"/>
      <c r="AO149" s="2"/>
      <c r="AP149" s="2"/>
    </row>
    <row r="150" spans="1:42" s="11" customFormat="1" ht="15" customHeight="1" x14ac:dyDescent="0.15">
      <c r="A150" s="26"/>
      <c r="B150" s="24"/>
      <c r="AI150" s="2"/>
      <c r="AJ150" s="2"/>
      <c r="AK150" s="2">
        <v>442.22808837890625</v>
      </c>
      <c r="AL150" s="2"/>
      <c r="AM150" s="2"/>
      <c r="AN150" s="2"/>
      <c r="AO150" s="2"/>
      <c r="AP150" s="2"/>
    </row>
    <row r="151" spans="1:42" s="11" customFormat="1" ht="15" customHeight="1" x14ac:dyDescent="0.15">
      <c r="A151" s="26"/>
      <c r="B151" s="24"/>
      <c r="AI151" s="2"/>
      <c r="AJ151" s="2"/>
      <c r="AK151" s="2">
        <v>445.62335205078125</v>
      </c>
      <c r="AL151" s="2"/>
      <c r="AM151" s="2"/>
      <c r="AN151" s="2"/>
      <c r="AO151" s="2"/>
      <c r="AP151" s="2"/>
    </row>
    <row r="152" spans="1:42" s="11" customFormat="1" ht="15" customHeight="1" x14ac:dyDescent="0.15">
      <c r="A152" s="26"/>
      <c r="B152" s="24"/>
      <c r="AI152" s="2"/>
      <c r="AJ152" s="2"/>
      <c r="AK152" s="2">
        <v>449.0185546875</v>
      </c>
      <c r="AL152" s="2"/>
      <c r="AM152" s="2"/>
      <c r="AN152" s="2"/>
      <c r="AO152" s="2"/>
      <c r="AP152" s="2"/>
    </row>
    <row r="153" spans="1:42" s="11" customFormat="1" ht="15" customHeight="1" x14ac:dyDescent="0.15">
      <c r="A153" s="24"/>
      <c r="AI153" s="2"/>
      <c r="AJ153" s="2"/>
      <c r="AK153" s="2">
        <v>452.41375732421875</v>
      </c>
      <c r="AL153" s="2"/>
      <c r="AM153" s="2"/>
      <c r="AN153" s="2"/>
      <c r="AO153" s="2"/>
      <c r="AP153" s="2"/>
    </row>
    <row r="154" spans="1:42" s="11" customFormat="1" ht="15" customHeight="1" x14ac:dyDescent="0.15">
      <c r="A154" s="24"/>
      <c r="AI154" s="2"/>
      <c r="AJ154" s="2"/>
      <c r="AK154" s="2">
        <v>455.80902099609375</v>
      </c>
      <c r="AL154" s="2"/>
      <c r="AM154" s="2"/>
      <c r="AN154" s="2"/>
      <c r="AO154" s="2"/>
      <c r="AP154" s="2"/>
    </row>
    <row r="155" spans="1:42" s="11" customFormat="1" ht="15" customHeight="1" x14ac:dyDescent="0.15">
      <c r="A155" s="24"/>
      <c r="AI155" s="2"/>
      <c r="AJ155" s="2"/>
      <c r="AK155" s="2">
        <v>459.2042236328125</v>
      </c>
      <c r="AL155" s="2"/>
      <c r="AM155" s="2"/>
      <c r="AN155" s="2"/>
      <c r="AO155" s="2"/>
      <c r="AP155" s="2"/>
    </row>
    <row r="156" spans="1:42" s="11" customFormat="1" ht="15" customHeight="1" x14ac:dyDescent="0.15">
      <c r="A156" s="24"/>
      <c r="AI156" s="2"/>
      <c r="AJ156" s="2"/>
      <c r="AK156" s="2">
        <v>462.59945678710938</v>
      </c>
      <c r="AL156" s="2"/>
      <c r="AM156" s="2"/>
      <c r="AN156" s="2"/>
      <c r="AO156" s="2"/>
      <c r="AP156" s="2"/>
    </row>
    <row r="157" spans="1:42" s="11" customFormat="1" ht="15" customHeight="1" x14ac:dyDescent="0.15">
      <c r="A157" s="24"/>
      <c r="AI157" s="2"/>
      <c r="AJ157" s="2"/>
      <c r="AK157" s="2">
        <v>465.99468994140625</v>
      </c>
      <c r="AL157" s="2"/>
      <c r="AM157" s="2"/>
      <c r="AN157" s="2"/>
      <c r="AO157" s="2"/>
      <c r="AP157" s="2"/>
    </row>
    <row r="158" spans="1:42" ht="15.75" customHeight="1" x14ac:dyDescent="0.15">
      <c r="AK158" s="2">
        <v>469.389892578125</v>
      </c>
    </row>
    <row r="159" spans="1:42" ht="15.75" customHeight="1" x14ac:dyDescent="0.15">
      <c r="AK159" s="2">
        <v>472.78515625</v>
      </c>
    </row>
    <row r="160" spans="1:42" ht="15.75" customHeight="1" x14ac:dyDescent="0.15">
      <c r="AK160" s="2">
        <v>476.18035888671875</v>
      </c>
    </row>
    <row r="161" spans="37:37" ht="15.75" customHeight="1" x14ac:dyDescent="0.15">
      <c r="AK161" s="2">
        <v>479.57562255859375</v>
      </c>
    </row>
    <row r="162" spans="37:37" ht="15.75" customHeight="1" x14ac:dyDescent="0.15">
      <c r="AK162" s="2">
        <v>482.9708251953125</v>
      </c>
    </row>
    <row r="163" spans="37:37" ht="15.75" customHeight="1" x14ac:dyDescent="0.15">
      <c r="AK163" s="2">
        <v>486.36605834960938</v>
      </c>
    </row>
    <row r="164" spans="37:37" ht="15.75" customHeight="1" x14ac:dyDescent="0.15">
      <c r="AK164" s="2">
        <v>489.76123046875</v>
      </c>
    </row>
    <row r="165" spans="37:37" ht="15.75" customHeight="1" x14ac:dyDescent="0.15">
      <c r="AK165" s="2">
        <v>493.156494140625</v>
      </c>
    </row>
    <row r="166" spans="37:37" ht="15.75" customHeight="1" x14ac:dyDescent="0.15">
      <c r="AK166" s="2">
        <v>496.55169677734375</v>
      </c>
    </row>
    <row r="167" spans="37:37" ht="15.75" customHeight="1" x14ac:dyDescent="0.15">
      <c r="AK167" s="2">
        <v>499.94696044921875</v>
      </c>
    </row>
    <row r="168" spans="37:37" ht="15.75" customHeight="1" x14ac:dyDescent="0.15">
      <c r="AK168" s="2">
        <v>503.34219360351563</v>
      </c>
    </row>
    <row r="169" spans="37:37" ht="15.75" customHeight="1" x14ac:dyDescent="0.15">
      <c r="AK169" s="2">
        <v>506.73736572265625</v>
      </c>
    </row>
    <row r="170" spans="37:37" ht="15.75" customHeight="1" x14ac:dyDescent="0.15">
      <c r="AK170" s="2">
        <v>510.13262939453125</v>
      </c>
    </row>
    <row r="171" spans="37:37" ht="15.75" customHeight="1" x14ac:dyDescent="0.15">
      <c r="AK171" s="2">
        <v>513.52783203125</v>
      </c>
    </row>
    <row r="172" spans="37:37" ht="15.75" customHeight="1" x14ac:dyDescent="0.15">
      <c r="AK172" s="2">
        <v>516.923095703125</v>
      </c>
    </row>
    <row r="173" spans="37:37" ht="15.75" customHeight="1" x14ac:dyDescent="0.15">
      <c r="AK173" s="2">
        <v>520.31829833984375</v>
      </c>
    </row>
    <row r="174" spans="37:37" ht="15.75" customHeight="1" x14ac:dyDescent="0.15">
      <c r="AK174" s="2">
        <v>523.7135009765625</v>
      </c>
    </row>
    <row r="175" spans="37:37" ht="15.75" customHeight="1" x14ac:dyDescent="0.15">
      <c r="AK175" s="2">
        <v>527.1087646484375</v>
      </c>
    </row>
    <row r="176" spans="37:37" ht="15.75" customHeight="1" x14ac:dyDescent="0.15">
      <c r="AK176" s="2">
        <v>519.89385986328125</v>
      </c>
    </row>
    <row r="177" spans="37:37" ht="15.75" customHeight="1" x14ac:dyDescent="0.15">
      <c r="AK177" s="2">
        <v>524.98675537109375</v>
      </c>
    </row>
    <row r="178" spans="37:37" ht="15.75" customHeight="1" x14ac:dyDescent="0.15">
      <c r="AK178" s="2">
        <v>530.07958984375</v>
      </c>
    </row>
    <row r="179" spans="37:37" ht="15.75" customHeight="1" x14ac:dyDescent="0.15">
      <c r="AK179" s="2">
        <v>535.17242431640625</v>
      </c>
    </row>
    <row r="180" spans="37:37" ht="15.75" customHeight="1" x14ac:dyDescent="0.15">
      <c r="AK180" s="2">
        <v>540.26519775390625</v>
      </c>
    </row>
    <row r="181" spans="37:37" ht="15.75" customHeight="1" x14ac:dyDescent="0.15">
      <c r="AK181" s="2">
        <v>545.35809326171875</v>
      </c>
    </row>
    <row r="182" spans="37:37" ht="15.75" customHeight="1" x14ac:dyDescent="0.15">
      <c r="AK182" s="2">
        <v>550.45098876953125</v>
      </c>
    </row>
    <row r="183" spans="37:37" ht="15.75" customHeight="1" x14ac:dyDescent="0.15">
      <c r="AK183" s="2">
        <v>555.54376220703125</v>
      </c>
    </row>
    <row r="184" spans="37:37" ht="15.75" customHeight="1" x14ac:dyDescent="0.15">
      <c r="AK184" s="2">
        <v>560.6365966796875</v>
      </c>
    </row>
    <row r="185" spans="37:37" ht="15.75" customHeight="1" x14ac:dyDescent="0.15">
      <c r="AK185" s="2">
        <v>565.72943115234375</v>
      </c>
    </row>
    <row r="186" spans="37:37" ht="15.75" customHeight="1" x14ac:dyDescent="0.15">
      <c r="AK186" s="2">
        <v>570.822265625</v>
      </c>
    </row>
    <row r="187" spans="37:37" ht="15.75" customHeight="1" x14ac:dyDescent="0.15">
      <c r="AK187" s="2">
        <v>575.91510009765625</v>
      </c>
    </row>
    <row r="188" spans="37:37" ht="15.75" customHeight="1" x14ac:dyDescent="0.15">
      <c r="AK188" s="2">
        <v>581.00799560546875</v>
      </c>
    </row>
    <row r="189" spans="37:37" ht="15.75" customHeight="1" x14ac:dyDescent="0.15">
      <c r="AK189" s="2">
        <v>586.1007080078125</v>
      </c>
    </row>
    <row r="190" spans="37:37" ht="15.75" customHeight="1" x14ac:dyDescent="0.15">
      <c r="AK190" s="2">
        <v>591.193603515625</v>
      </c>
    </row>
    <row r="191" spans="37:37" ht="15.75" customHeight="1" x14ac:dyDescent="0.15">
      <c r="AK191" s="2">
        <v>596.2864990234375</v>
      </c>
    </row>
    <row r="192" spans="37:37" ht="15.75" customHeight="1" x14ac:dyDescent="0.15">
      <c r="AK192" s="2">
        <v>601.3792724609375</v>
      </c>
    </row>
    <row r="193" spans="37:37" ht="15.75" customHeight="1" x14ac:dyDescent="0.15">
      <c r="AK193" s="2">
        <v>606.47216796875</v>
      </c>
    </row>
    <row r="194" spans="37:37" ht="15.75" customHeight="1" x14ac:dyDescent="0.15">
      <c r="AK194" s="2">
        <v>611.56494140625</v>
      </c>
    </row>
    <row r="195" spans="37:37" ht="15.75" customHeight="1" x14ac:dyDescent="0.15">
      <c r="AK195" s="2">
        <v>616.6578369140625</v>
      </c>
    </row>
    <row r="196" spans="37:37" ht="15.75" customHeight="1" x14ac:dyDescent="0.15">
      <c r="AK196" s="2">
        <v>621.7506103515625</v>
      </c>
    </row>
    <row r="197" spans="37:37" ht="15.75" customHeight="1" x14ac:dyDescent="0.15">
      <c r="AK197" s="2">
        <v>626.843505859375</v>
      </c>
    </row>
    <row r="198" spans="37:37" ht="15.75" customHeight="1" x14ac:dyDescent="0.15">
      <c r="AK198" s="2">
        <v>631.9364013671875</v>
      </c>
    </row>
    <row r="199" spans="37:37" ht="15.75" customHeight="1" x14ac:dyDescent="0.15">
      <c r="AK199" s="2">
        <v>637.02911376953125</v>
      </c>
    </row>
    <row r="200" spans="37:37" ht="15.75" customHeight="1" x14ac:dyDescent="0.15">
      <c r="AK200" s="2">
        <v>642.12200927734375</v>
      </c>
    </row>
    <row r="201" spans="37:37" ht="15.75" customHeight="1" x14ac:dyDescent="0.15">
      <c r="AK201" s="2">
        <v>636.604736328125</v>
      </c>
    </row>
    <row r="202" spans="37:37" ht="15.75" customHeight="1" x14ac:dyDescent="0.15">
      <c r="AK202" s="2">
        <v>645.75811767578125</v>
      </c>
    </row>
    <row r="203" spans="37:37" ht="15.75" customHeight="1" x14ac:dyDescent="0.15">
      <c r="AK203" s="2">
        <v>647.3914794921875</v>
      </c>
    </row>
    <row r="204" spans="37:37" ht="15.75" customHeight="1" x14ac:dyDescent="0.15">
      <c r="AK204" s="2">
        <v>649.02490234375</v>
      </c>
    </row>
    <row r="205" spans="37:37" ht="15.75" customHeight="1" x14ac:dyDescent="0.15">
      <c r="AK205" s="2">
        <v>650.65826416015625</v>
      </c>
    </row>
    <row r="206" spans="37:37" ht="15.75" customHeight="1" x14ac:dyDescent="0.15">
      <c r="AK206" s="2">
        <v>652.2916259765625</v>
      </c>
    </row>
    <row r="207" spans="37:37" ht="15.75" customHeight="1" x14ac:dyDescent="0.15">
      <c r="AK207" s="2">
        <v>653.925048828125</v>
      </c>
    </row>
    <row r="208" spans="37:37" ht="15.75" customHeight="1" x14ac:dyDescent="0.15">
      <c r="AK208" s="2">
        <v>655.55841064453125</v>
      </c>
    </row>
    <row r="209" spans="37:37" ht="15.75" customHeight="1" x14ac:dyDescent="0.15">
      <c r="AK209" s="2">
        <v>657.1917724609375</v>
      </c>
    </row>
    <row r="210" spans="37:37" ht="15.75" customHeight="1" x14ac:dyDescent="0.15">
      <c r="AK210" s="2">
        <v>658.8251953125</v>
      </c>
    </row>
    <row r="211" spans="37:37" ht="15.75" customHeight="1" x14ac:dyDescent="0.15">
      <c r="AK211" s="2">
        <v>660.45855712890625</v>
      </c>
    </row>
    <row r="212" spans="37:37" ht="15.75" customHeight="1" x14ac:dyDescent="0.15">
      <c r="AK212" s="2">
        <v>662.0919189453125</v>
      </c>
    </row>
    <row r="213" spans="37:37" ht="15.75" customHeight="1" x14ac:dyDescent="0.15">
      <c r="AK213" s="2">
        <v>663.72528076171875</v>
      </c>
    </row>
    <row r="214" spans="37:37" ht="15.75" customHeight="1" x14ac:dyDescent="0.15">
      <c r="AK214" s="2">
        <v>665.35870361328125</v>
      </c>
    </row>
    <row r="215" spans="37:37" ht="15.75" customHeight="1" x14ac:dyDescent="0.15">
      <c r="AK215" s="2">
        <v>666.9920654296875</v>
      </c>
    </row>
    <row r="216" spans="37:37" ht="15.75" customHeight="1" x14ac:dyDescent="0.15">
      <c r="AK216" s="2">
        <v>668.62548828125</v>
      </c>
    </row>
    <row r="217" spans="37:37" ht="15.75" customHeight="1" x14ac:dyDescent="0.15">
      <c r="AK217" s="2">
        <v>670.2587890625</v>
      </c>
    </row>
    <row r="218" spans="37:37" ht="15.75" customHeight="1" x14ac:dyDescent="0.15">
      <c r="AK218" s="2">
        <v>671.8922119140625</v>
      </c>
    </row>
    <row r="219" spans="37:37" ht="15.75" customHeight="1" x14ac:dyDescent="0.15">
      <c r="AK219" s="2">
        <v>673.52557373046875</v>
      </c>
    </row>
    <row r="220" spans="37:37" ht="15.75" customHeight="1" x14ac:dyDescent="0.15">
      <c r="AK220" s="2">
        <v>675.158935546875</v>
      </c>
    </row>
    <row r="221" spans="37:37" ht="15.75" customHeight="1" x14ac:dyDescent="0.15">
      <c r="AK221" s="2">
        <v>676.7923583984375</v>
      </c>
    </row>
    <row r="222" spans="37:37" ht="15.75" customHeight="1" x14ac:dyDescent="0.15">
      <c r="AK222" s="2">
        <v>678.4256591796875</v>
      </c>
    </row>
    <row r="223" spans="37:37" ht="15.75" customHeight="1" x14ac:dyDescent="0.15">
      <c r="AK223" s="2">
        <v>680.05908203125</v>
      </c>
    </row>
    <row r="224" spans="37:37" ht="15.75" customHeight="1" x14ac:dyDescent="0.15">
      <c r="AK224" s="2">
        <v>681.6925048828125</v>
      </c>
    </row>
    <row r="225" spans="37:37" ht="15.75" customHeight="1" x14ac:dyDescent="0.15">
      <c r="AK225" s="2">
        <v>683.3258056640625</v>
      </c>
    </row>
    <row r="226" spans="37:37" ht="15.75" customHeight="1" x14ac:dyDescent="0.15">
      <c r="AK226" s="2">
        <v>684.95916748046875</v>
      </c>
    </row>
    <row r="227" spans="37:37" ht="15.75" customHeight="1" x14ac:dyDescent="0.15">
      <c r="AK227" s="2">
        <v>688.95550537109375</v>
      </c>
    </row>
    <row r="228" spans="37:37" ht="15.75" customHeight="1" x14ac:dyDescent="0.15">
      <c r="AK228" s="2">
        <v>685.4317626953125</v>
      </c>
    </row>
    <row r="229" spans="37:37" ht="15.75" customHeight="1" x14ac:dyDescent="0.15">
      <c r="AK229" s="2">
        <v>681.908203125</v>
      </c>
    </row>
    <row r="230" spans="37:37" ht="15.75" customHeight="1" x14ac:dyDescent="0.15">
      <c r="AK230" s="2">
        <v>678.38446044921875</v>
      </c>
    </row>
    <row r="231" spans="37:37" ht="15.75" customHeight="1" x14ac:dyDescent="0.15">
      <c r="AK231" s="2">
        <v>674.8607177734375</v>
      </c>
    </row>
    <row r="232" spans="37:37" ht="15.75" customHeight="1" x14ac:dyDescent="0.15">
      <c r="AK232" s="2">
        <v>671.3370361328125</v>
      </c>
    </row>
    <row r="233" spans="37:37" ht="15.75" customHeight="1" x14ac:dyDescent="0.15">
      <c r="AK233" s="2">
        <v>667.81329345703125</v>
      </c>
    </row>
    <row r="234" spans="37:37" ht="15.75" customHeight="1" x14ac:dyDescent="0.15">
      <c r="AK234" s="2">
        <v>664.2896728515625</v>
      </c>
    </row>
    <row r="235" spans="37:37" ht="15.75" customHeight="1" x14ac:dyDescent="0.15">
      <c r="AK235" s="2">
        <v>660.7659912109375</v>
      </c>
    </row>
    <row r="236" spans="37:37" ht="15.75" customHeight="1" x14ac:dyDescent="0.15">
      <c r="AK236" s="2">
        <v>657.24224853515625</v>
      </c>
    </row>
    <row r="237" spans="37:37" ht="15.75" customHeight="1" x14ac:dyDescent="0.15">
      <c r="AK237" s="2">
        <v>653.718505859375</v>
      </c>
    </row>
    <row r="238" spans="37:37" ht="15.75" customHeight="1" x14ac:dyDescent="0.15">
      <c r="AK238" s="2">
        <v>650.19482421875</v>
      </c>
    </row>
    <row r="239" spans="37:37" ht="15.75" customHeight="1" x14ac:dyDescent="0.15">
      <c r="AK239" s="2">
        <v>646.67120361328125</v>
      </c>
    </row>
    <row r="240" spans="37:37" ht="15.75" customHeight="1" x14ac:dyDescent="0.15">
      <c r="AK240" s="2">
        <v>643.1474609375</v>
      </c>
    </row>
    <row r="241" spans="37:37" ht="15.75" customHeight="1" x14ac:dyDescent="0.15">
      <c r="AK241" s="2">
        <v>639.623779296875</v>
      </c>
    </row>
    <row r="242" spans="37:37" ht="15.75" customHeight="1" x14ac:dyDescent="0.15">
      <c r="AK242" s="2">
        <v>636.10003662109375</v>
      </c>
    </row>
    <row r="243" spans="37:37" ht="15.75" customHeight="1" x14ac:dyDescent="0.15">
      <c r="AK243" s="2">
        <v>632.5762939453125</v>
      </c>
    </row>
    <row r="244" spans="37:37" ht="15.75" customHeight="1" x14ac:dyDescent="0.15">
      <c r="AK244" s="2">
        <v>629.05279541015625</v>
      </c>
    </row>
    <row r="245" spans="37:37" ht="15.75" customHeight="1" x14ac:dyDescent="0.15">
      <c r="AK245" s="2">
        <v>625.529052734375</v>
      </c>
    </row>
    <row r="246" spans="37:37" ht="15.75" customHeight="1" x14ac:dyDescent="0.15">
      <c r="AK246" s="2">
        <v>622.00537109375</v>
      </c>
    </row>
    <row r="247" spans="37:37" ht="15.75" customHeight="1" x14ac:dyDescent="0.15">
      <c r="AK247" s="2">
        <v>618.4815673828125</v>
      </c>
    </row>
    <row r="248" spans="37:37" ht="15.75" customHeight="1" x14ac:dyDescent="0.15">
      <c r="AK248" s="2">
        <v>614.9578857421875</v>
      </c>
    </row>
    <row r="249" spans="37:37" ht="15.75" customHeight="1" x14ac:dyDescent="0.15">
      <c r="AK249" s="2">
        <v>611.434326171875</v>
      </c>
    </row>
    <row r="250" spans="37:37" ht="15.75" customHeight="1" x14ac:dyDescent="0.15">
      <c r="AK250" s="2">
        <v>607.91058349609375</v>
      </c>
    </row>
    <row r="251" spans="37:37" ht="15.75" customHeight="1" x14ac:dyDescent="0.15">
      <c r="AK251" s="2">
        <v>593.77679443359375</v>
      </c>
    </row>
    <row r="252" spans="37:37" ht="15.75" customHeight="1" x14ac:dyDescent="0.15">
      <c r="AK252" s="2">
        <v>591.95068359375</v>
      </c>
    </row>
    <row r="253" spans="37:37" ht="15.75" customHeight="1" x14ac:dyDescent="0.15">
      <c r="AK253" s="2">
        <v>590.12457275390625</v>
      </c>
    </row>
    <row r="254" spans="37:37" ht="15.75" customHeight="1" x14ac:dyDescent="0.15">
      <c r="AK254" s="2">
        <v>588.298583984375</v>
      </c>
    </row>
    <row r="255" spans="37:37" ht="15.75" customHeight="1" x14ac:dyDescent="0.15">
      <c r="AK255" s="2">
        <v>586.4725341796875</v>
      </c>
    </row>
    <row r="256" spans="37:37" ht="15.75" customHeight="1" x14ac:dyDescent="0.15">
      <c r="AK256" s="2">
        <v>584.6463623046875</v>
      </c>
    </row>
    <row r="257" spans="37:37" ht="15.75" customHeight="1" x14ac:dyDescent="0.15">
      <c r="AK257" s="2">
        <v>582.8203125</v>
      </c>
    </row>
    <row r="258" spans="37:37" ht="15.75" customHeight="1" x14ac:dyDescent="0.15">
      <c r="AK258" s="2">
        <v>580.994140625</v>
      </c>
    </row>
    <row r="259" spans="37:37" ht="15.75" customHeight="1" x14ac:dyDescent="0.15">
      <c r="AK259" s="2">
        <v>579.168212890625</v>
      </c>
    </row>
    <row r="260" spans="37:37" ht="15.75" customHeight="1" x14ac:dyDescent="0.15">
      <c r="AK260" s="2">
        <v>577.34210205078125</v>
      </c>
    </row>
    <row r="261" spans="37:37" ht="15.75" customHeight="1" x14ac:dyDescent="0.15">
      <c r="AK261" s="2">
        <v>575.5159912109375</v>
      </c>
    </row>
    <row r="262" spans="37:37" ht="15.75" customHeight="1" x14ac:dyDescent="0.15">
      <c r="AK262" s="2">
        <v>573.68988037109375</v>
      </c>
    </row>
    <row r="263" spans="37:37" ht="15.75" customHeight="1" x14ac:dyDescent="0.15">
      <c r="AK263" s="2">
        <v>571.86376953125</v>
      </c>
    </row>
    <row r="264" spans="37:37" ht="15.75" customHeight="1" x14ac:dyDescent="0.15">
      <c r="AK264" s="2">
        <v>570.03778076171875</v>
      </c>
    </row>
    <row r="265" spans="37:37" ht="15.75" customHeight="1" x14ac:dyDescent="0.15">
      <c r="AK265" s="2">
        <v>568.211669921875</v>
      </c>
    </row>
    <row r="266" spans="37:37" ht="15.75" customHeight="1" x14ac:dyDescent="0.15">
      <c r="AK266" s="2">
        <v>566.38555908203125</v>
      </c>
    </row>
    <row r="267" spans="37:37" ht="15.75" customHeight="1" x14ac:dyDescent="0.15">
      <c r="AK267" s="2">
        <v>564.5594482421875</v>
      </c>
    </row>
    <row r="268" spans="37:37" ht="15.75" customHeight="1" x14ac:dyDescent="0.15">
      <c r="AK268" s="2">
        <v>562.73333740234375</v>
      </c>
    </row>
    <row r="269" spans="37:37" ht="15.75" customHeight="1" x14ac:dyDescent="0.15">
      <c r="AK269" s="2">
        <v>560.90740966796875</v>
      </c>
    </row>
    <row r="270" spans="37:37" ht="15.75" customHeight="1" x14ac:dyDescent="0.15">
      <c r="AK270" s="2">
        <v>559.081298828125</v>
      </c>
    </row>
    <row r="271" spans="37:37" ht="15.75" customHeight="1" x14ac:dyDescent="0.15">
      <c r="AK271" s="2">
        <v>557.255126953125</v>
      </c>
    </row>
    <row r="272" spans="37:37" ht="15.75" customHeight="1" x14ac:dyDescent="0.15">
      <c r="AK272" s="2">
        <v>555.4290771484375</v>
      </c>
    </row>
    <row r="273" spans="37:37" ht="15.75" customHeight="1" x14ac:dyDescent="0.15">
      <c r="AK273" s="2">
        <v>553.60296630859375</v>
      </c>
    </row>
    <row r="274" spans="37:37" ht="15.75" customHeight="1" x14ac:dyDescent="0.15">
      <c r="AK274" s="2">
        <v>551.7769775390625</v>
      </c>
    </row>
    <row r="275" spans="37:37" ht="15.75" customHeight="1" x14ac:dyDescent="0.15">
      <c r="AK275" s="2">
        <v>549.95086669921875</v>
      </c>
    </row>
    <row r="276" spans="37:37" ht="15.75" customHeight="1" x14ac:dyDescent="0.15">
      <c r="AK276" s="2">
        <v>537.5146484375</v>
      </c>
    </row>
    <row r="277" spans="37:37" ht="15.75" customHeight="1" x14ac:dyDescent="0.15">
      <c r="AK277" s="2">
        <v>537.38623046875</v>
      </c>
    </row>
    <row r="278" spans="37:37" ht="15.75" customHeight="1" x14ac:dyDescent="0.15">
      <c r="AK278" s="2">
        <v>537.2576904296875</v>
      </c>
    </row>
    <row r="279" spans="37:37" ht="15.75" customHeight="1" x14ac:dyDescent="0.15">
      <c r="AK279" s="2">
        <v>537.1292724609375</v>
      </c>
    </row>
    <row r="280" spans="37:37" ht="15.75" customHeight="1" x14ac:dyDescent="0.15">
      <c r="AK280" s="2">
        <v>537.0008544921875</v>
      </c>
    </row>
    <row r="281" spans="37:37" ht="15.75" customHeight="1" x14ac:dyDescent="0.15">
      <c r="AK281" s="2">
        <v>536.872314453125</v>
      </c>
    </row>
    <row r="282" spans="37:37" ht="15.75" customHeight="1" x14ac:dyDescent="0.15">
      <c r="AK282" s="2">
        <v>536.74383544921875</v>
      </c>
    </row>
    <row r="283" spans="37:37" ht="15.75" customHeight="1" x14ac:dyDescent="0.15">
      <c r="AK283" s="2">
        <v>536.6153564453125</v>
      </c>
    </row>
    <row r="284" spans="37:37" ht="15.75" customHeight="1" x14ac:dyDescent="0.15">
      <c r="AK284" s="2">
        <v>536.48699951171875</v>
      </c>
    </row>
    <row r="285" spans="37:37" ht="15.75" customHeight="1" x14ac:dyDescent="0.15">
      <c r="AK285" s="2">
        <v>536.35845947265625</v>
      </c>
    </row>
    <row r="286" spans="37:37" ht="15.75" customHeight="1" x14ac:dyDescent="0.15">
      <c r="AK286" s="2">
        <v>536.23004150390625</v>
      </c>
    </row>
    <row r="287" spans="37:37" ht="15.75" customHeight="1" x14ac:dyDescent="0.15">
      <c r="AK287" s="2">
        <v>536.10150146484375</v>
      </c>
    </row>
    <row r="288" spans="37:37" ht="15.75" customHeight="1" x14ac:dyDescent="0.15">
      <c r="AK288" s="2">
        <v>535.9730224609375</v>
      </c>
    </row>
    <row r="289" spans="37:37" ht="15.75" customHeight="1" x14ac:dyDescent="0.15">
      <c r="AK289" s="2">
        <v>535.84466552734375</v>
      </c>
    </row>
    <row r="290" spans="37:37" ht="15.75" customHeight="1" x14ac:dyDescent="0.15">
      <c r="AK290" s="2">
        <v>535.71612548828125</v>
      </c>
    </row>
    <row r="291" spans="37:37" ht="15.75" customHeight="1" x14ac:dyDescent="0.15">
      <c r="AK291" s="2">
        <v>535.58770751953125</v>
      </c>
    </row>
    <row r="292" spans="37:37" ht="15.75" customHeight="1" x14ac:dyDescent="0.15">
      <c r="AK292" s="2">
        <v>535.45916748046875</v>
      </c>
    </row>
    <row r="293" spans="37:37" ht="15.75" customHeight="1" x14ac:dyDescent="0.15">
      <c r="AK293" s="2">
        <v>535.33062744140625</v>
      </c>
    </row>
    <row r="294" spans="37:37" ht="15.75" customHeight="1" x14ac:dyDescent="0.15">
      <c r="AK294" s="2">
        <v>535.20233154296875</v>
      </c>
    </row>
    <row r="295" spans="37:37" ht="15.75" customHeight="1" x14ac:dyDescent="0.15">
      <c r="AK295" s="2">
        <v>535.0738525390625</v>
      </c>
    </row>
    <row r="296" spans="37:37" ht="15.75" customHeight="1" x14ac:dyDescent="0.15">
      <c r="AK296" s="2">
        <v>534.9453125</v>
      </c>
    </row>
    <row r="297" spans="37:37" ht="15.75" customHeight="1" x14ac:dyDescent="0.15">
      <c r="AK297" s="2">
        <v>534.81683349609375</v>
      </c>
    </row>
    <row r="298" spans="37:37" ht="15.75" customHeight="1" x14ac:dyDescent="0.15">
      <c r="AK298" s="2">
        <v>534.68829345703125</v>
      </c>
    </row>
    <row r="299" spans="37:37" ht="15.75" customHeight="1" x14ac:dyDescent="0.15">
      <c r="AK299" s="2">
        <v>534.55999755859375</v>
      </c>
    </row>
    <row r="300" spans="37:37" ht="15.75" customHeight="1" x14ac:dyDescent="0.15">
      <c r="AK300" s="2">
        <v>534.43145751953125</v>
      </c>
    </row>
    <row r="301" spans="37:37" ht="15.75" customHeight="1" x14ac:dyDescent="0.15">
      <c r="AK301" s="2">
        <v>534.302978515625</v>
      </c>
    </row>
    <row r="302" spans="37:37" ht="15.75" customHeight="1" x14ac:dyDescent="0.15">
      <c r="AK302" s="2">
        <v>534.17449951171875</v>
      </c>
    </row>
    <row r="303" spans="37:37" ht="15.75" customHeight="1" x14ac:dyDescent="0.15">
      <c r="AK303" s="2">
        <v>550.4783935546875</v>
      </c>
    </row>
    <row r="304" spans="37:37" ht="15.75" customHeight="1" x14ac:dyDescent="0.15">
      <c r="AK304" s="2">
        <v>553.80950927734375</v>
      </c>
    </row>
    <row r="305" spans="37:37" ht="15.75" customHeight="1" x14ac:dyDescent="0.15">
      <c r="AK305" s="2">
        <v>557.1405029296875</v>
      </c>
    </row>
    <row r="306" spans="37:37" ht="15.75" customHeight="1" x14ac:dyDescent="0.15">
      <c r="AK306" s="2">
        <v>560.471435546875</v>
      </c>
    </row>
    <row r="307" spans="37:37" ht="15.75" customHeight="1" x14ac:dyDescent="0.15">
      <c r="AK307" s="2">
        <v>563.80242919921875</v>
      </c>
    </row>
    <row r="308" spans="37:37" ht="15.75" customHeight="1" x14ac:dyDescent="0.15">
      <c r="AK308" s="2">
        <v>567.1334228515625</v>
      </c>
    </row>
    <row r="309" spans="37:37" ht="15.75" customHeight="1" x14ac:dyDescent="0.15">
      <c r="AK309" s="2">
        <v>570.4644775390625</v>
      </c>
    </row>
    <row r="310" spans="37:37" ht="15.75" customHeight="1" x14ac:dyDescent="0.15">
      <c r="AK310" s="2">
        <v>573.79541015625</v>
      </c>
    </row>
    <row r="311" spans="37:37" ht="15.75" customHeight="1" x14ac:dyDescent="0.15">
      <c r="AK311" s="2">
        <v>577.12640380859375</v>
      </c>
    </row>
    <row r="312" spans="37:37" ht="15.75" customHeight="1" x14ac:dyDescent="0.15">
      <c r="AK312" s="2">
        <v>580.4573974609375</v>
      </c>
    </row>
    <row r="313" spans="37:37" ht="15.75" customHeight="1" x14ac:dyDescent="0.15">
      <c r="AK313" s="2">
        <v>583.78839111328125</v>
      </c>
    </row>
    <row r="314" spans="37:37" ht="15.75" customHeight="1" x14ac:dyDescent="0.15">
      <c r="AK314" s="2">
        <v>587.11944580078125</v>
      </c>
    </row>
    <row r="315" spans="37:37" ht="15.75" customHeight="1" x14ac:dyDescent="0.15">
      <c r="AK315" s="2">
        <v>590.45037841796875</v>
      </c>
    </row>
    <row r="316" spans="37:37" ht="15.75" customHeight="1" x14ac:dyDescent="0.15">
      <c r="AK316" s="2">
        <v>593.7813720703125</v>
      </c>
    </row>
    <row r="317" spans="37:37" ht="15.75" customHeight="1" x14ac:dyDescent="0.15">
      <c r="AK317" s="2">
        <v>597.11236572265625</v>
      </c>
    </row>
    <row r="318" spans="37:37" ht="15.75" customHeight="1" x14ac:dyDescent="0.15">
      <c r="AK318" s="2">
        <v>600.44329833984375</v>
      </c>
    </row>
    <row r="319" spans="37:37" ht="15.75" customHeight="1" x14ac:dyDescent="0.15">
      <c r="AK319" s="2">
        <v>603.77435302734375</v>
      </c>
    </row>
    <row r="320" spans="37:37" ht="15.75" customHeight="1" x14ac:dyDescent="0.15">
      <c r="AK320" s="2">
        <v>607.1053466796875</v>
      </c>
    </row>
    <row r="321" spans="37:37" ht="15.75" customHeight="1" x14ac:dyDescent="0.15">
      <c r="AK321" s="2">
        <v>610.436279296875</v>
      </c>
    </row>
    <row r="322" spans="37:37" ht="15.75" customHeight="1" x14ac:dyDescent="0.15">
      <c r="AK322" s="2">
        <v>613.767333984375</v>
      </c>
    </row>
    <row r="323" spans="37:37" ht="15.75" customHeight="1" x14ac:dyDescent="0.15">
      <c r="AK323" s="2">
        <v>617.0982666015625</v>
      </c>
    </row>
    <row r="324" spans="37:37" ht="15.75" customHeight="1" x14ac:dyDescent="0.15">
      <c r="AK324" s="2">
        <v>620.42938232421875</v>
      </c>
    </row>
    <row r="325" spans="37:37" ht="15.75" customHeight="1" x14ac:dyDescent="0.15">
      <c r="AK325" s="2">
        <v>623.76025390625</v>
      </c>
    </row>
    <row r="326" spans="37:37" ht="15.75" customHeight="1" x14ac:dyDescent="0.15">
      <c r="AK326" s="2">
        <v>627.09130859375</v>
      </c>
    </row>
    <row r="327" spans="37:37" ht="15.75" customHeight="1" x14ac:dyDescent="0.15">
      <c r="AK327" s="2">
        <v>630.42230224609375</v>
      </c>
    </row>
    <row r="328" spans="37:37" ht="15.75" customHeight="1" x14ac:dyDescent="0.15">
      <c r="AK328" s="2">
        <v>650.18560791015625</v>
      </c>
    </row>
    <row r="329" spans="37:37" ht="15.75" customHeight="1" x14ac:dyDescent="0.15">
      <c r="AK329" s="2">
        <v>656.97613525390625</v>
      </c>
    </row>
    <row r="330" spans="37:37" ht="15.75" customHeight="1" x14ac:dyDescent="0.15">
      <c r="AK330" s="2">
        <v>663.7666015625</v>
      </c>
    </row>
    <row r="331" spans="37:37" ht="15.75" customHeight="1" x14ac:dyDescent="0.15">
      <c r="AK331" s="2">
        <v>670.5570068359375</v>
      </c>
    </row>
    <row r="332" spans="37:37" ht="15.75" customHeight="1" x14ac:dyDescent="0.15">
      <c r="AK332" s="2">
        <v>677.34747314453125</v>
      </c>
    </row>
    <row r="333" spans="37:37" ht="15.75" customHeight="1" x14ac:dyDescent="0.15">
      <c r="AK333" s="2">
        <v>684.137939453125</v>
      </c>
    </row>
    <row r="334" spans="37:37" ht="15.75" customHeight="1" x14ac:dyDescent="0.15">
      <c r="AK334" s="2">
        <v>690.9283447265625</v>
      </c>
    </row>
    <row r="335" spans="37:37" ht="15.75" customHeight="1" x14ac:dyDescent="0.15">
      <c r="AK335" s="2">
        <v>697.71881103515625</v>
      </c>
    </row>
    <row r="336" spans="37:37" ht="15.75" customHeight="1" x14ac:dyDescent="0.15">
      <c r="AK336" s="2">
        <v>704.50933837890625</v>
      </c>
    </row>
    <row r="337" spans="37:37" ht="15.75" customHeight="1" x14ac:dyDescent="0.15">
      <c r="AK337" s="2">
        <v>711.29974365234375</v>
      </c>
    </row>
    <row r="338" spans="37:37" ht="15.75" customHeight="1" x14ac:dyDescent="0.15">
      <c r="AK338" s="2">
        <v>718.0902099609375</v>
      </c>
    </row>
    <row r="339" spans="37:37" ht="15.75" customHeight="1" x14ac:dyDescent="0.15">
      <c r="AK339" s="2">
        <v>724.880615234375</v>
      </c>
    </row>
    <row r="340" spans="37:37" ht="15.75" customHeight="1" x14ac:dyDescent="0.15">
      <c r="AK340" s="2">
        <v>731.6710205078125</v>
      </c>
    </row>
    <row r="341" spans="37:37" ht="15.75" customHeight="1" x14ac:dyDescent="0.15">
      <c r="AK341" s="2">
        <v>738.46148681640625</v>
      </c>
    </row>
    <row r="342" spans="37:37" ht="15.75" customHeight="1" x14ac:dyDescent="0.15">
      <c r="AK342" s="2">
        <v>745.25201416015625</v>
      </c>
    </row>
    <row r="343" spans="37:37" ht="15.75" customHeight="1" x14ac:dyDescent="0.15">
      <c r="AK343" s="2">
        <v>752.04241943359375</v>
      </c>
    </row>
    <row r="344" spans="37:37" ht="15.75" customHeight="1" x14ac:dyDescent="0.15">
      <c r="AK344" s="2">
        <v>758.83282470703125</v>
      </c>
    </row>
    <row r="345" spans="37:37" ht="15.75" customHeight="1" x14ac:dyDescent="0.15">
      <c r="AK345" s="2">
        <v>765.62335205078125</v>
      </c>
    </row>
    <row r="346" spans="37:37" ht="15.75" customHeight="1" x14ac:dyDescent="0.15">
      <c r="AK346" s="2">
        <v>772.413818359375</v>
      </c>
    </row>
    <row r="347" spans="37:37" ht="15.75" customHeight="1" x14ac:dyDescent="0.15">
      <c r="AK347" s="2">
        <v>779.2042236328125</v>
      </c>
    </row>
    <row r="348" spans="37:37" ht="15.75" customHeight="1" x14ac:dyDescent="0.15">
      <c r="AK348" s="2">
        <v>785.99468994140625</v>
      </c>
    </row>
    <row r="349" spans="37:37" ht="15.75" customHeight="1" x14ac:dyDescent="0.15">
      <c r="AK349" s="2">
        <v>792.78515625</v>
      </c>
    </row>
    <row r="350" spans="37:37" ht="15.75" customHeight="1" x14ac:dyDescent="0.15">
      <c r="AK350" s="2">
        <v>799.5755615234375</v>
      </c>
    </row>
    <row r="351" spans="37:37" ht="15.75" customHeight="1" x14ac:dyDescent="0.15">
      <c r="AK351" s="2">
        <v>806.36602783203125</v>
      </c>
    </row>
    <row r="352" spans="37:37" ht="15.75" customHeight="1" x14ac:dyDescent="0.15">
      <c r="AK352" s="2">
        <v>813.15655517578125</v>
      </c>
    </row>
    <row r="353" spans="37:37" ht="15.75" customHeight="1" x14ac:dyDescent="0.15">
      <c r="AK353" s="2">
        <v>819.9468994140625</v>
      </c>
    </row>
    <row r="354" spans="37:37" ht="15.75" customHeight="1" x14ac:dyDescent="0.15">
      <c r="AK354" s="2">
        <v>826.73736572265625</v>
      </c>
    </row>
    <row r="355" spans="37:37" ht="15.75" customHeight="1" x14ac:dyDescent="0.15">
      <c r="AK355" s="2">
        <v>833.52783203125</v>
      </c>
    </row>
    <row r="356" spans="37:37" ht="15.75" customHeight="1" x14ac:dyDescent="0.15">
      <c r="AK356" s="2">
        <v>840.31829833984375</v>
      </c>
    </row>
    <row r="357" spans="37:37" ht="15.75" customHeight="1" x14ac:dyDescent="0.15">
      <c r="AK357" s="2">
        <v>847.1087646484375</v>
      </c>
    </row>
    <row r="358" spans="37:37" ht="15.75" customHeight="1" x14ac:dyDescent="0.15">
      <c r="AK358" s="2">
        <v>853.89923095703125</v>
      </c>
    </row>
    <row r="359" spans="37:37" ht="15.75" customHeight="1" x14ac:dyDescent="0.15">
      <c r="AK359" s="2">
        <v>860.689697265625</v>
      </c>
    </row>
    <row r="360" spans="37:37" ht="15.75" customHeight="1" x14ac:dyDescent="0.15">
      <c r="AK360" s="2">
        <v>867.48004150390625</v>
      </c>
    </row>
    <row r="361" spans="37:37" ht="15.75" customHeight="1" x14ac:dyDescent="0.15">
      <c r="AK361" s="2">
        <v>874.27056884765625</v>
      </c>
    </row>
    <row r="362" spans="37:37" ht="15.75" customHeight="1" x14ac:dyDescent="0.15">
      <c r="AK362" s="2">
        <v>881.06103515625</v>
      </c>
    </row>
    <row r="363" spans="37:37" ht="15.75" customHeight="1" x14ac:dyDescent="0.15">
      <c r="AK363" s="2">
        <v>887.8514404296875</v>
      </c>
    </row>
    <row r="364" spans="37:37" ht="15.75" customHeight="1" x14ac:dyDescent="0.15">
      <c r="AK364" s="2">
        <v>894.641845703125</v>
      </c>
    </row>
    <row r="365" spans="37:37" ht="15.75" customHeight="1" x14ac:dyDescent="0.15">
      <c r="AK365" s="2">
        <v>901.4322509765625</v>
      </c>
    </row>
    <row r="366" spans="37:37" ht="15.75" customHeight="1" x14ac:dyDescent="0.15">
      <c r="AK366" s="2">
        <v>908.2227783203125</v>
      </c>
    </row>
    <row r="367" spans="37:37" ht="15.75" customHeight="1" x14ac:dyDescent="0.15">
      <c r="AK367" s="2">
        <v>915.01324462890625</v>
      </c>
    </row>
    <row r="368" spans="37:37" ht="15.75" customHeight="1" x14ac:dyDescent="0.15">
      <c r="AK368" s="2">
        <v>921.8037109375</v>
      </c>
    </row>
    <row r="369" spans="37:37" ht="15.75" customHeight="1" x14ac:dyDescent="0.15">
      <c r="AK369" s="2">
        <v>928.59405517578125</v>
      </c>
    </row>
    <row r="370" spans="37:37" ht="15.75" customHeight="1" x14ac:dyDescent="0.15">
      <c r="AK370" s="2">
        <v>935.38458251953125</v>
      </c>
    </row>
    <row r="371" spans="37:37" ht="15.75" customHeight="1" x14ac:dyDescent="0.15">
      <c r="AK371" s="2">
        <v>942.175048828125</v>
      </c>
    </row>
    <row r="372" spans="37:37" ht="15.75" customHeight="1" x14ac:dyDescent="0.15">
      <c r="AK372" s="2">
        <v>948.965576171875</v>
      </c>
    </row>
    <row r="373" spans="37:37" ht="15.75" customHeight="1" x14ac:dyDescent="0.15">
      <c r="AK373" s="2">
        <v>955.7559814453125</v>
      </c>
    </row>
    <row r="374" spans="37:37" ht="15.75" customHeight="1" x14ac:dyDescent="0.15">
      <c r="AK374" s="2">
        <v>962.54638671875</v>
      </c>
    </row>
    <row r="375" spans="37:37" ht="15.75" customHeight="1" x14ac:dyDescent="0.15">
      <c r="AK375" s="2">
        <v>969.33685302734375</v>
      </c>
    </row>
    <row r="376" spans="37:37" ht="15.75" customHeight="1" x14ac:dyDescent="0.15">
      <c r="AK376" s="2">
        <v>976.12725830078125</v>
      </c>
    </row>
    <row r="377" spans="37:37" ht="15.75" customHeight="1" x14ac:dyDescent="0.15">
      <c r="AK377" s="2">
        <v>985.28070068359375</v>
      </c>
    </row>
    <row r="378" spans="37:37" ht="15.75" customHeight="1" x14ac:dyDescent="0.15">
      <c r="AK378" s="2">
        <v>986.91400146484375</v>
      </c>
    </row>
    <row r="379" spans="37:37" ht="15.75" customHeight="1" x14ac:dyDescent="0.15">
      <c r="AK379" s="2">
        <v>988.5474853515625</v>
      </c>
    </row>
    <row r="380" spans="37:37" ht="15.75" customHeight="1" x14ac:dyDescent="0.15">
      <c r="AK380" s="2">
        <v>990.1807861328125</v>
      </c>
    </row>
    <row r="381" spans="37:37" ht="15.75" customHeight="1" x14ac:dyDescent="0.15">
      <c r="AK381" s="2">
        <v>991.814208984375</v>
      </c>
    </row>
    <row r="382" spans="37:37" ht="15.75" customHeight="1" x14ac:dyDescent="0.15">
      <c r="AK382" s="2">
        <v>993.4476318359375</v>
      </c>
    </row>
    <row r="383" spans="37:37" ht="15.75" customHeight="1" x14ac:dyDescent="0.15">
      <c r="AK383" s="2">
        <v>995.0809326171875</v>
      </c>
    </row>
    <row r="384" spans="37:37" ht="15.75" customHeight="1" x14ac:dyDescent="0.15">
      <c r="AK384" s="2">
        <v>996.71435546875</v>
      </c>
    </row>
    <row r="385" spans="37:37" ht="15.75" customHeight="1" x14ac:dyDescent="0.15">
      <c r="AK385" s="2">
        <v>998.34765625</v>
      </c>
    </row>
    <row r="386" spans="37:37" ht="15.75" customHeight="1" x14ac:dyDescent="0.15">
      <c r="AK386" s="2">
        <v>999.9810791015625</v>
      </c>
    </row>
    <row r="387" spans="37:37" ht="15.75" customHeight="1" x14ac:dyDescent="0.15">
      <c r="AK387" s="2">
        <v>1001.614501953125</v>
      </c>
    </row>
    <row r="388" spans="37:37" ht="15.75" customHeight="1" x14ac:dyDescent="0.15">
      <c r="AK388" s="2">
        <v>1003.247802734375</v>
      </c>
    </row>
    <row r="389" spans="37:37" ht="15.75" customHeight="1" x14ac:dyDescent="0.15">
      <c r="AK389" s="2">
        <v>1004.8812255859375</v>
      </c>
    </row>
    <row r="390" spans="37:37" ht="15.75" customHeight="1" x14ac:dyDescent="0.15">
      <c r="AK390" s="2">
        <v>1006.5145263671875</v>
      </c>
    </row>
    <row r="391" spans="37:37" ht="15.75" customHeight="1" x14ac:dyDescent="0.15">
      <c r="AK391" s="2">
        <v>1008.14794921875</v>
      </c>
    </row>
    <row r="392" spans="37:37" ht="15.75" customHeight="1" x14ac:dyDescent="0.15">
      <c r="AK392" s="2">
        <v>1009.7813720703125</v>
      </c>
    </row>
    <row r="393" spans="37:37" ht="15.75" customHeight="1" x14ac:dyDescent="0.15">
      <c r="AK393" s="2">
        <v>1011.4146728515625</v>
      </c>
    </row>
    <row r="394" spans="37:37" ht="15.75" customHeight="1" x14ac:dyDescent="0.15">
      <c r="AK394" s="2">
        <v>1013.048095703125</v>
      </c>
    </row>
    <row r="395" spans="37:37" ht="15.75" customHeight="1" x14ac:dyDescent="0.15">
      <c r="AK395" s="2">
        <v>1014.6815185546875</v>
      </c>
    </row>
    <row r="396" spans="37:37" ht="15.75" customHeight="1" x14ac:dyDescent="0.15">
      <c r="AK396" s="2">
        <v>1016.3148193359375</v>
      </c>
    </row>
    <row r="397" spans="37:37" ht="15.75" customHeight="1" x14ac:dyDescent="0.15">
      <c r="AK397" s="2">
        <v>1017.9482421875</v>
      </c>
    </row>
    <row r="398" spans="37:37" ht="15.75" customHeight="1" x14ac:dyDescent="0.15">
      <c r="AK398" s="2">
        <v>1019.58154296875</v>
      </c>
    </row>
    <row r="399" spans="37:37" ht="15.75" customHeight="1" x14ac:dyDescent="0.15">
      <c r="AK399" s="2">
        <v>1021.2149658203125</v>
      </c>
    </row>
    <row r="400" spans="37:37" ht="15.75" customHeight="1" x14ac:dyDescent="0.15">
      <c r="AK400" s="2">
        <v>1022.848388671875</v>
      </c>
    </row>
    <row r="401" spans="37:37" ht="15.75" customHeight="1" x14ac:dyDescent="0.15">
      <c r="AK401" s="2">
        <v>1024.481689453125</v>
      </c>
    </row>
    <row r="402" spans="37:37" ht="15.75" customHeight="1" x14ac:dyDescent="0.15">
      <c r="AK402" s="2">
        <v>1028.47802734375</v>
      </c>
    </row>
    <row r="403" spans="37:37" ht="15.75" customHeight="1" x14ac:dyDescent="0.15">
      <c r="AK403" s="2">
        <v>1024.954345703125</v>
      </c>
    </row>
    <row r="404" spans="37:37" ht="15.75" customHeight="1" x14ac:dyDescent="0.15">
      <c r="AK404" s="2">
        <v>1021.4307250976563</v>
      </c>
    </row>
    <row r="405" spans="37:37" ht="15.75" customHeight="1" x14ac:dyDescent="0.15">
      <c r="AK405" s="2">
        <v>1017.906982421875</v>
      </c>
    </row>
    <row r="406" spans="37:37" ht="15.75" customHeight="1" x14ac:dyDescent="0.15">
      <c r="AK406" s="2">
        <v>1014.38330078125</v>
      </c>
    </row>
    <row r="407" spans="37:37" ht="15.75" customHeight="1" x14ac:dyDescent="0.15">
      <c r="AK407" s="2">
        <v>1010.8595581054688</v>
      </c>
    </row>
    <row r="408" spans="37:37" ht="15.75" customHeight="1" x14ac:dyDescent="0.15">
      <c r="AK408" s="2">
        <v>1007.3358154296875</v>
      </c>
    </row>
    <row r="409" spans="37:37" ht="15.75" customHeight="1" x14ac:dyDescent="0.15">
      <c r="AK409" s="2">
        <v>1003.812255859375</v>
      </c>
    </row>
    <row r="410" spans="37:37" ht="15.75" customHeight="1" x14ac:dyDescent="0.15">
      <c r="AK410" s="2">
        <v>1000.2885131835938</v>
      </c>
    </row>
    <row r="411" spans="37:37" ht="15.75" customHeight="1" x14ac:dyDescent="0.15">
      <c r="AK411" s="2">
        <v>996.76483154296875</v>
      </c>
    </row>
    <row r="412" spans="37:37" ht="15.75" customHeight="1" x14ac:dyDescent="0.15">
      <c r="AK412" s="2">
        <v>993.2410888671875</v>
      </c>
    </row>
    <row r="413" spans="37:37" ht="15.75" customHeight="1" x14ac:dyDescent="0.15">
      <c r="AK413" s="2">
        <v>989.7174072265625</v>
      </c>
    </row>
    <row r="414" spans="37:37" ht="15.75" customHeight="1" x14ac:dyDescent="0.15">
      <c r="AK414" s="2">
        <v>986.1937255859375</v>
      </c>
    </row>
    <row r="415" spans="37:37" ht="15.75" customHeight="1" x14ac:dyDescent="0.15">
      <c r="AK415" s="2">
        <v>982.6700439453125</v>
      </c>
    </row>
    <row r="416" spans="37:37" ht="15.75" customHeight="1" x14ac:dyDescent="0.15">
      <c r="AK416" s="2">
        <v>979.14630126953125</v>
      </c>
    </row>
    <row r="417" spans="37:37" ht="15.75" customHeight="1" x14ac:dyDescent="0.15">
      <c r="AK417" s="2">
        <v>975.62261962890625</v>
      </c>
    </row>
    <row r="418" spans="37:37" ht="15.75" customHeight="1" x14ac:dyDescent="0.15">
      <c r="AK418" s="2">
        <v>972.098876953125</v>
      </c>
    </row>
    <row r="419" spans="37:37" ht="15.75" customHeight="1" x14ac:dyDescent="0.15">
      <c r="AK419" s="2">
        <v>968.5753173828125</v>
      </c>
    </row>
    <row r="420" spans="37:37" ht="15.75" customHeight="1" x14ac:dyDescent="0.15">
      <c r="AK420" s="2">
        <v>965.0516357421875</v>
      </c>
    </row>
    <row r="421" spans="37:37" ht="15.75" customHeight="1" x14ac:dyDescent="0.15">
      <c r="AK421" s="2">
        <v>961.52783203125</v>
      </c>
    </row>
    <row r="422" spans="37:37" ht="15.75" customHeight="1" x14ac:dyDescent="0.15">
      <c r="AK422" s="2">
        <v>958.004150390625</v>
      </c>
    </row>
    <row r="423" spans="37:37" ht="15.75" customHeight="1" x14ac:dyDescent="0.15">
      <c r="AK423" s="2">
        <v>954.48046875</v>
      </c>
    </row>
    <row r="424" spans="37:37" ht="15.75" customHeight="1" x14ac:dyDescent="0.15">
      <c r="AK424" s="2">
        <v>950.956787109375</v>
      </c>
    </row>
    <row r="425" spans="37:37" ht="15.75" customHeight="1" x14ac:dyDescent="0.15">
      <c r="AK425" s="2">
        <v>947.43310546875</v>
      </c>
    </row>
    <row r="426" spans="37:37" ht="15.75" customHeight="1" x14ac:dyDescent="0.15">
      <c r="AK426" s="2">
        <v>933.29931640625</v>
      </c>
    </row>
    <row r="427" spans="37:37" ht="15.75" customHeight="1" x14ac:dyDescent="0.15">
      <c r="AK427" s="2">
        <v>931.4732666015625</v>
      </c>
    </row>
    <row r="428" spans="37:37" ht="15.75" customHeight="1" x14ac:dyDescent="0.15">
      <c r="AK428" s="2">
        <v>929.6470947265625</v>
      </c>
    </row>
    <row r="429" spans="37:37" ht="15.75" customHeight="1" x14ac:dyDescent="0.15">
      <c r="AK429" s="2">
        <v>927.8211669921875</v>
      </c>
    </row>
    <row r="430" spans="37:37" ht="15.75" customHeight="1" x14ac:dyDescent="0.15">
      <c r="AK430" s="2">
        <v>925.9949951171875</v>
      </c>
    </row>
    <row r="431" spans="37:37" ht="15.75" customHeight="1" x14ac:dyDescent="0.15">
      <c r="AK431" s="2">
        <v>924.1689453125</v>
      </c>
    </row>
    <row r="432" spans="37:37" ht="15.75" customHeight="1" x14ac:dyDescent="0.15">
      <c r="AK432" s="2">
        <v>922.3428955078125</v>
      </c>
    </row>
    <row r="433" spans="37:37" ht="15.75" customHeight="1" x14ac:dyDescent="0.15">
      <c r="AK433" s="2">
        <v>920.5167236328125</v>
      </c>
    </row>
    <row r="434" spans="37:37" ht="15.75" customHeight="1" x14ac:dyDescent="0.15">
      <c r="AK434" s="2">
        <v>918.69073486328125</v>
      </c>
    </row>
    <row r="435" spans="37:37" ht="15.75" customHeight="1" x14ac:dyDescent="0.15">
      <c r="AK435" s="2">
        <v>916.8646240234375</v>
      </c>
    </row>
    <row r="436" spans="37:37" ht="15.75" customHeight="1" x14ac:dyDescent="0.15">
      <c r="AK436" s="2">
        <v>915.03851318359375</v>
      </c>
    </row>
    <row r="437" spans="37:37" ht="15.75" customHeight="1" x14ac:dyDescent="0.15">
      <c r="AK437" s="2">
        <v>913.21240234375</v>
      </c>
    </row>
    <row r="438" spans="37:37" ht="15.75" customHeight="1" x14ac:dyDescent="0.15">
      <c r="AK438" s="2">
        <v>911.3863525390625</v>
      </c>
    </row>
    <row r="439" spans="37:37" ht="15.75" customHeight="1" x14ac:dyDescent="0.15">
      <c r="AK439" s="2">
        <v>909.56024169921875</v>
      </c>
    </row>
    <row r="440" spans="37:37" ht="15.75" customHeight="1" x14ac:dyDescent="0.15">
      <c r="AK440" s="2">
        <v>907.73419189453125</v>
      </c>
    </row>
    <row r="441" spans="37:37" ht="15.75" customHeight="1" x14ac:dyDescent="0.15">
      <c r="AK441" s="2">
        <v>905.90814208984375</v>
      </c>
    </row>
    <row r="442" spans="37:37" ht="15.75" customHeight="1" x14ac:dyDescent="0.15">
      <c r="AK442" s="2">
        <v>904.08197021484375</v>
      </c>
    </row>
    <row r="443" spans="37:37" ht="15.75" customHeight="1" x14ac:dyDescent="0.15">
      <c r="AK443" s="2">
        <v>902.25592041015625</v>
      </c>
    </row>
    <row r="444" spans="37:37" ht="15.75" customHeight="1" x14ac:dyDescent="0.15">
      <c r="AK444" s="2">
        <v>900.429931640625</v>
      </c>
    </row>
    <row r="445" spans="37:37" ht="15.75" customHeight="1" x14ac:dyDescent="0.15">
      <c r="AK445" s="2">
        <v>898.6038818359375</v>
      </c>
    </row>
    <row r="446" spans="37:37" ht="15.75" customHeight="1" x14ac:dyDescent="0.15">
      <c r="AK446" s="2">
        <v>896.7777099609375</v>
      </c>
    </row>
    <row r="447" spans="37:37" ht="15.75" customHeight="1" x14ac:dyDescent="0.15">
      <c r="AK447" s="2">
        <v>894.95166015625</v>
      </c>
    </row>
    <row r="448" spans="37:37" ht="15.75" customHeight="1" x14ac:dyDescent="0.15">
      <c r="AK448" s="2">
        <v>893.1256103515625</v>
      </c>
    </row>
    <row r="449" spans="37:37" ht="15.75" customHeight="1" x14ac:dyDescent="0.15">
      <c r="AK449" s="2">
        <v>891.2994384765625</v>
      </c>
    </row>
    <row r="450" spans="37:37" ht="15.75" customHeight="1" x14ac:dyDescent="0.15">
      <c r="AK450" s="2">
        <v>889.473388671875</v>
      </c>
    </row>
    <row r="451" spans="37:37" ht="15.75" customHeight="1" x14ac:dyDescent="0.15">
      <c r="AK451" s="2">
        <v>877.0372314453125</v>
      </c>
    </row>
    <row r="452" spans="37:37" ht="15.75" customHeight="1" x14ac:dyDescent="0.15">
      <c r="AK452" s="2">
        <v>879.2716064453125</v>
      </c>
    </row>
    <row r="453" spans="37:37" ht="15.75" customHeight="1" x14ac:dyDescent="0.15">
      <c r="AK453" s="2">
        <v>873.98602294921875</v>
      </c>
    </row>
    <row r="454" spans="37:37" ht="15.75" customHeight="1" x14ac:dyDescent="0.15">
      <c r="AK454" s="2">
        <v>868.70068359375</v>
      </c>
    </row>
    <row r="455" spans="37:37" ht="15.75" customHeight="1" x14ac:dyDescent="0.15">
      <c r="AK455" s="2">
        <v>863.4150390625</v>
      </c>
    </row>
    <row r="456" spans="37:37" ht="15.75" customHeight="1" x14ac:dyDescent="0.15">
      <c r="AK456" s="2">
        <v>858.1295166015625</v>
      </c>
    </row>
    <row r="457" spans="37:37" ht="15.75" customHeight="1" x14ac:dyDescent="0.15">
      <c r="AK457" s="2">
        <v>852.84393310546875</v>
      </c>
    </row>
    <row r="458" spans="37:37" ht="15.75" customHeight="1" x14ac:dyDescent="0.15">
      <c r="AK458" s="2">
        <v>847.558349609375</v>
      </c>
    </row>
    <row r="459" spans="37:37" ht="15.75" customHeight="1" x14ac:dyDescent="0.15">
      <c r="AK459" s="2">
        <v>842.27294921875</v>
      </c>
    </row>
    <row r="460" spans="37:37" ht="15.75" customHeight="1" x14ac:dyDescent="0.15">
      <c r="AK460" s="2">
        <v>836.98736572265625</v>
      </c>
    </row>
    <row r="461" spans="37:37" ht="15.75" customHeight="1" x14ac:dyDescent="0.15">
      <c r="AK461" s="2">
        <v>831.7017822265625</v>
      </c>
    </row>
    <row r="462" spans="37:37" ht="15.75" customHeight="1" x14ac:dyDescent="0.15">
      <c r="AK462" s="2">
        <v>826.41619873046875</v>
      </c>
    </row>
    <row r="463" spans="37:37" ht="15.75" customHeight="1" x14ac:dyDescent="0.15">
      <c r="AK463" s="2">
        <v>821.130615234375</v>
      </c>
    </row>
    <row r="464" spans="37:37" ht="15.75" customHeight="1" x14ac:dyDescent="0.15">
      <c r="AK464" s="2">
        <v>815.84527587890625</v>
      </c>
    </row>
    <row r="465" spans="37:37" ht="15.75" customHeight="1" x14ac:dyDescent="0.15">
      <c r="AK465" s="2">
        <v>810.5596923828125</v>
      </c>
    </row>
    <row r="466" spans="37:37" ht="15.75" customHeight="1" x14ac:dyDescent="0.15">
      <c r="AK466" s="2">
        <v>805.274169921875</v>
      </c>
    </row>
    <row r="467" spans="37:37" ht="15.75" customHeight="1" x14ac:dyDescent="0.15">
      <c r="AK467" s="2">
        <v>799.988525390625</v>
      </c>
    </row>
    <row r="468" spans="37:37" ht="15.75" customHeight="1" x14ac:dyDescent="0.15">
      <c r="AK468" s="2">
        <v>794.7030029296875</v>
      </c>
    </row>
    <row r="469" spans="37:37" ht="15.75" customHeight="1" x14ac:dyDescent="0.15">
      <c r="AK469" s="2">
        <v>789.41754150390625</v>
      </c>
    </row>
    <row r="470" spans="37:37" ht="15.75" customHeight="1" x14ac:dyDescent="0.15">
      <c r="AK470" s="2">
        <v>784.1319580078125</v>
      </c>
    </row>
    <row r="471" spans="37:37" ht="15.75" customHeight="1" x14ac:dyDescent="0.15">
      <c r="AK471" s="2">
        <v>778.846435546875</v>
      </c>
    </row>
    <row r="472" spans="37:37" ht="15.75" customHeight="1" x14ac:dyDescent="0.15">
      <c r="AK472" s="2">
        <v>773.560791015625</v>
      </c>
    </row>
    <row r="473" spans="37:37" ht="15.75" customHeight="1" x14ac:dyDescent="0.15">
      <c r="AK473" s="2">
        <v>768.2752685546875</v>
      </c>
    </row>
    <row r="474" spans="37:37" ht="15.75" customHeight="1" x14ac:dyDescent="0.15">
      <c r="AK474" s="2">
        <v>762.9898681640625</v>
      </c>
    </row>
    <row r="475" spans="37:37" ht="15.75" customHeight="1" x14ac:dyDescent="0.15">
      <c r="AK475" s="2">
        <v>757.70428466796875</v>
      </c>
    </row>
    <row r="476" spans="37:37" ht="15.75" customHeight="1" x14ac:dyDescent="0.15">
      <c r="AK476" s="2">
        <v>752.418701171875</v>
      </c>
    </row>
    <row r="477" spans="37:37" ht="15.75" customHeight="1" x14ac:dyDescent="0.15">
      <c r="AK477" s="2">
        <v>749.49603271484375</v>
      </c>
    </row>
    <row r="478" spans="37:37" ht="15.75" customHeight="1" x14ac:dyDescent="0.15">
      <c r="AK478" s="2">
        <v>755.48577880859375</v>
      </c>
    </row>
    <row r="479" spans="37:37" ht="15.75" customHeight="1" x14ac:dyDescent="0.15">
      <c r="AK479" s="2">
        <v>748.5028076171875</v>
      </c>
    </row>
    <row r="480" spans="37:37" ht="15.75" customHeight="1" x14ac:dyDescent="0.15">
      <c r="AK480" s="2">
        <v>741.51959228515625</v>
      </c>
    </row>
    <row r="481" spans="37:37" ht="15.75" customHeight="1" x14ac:dyDescent="0.15">
      <c r="AK481" s="2">
        <v>734.536376953125</v>
      </c>
    </row>
    <row r="482" spans="37:37" ht="15.75" customHeight="1" x14ac:dyDescent="0.15">
      <c r="AK482" s="2">
        <v>727.55322265625</v>
      </c>
    </row>
    <row r="483" spans="37:37" ht="15.75" customHeight="1" x14ac:dyDescent="0.15">
      <c r="AK483" s="2">
        <v>720.57000732421875</v>
      </c>
    </row>
    <row r="484" spans="37:37" ht="15.75" customHeight="1" x14ac:dyDescent="0.15">
      <c r="AK484" s="2">
        <v>713.5870361328125</v>
      </c>
    </row>
    <row r="485" spans="37:37" ht="15.75" customHeight="1" x14ac:dyDescent="0.15">
      <c r="AK485" s="2">
        <v>706.6038818359375</v>
      </c>
    </row>
    <row r="486" spans="37:37" ht="15.75" customHeight="1" x14ac:dyDescent="0.15">
      <c r="AK486" s="2">
        <v>699.62066650390625</v>
      </c>
    </row>
    <row r="487" spans="37:37" ht="15.75" customHeight="1" x14ac:dyDescent="0.15">
      <c r="AK487" s="2">
        <v>692.637451171875</v>
      </c>
    </row>
    <row r="488" spans="37:37" ht="15.75" customHeight="1" x14ac:dyDescent="0.15">
      <c r="AK488" s="2">
        <v>685.654296875</v>
      </c>
    </row>
    <row r="489" spans="37:37" ht="15.75" customHeight="1" x14ac:dyDescent="0.15">
      <c r="AK489" s="2">
        <v>678.6712646484375</v>
      </c>
    </row>
    <row r="490" spans="37:37" ht="15.75" customHeight="1" x14ac:dyDescent="0.15">
      <c r="AK490" s="2">
        <v>671.6881103515625</v>
      </c>
    </row>
    <row r="491" spans="37:37" ht="15.75" customHeight="1" x14ac:dyDescent="0.15">
      <c r="AK491" s="2">
        <v>664.70489501953125</v>
      </c>
    </row>
    <row r="492" spans="37:37" ht="15.75" customHeight="1" x14ac:dyDescent="0.15">
      <c r="AK492" s="2">
        <v>657.7216796875</v>
      </c>
    </row>
    <row r="493" spans="37:37" ht="15.75" customHeight="1" x14ac:dyDescent="0.15">
      <c r="AK493" s="2">
        <v>650.738525390625</v>
      </c>
    </row>
    <row r="494" spans="37:37" ht="15.75" customHeight="1" x14ac:dyDescent="0.15">
      <c r="AK494" s="2">
        <v>643.7554931640625</v>
      </c>
    </row>
    <row r="495" spans="37:37" ht="15.75" customHeight="1" x14ac:dyDescent="0.15">
      <c r="AK495" s="2">
        <v>636.7723388671875</v>
      </c>
    </row>
    <row r="496" spans="37:37" ht="15.75" customHeight="1" x14ac:dyDescent="0.15">
      <c r="AK496" s="2">
        <v>629.78912353515625</v>
      </c>
    </row>
    <row r="497" spans="37:37" ht="15.75" customHeight="1" x14ac:dyDescent="0.15">
      <c r="AK497" s="2">
        <v>622.805908203125</v>
      </c>
    </row>
    <row r="498" spans="37:37" ht="15.75" customHeight="1" x14ac:dyDescent="0.15">
      <c r="AK498" s="2">
        <v>615.82275390625</v>
      </c>
    </row>
    <row r="499" spans="37:37" ht="15.75" customHeight="1" x14ac:dyDescent="0.15">
      <c r="AK499" s="2">
        <v>608.8397216796875</v>
      </c>
    </row>
    <row r="500" spans="37:37" ht="15.75" customHeight="1" x14ac:dyDescent="0.15">
      <c r="AK500" s="2">
        <v>601.8565673828125</v>
      </c>
    </row>
    <row r="501" spans="37:37" ht="15.75" customHeight="1" x14ac:dyDescent="0.15">
      <c r="AK501" s="2">
        <v>584.26324462890625</v>
      </c>
    </row>
    <row r="502" spans="37:37" ht="15.75" customHeight="1" x14ac:dyDescent="0.15">
      <c r="AK502" s="2">
        <v>578.9776611328125</v>
      </c>
    </row>
    <row r="503" spans="37:37" ht="15.75" customHeight="1" x14ac:dyDescent="0.15">
      <c r="AK503" s="2">
        <v>590.12457275390625</v>
      </c>
    </row>
    <row r="504" spans="37:37" ht="15.75" customHeight="1" x14ac:dyDescent="0.15">
      <c r="AK504" s="2">
        <v>588.298583984375</v>
      </c>
    </row>
    <row r="505" spans="37:37" ht="15.75" customHeight="1" x14ac:dyDescent="0.15">
      <c r="AK505" s="2">
        <v>586.4725341796875</v>
      </c>
    </row>
    <row r="506" spans="37:37" ht="15.75" customHeight="1" x14ac:dyDescent="0.15">
      <c r="AK506" s="2">
        <v>584.6463623046875</v>
      </c>
    </row>
    <row r="507" spans="37:37" ht="15.75" customHeight="1" x14ac:dyDescent="0.15">
      <c r="AK507" s="2">
        <v>582.8203125</v>
      </c>
    </row>
    <row r="508" spans="37:37" ht="15.75" customHeight="1" x14ac:dyDescent="0.15">
      <c r="AK508" s="2">
        <v>580.994140625</v>
      </c>
    </row>
    <row r="509" spans="37:37" ht="15.75" customHeight="1" x14ac:dyDescent="0.15">
      <c r="AK509" s="2">
        <v>579.168212890625</v>
      </c>
    </row>
    <row r="510" spans="37:37" ht="15.75" customHeight="1" x14ac:dyDescent="0.15">
      <c r="AK510" s="2">
        <v>577.34210205078125</v>
      </c>
    </row>
    <row r="511" spans="37:37" ht="15.75" customHeight="1" x14ac:dyDescent="0.15">
      <c r="AK511" s="2">
        <v>575.5159912109375</v>
      </c>
    </row>
    <row r="512" spans="37:37" ht="15.75" customHeight="1" x14ac:dyDescent="0.15">
      <c r="AK512" s="2">
        <v>573.68988037109375</v>
      </c>
    </row>
    <row r="513" spans="37:37" ht="15.75" customHeight="1" x14ac:dyDescent="0.15">
      <c r="AK513" s="2">
        <v>571.86376953125</v>
      </c>
    </row>
    <row r="514" spans="37:37" ht="15.75" customHeight="1" x14ac:dyDescent="0.15">
      <c r="AK514" s="2">
        <v>570.03778076171875</v>
      </c>
    </row>
    <row r="515" spans="37:37" ht="15.75" customHeight="1" x14ac:dyDescent="0.15">
      <c r="AK515" s="2">
        <v>568.211669921875</v>
      </c>
    </row>
    <row r="516" spans="37:37" ht="15.75" customHeight="1" x14ac:dyDescent="0.15">
      <c r="AK516" s="2">
        <v>566.38555908203125</v>
      </c>
    </row>
    <row r="517" spans="37:37" ht="15.75" customHeight="1" x14ac:dyDescent="0.15">
      <c r="AK517" s="2">
        <v>564.5594482421875</v>
      </c>
    </row>
    <row r="518" spans="37:37" ht="15.75" customHeight="1" x14ac:dyDescent="0.15">
      <c r="AK518" s="2">
        <v>562.73333740234375</v>
      </c>
    </row>
    <row r="519" spans="37:37" ht="15.75" customHeight="1" x14ac:dyDescent="0.15">
      <c r="AK519" s="2">
        <v>560.90740966796875</v>
      </c>
    </row>
    <row r="520" spans="37:37" ht="15.75" customHeight="1" x14ac:dyDescent="0.15">
      <c r="AK520" s="2">
        <v>559.081298828125</v>
      </c>
    </row>
    <row r="521" spans="37:37" ht="15.75" customHeight="1" x14ac:dyDescent="0.15">
      <c r="AK521" s="2">
        <v>557.255126953125</v>
      </c>
    </row>
    <row r="522" spans="37:37" ht="15.75" customHeight="1" x14ac:dyDescent="0.15">
      <c r="AK522" s="2">
        <v>555.4290771484375</v>
      </c>
    </row>
    <row r="523" spans="37:37" ht="15.75" customHeight="1" x14ac:dyDescent="0.15">
      <c r="AK523" s="2">
        <v>553.60296630859375</v>
      </c>
    </row>
    <row r="524" spans="37:37" ht="15.75" customHeight="1" x14ac:dyDescent="0.15">
      <c r="AK524" s="2">
        <v>551.7769775390625</v>
      </c>
    </row>
    <row r="525" spans="37:37" ht="15.75" customHeight="1" x14ac:dyDescent="0.15">
      <c r="AK525" s="2">
        <v>549.95086669921875</v>
      </c>
    </row>
    <row r="526" spans="37:37" ht="15.75" customHeight="1" x14ac:dyDescent="0.15">
      <c r="AK526" s="2">
        <v>537.5146484375</v>
      </c>
    </row>
    <row r="527" spans="37:37" ht="15.75" customHeight="1" x14ac:dyDescent="0.15">
      <c r="AK527" s="2">
        <v>537.38623046875</v>
      </c>
    </row>
    <row r="528" spans="37:37" ht="15.75" customHeight="1" x14ac:dyDescent="0.15">
      <c r="AK528" s="2">
        <v>537.2576904296875</v>
      </c>
    </row>
    <row r="529" spans="37:37" ht="15.75" customHeight="1" x14ac:dyDescent="0.15">
      <c r="AK529" s="2">
        <v>537.1292724609375</v>
      </c>
    </row>
    <row r="530" spans="37:37" ht="15.75" customHeight="1" x14ac:dyDescent="0.15">
      <c r="AK530" s="2">
        <v>537.0008544921875</v>
      </c>
    </row>
    <row r="531" spans="37:37" ht="15.75" customHeight="1" x14ac:dyDescent="0.15">
      <c r="AK531" s="2">
        <v>536.872314453125</v>
      </c>
    </row>
    <row r="532" spans="37:37" ht="15.75" customHeight="1" x14ac:dyDescent="0.15">
      <c r="AK532" s="2">
        <v>536.74383544921875</v>
      </c>
    </row>
    <row r="533" spans="37:37" ht="15.75" customHeight="1" x14ac:dyDescent="0.15">
      <c r="AK533" s="2">
        <v>536.6153564453125</v>
      </c>
    </row>
    <row r="534" spans="37:37" ht="15.75" customHeight="1" x14ac:dyDescent="0.15">
      <c r="AK534" s="2">
        <v>536.48699951171875</v>
      </c>
    </row>
    <row r="535" spans="37:37" ht="15.75" customHeight="1" x14ac:dyDescent="0.15">
      <c r="AK535" s="2">
        <v>536.35845947265625</v>
      </c>
    </row>
    <row r="536" spans="37:37" ht="15.75" customHeight="1" x14ac:dyDescent="0.15">
      <c r="AK536" s="2">
        <v>536.23004150390625</v>
      </c>
    </row>
    <row r="537" spans="37:37" ht="15.75" customHeight="1" x14ac:dyDescent="0.15">
      <c r="AK537" s="2">
        <v>536.10150146484375</v>
      </c>
    </row>
    <row r="538" spans="37:37" ht="15.75" customHeight="1" x14ac:dyDescent="0.15">
      <c r="AK538" s="2">
        <v>535.9730224609375</v>
      </c>
    </row>
    <row r="539" spans="37:37" ht="15.75" customHeight="1" x14ac:dyDescent="0.15">
      <c r="AK539" s="2">
        <v>535.84466552734375</v>
      </c>
    </row>
    <row r="540" spans="37:37" ht="15.75" customHeight="1" x14ac:dyDescent="0.15">
      <c r="AK540" s="2">
        <v>535.71612548828125</v>
      </c>
    </row>
    <row r="541" spans="37:37" ht="15.75" customHeight="1" x14ac:dyDescent="0.15">
      <c r="AK541" s="2">
        <v>535.58770751953125</v>
      </c>
    </row>
    <row r="542" spans="37:37" ht="15.75" customHeight="1" x14ac:dyDescent="0.15">
      <c r="AK542" s="2">
        <v>535.45916748046875</v>
      </c>
    </row>
    <row r="543" spans="37:37" ht="15.75" customHeight="1" x14ac:dyDescent="0.15">
      <c r="AK543" s="2">
        <v>535.33062744140625</v>
      </c>
    </row>
    <row r="544" spans="37:37" ht="15.75" customHeight="1" x14ac:dyDescent="0.15">
      <c r="AK544" s="2">
        <v>535.20233154296875</v>
      </c>
    </row>
    <row r="545" spans="37:37" ht="15.75" customHeight="1" x14ac:dyDescent="0.15">
      <c r="AK545" s="2">
        <v>535.0738525390625</v>
      </c>
    </row>
    <row r="546" spans="37:37" ht="15.75" customHeight="1" x14ac:dyDescent="0.15">
      <c r="AK546" s="2">
        <v>534.9453125</v>
      </c>
    </row>
    <row r="547" spans="37:37" ht="15.75" customHeight="1" x14ac:dyDescent="0.15">
      <c r="AK547" s="2">
        <v>534.81683349609375</v>
      </c>
    </row>
    <row r="548" spans="37:37" ht="15.75" customHeight="1" x14ac:dyDescent="0.15">
      <c r="AK548" s="2">
        <v>534.68829345703125</v>
      </c>
    </row>
    <row r="549" spans="37:37" ht="15.75" customHeight="1" x14ac:dyDescent="0.15">
      <c r="AK549" s="2">
        <v>534.55999755859375</v>
      </c>
    </row>
    <row r="550" spans="37:37" ht="15.75" customHeight="1" x14ac:dyDescent="0.15">
      <c r="AK550" s="2">
        <v>534.43145751953125</v>
      </c>
    </row>
    <row r="551" spans="37:37" ht="15.75" customHeight="1" x14ac:dyDescent="0.15">
      <c r="AK551" s="2">
        <v>534.302978515625</v>
      </c>
    </row>
    <row r="552" spans="37:37" ht="15.75" customHeight="1" x14ac:dyDescent="0.15">
      <c r="AK552" s="2">
        <v>534.17449951171875</v>
      </c>
    </row>
    <row r="553" spans="37:37" ht="15.75" customHeight="1" x14ac:dyDescent="0.15">
      <c r="AK553" s="2">
        <v>550.4783935546875</v>
      </c>
    </row>
    <row r="554" spans="37:37" ht="15.75" customHeight="1" x14ac:dyDescent="0.15">
      <c r="AK554" s="2">
        <v>553.80950927734375</v>
      </c>
    </row>
    <row r="555" spans="37:37" ht="15.75" customHeight="1" x14ac:dyDescent="0.15">
      <c r="AK555" s="2">
        <v>557.1405029296875</v>
      </c>
    </row>
    <row r="556" spans="37:37" ht="15.75" customHeight="1" x14ac:dyDescent="0.15">
      <c r="AK556" s="2">
        <v>560.471435546875</v>
      </c>
    </row>
    <row r="557" spans="37:37" ht="15.75" customHeight="1" x14ac:dyDescent="0.15">
      <c r="AK557" s="2">
        <v>563.80242919921875</v>
      </c>
    </row>
    <row r="558" spans="37:37" ht="15.75" customHeight="1" x14ac:dyDescent="0.15">
      <c r="AK558" s="2">
        <v>567.1334228515625</v>
      </c>
    </row>
    <row r="559" spans="37:37" ht="15.75" customHeight="1" x14ac:dyDescent="0.15">
      <c r="AK559" s="2">
        <v>570.4644775390625</v>
      </c>
    </row>
    <row r="560" spans="37:37" ht="15.75" customHeight="1" x14ac:dyDescent="0.15">
      <c r="AK560" s="2">
        <v>573.79541015625</v>
      </c>
    </row>
    <row r="561" spans="37:37" ht="15.75" customHeight="1" x14ac:dyDescent="0.15">
      <c r="AK561" s="2">
        <v>577.12640380859375</v>
      </c>
    </row>
    <row r="562" spans="37:37" ht="15.75" customHeight="1" x14ac:dyDescent="0.15">
      <c r="AK562" s="2">
        <v>580.4573974609375</v>
      </c>
    </row>
    <row r="563" spans="37:37" ht="15.75" customHeight="1" x14ac:dyDescent="0.15">
      <c r="AK563" s="2">
        <v>583.78839111328125</v>
      </c>
    </row>
    <row r="564" spans="37:37" ht="15.75" customHeight="1" x14ac:dyDescent="0.15">
      <c r="AK564" s="2">
        <v>587.11944580078125</v>
      </c>
    </row>
    <row r="565" spans="37:37" ht="15.75" customHeight="1" x14ac:dyDescent="0.15">
      <c r="AK565" s="2">
        <v>590.45037841796875</v>
      </c>
    </row>
    <row r="566" spans="37:37" ht="15.75" customHeight="1" x14ac:dyDescent="0.15">
      <c r="AK566" s="2">
        <v>593.7813720703125</v>
      </c>
    </row>
    <row r="567" spans="37:37" ht="15.75" customHeight="1" x14ac:dyDescent="0.15">
      <c r="AK567" s="2">
        <v>597.11236572265625</v>
      </c>
    </row>
    <row r="568" spans="37:37" ht="15.75" customHeight="1" x14ac:dyDescent="0.15">
      <c r="AK568" s="2">
        <v>600.44329833984375</v>
      </c>
    </row>
    <row r="569" spans="37:37" ht="15.75" customHeight="1" x14ac:dyDescent="0.15">
      <c r="AK569" s="2">
        <v>603.77435302734375</v>
      </c>
    </row>
    <row r="570" spans="37:37" ht="15.75" customHeight="1" x14ac:dyDescent="0.15">
      <c r="AK570" s="2">
        <v>607.1053466796875</v>
      </c>
    </row>
    <row r="571" spans="37:37" ht="15.75" customHeight="1" x14ac:dyDescent="0.15">
      <c r="AK571" s="2">
        <v>610.436279296875</v>
      </c>
    </row>
    <row r="572" spans="37:37" ht="15.75" customHeight="1" x14ac:dyDescent="0.15">
      <c r="AK572" s="2">
        <v>613.767333984375</v>
      </c>
    </row>
    <row r="573" spans="37:37" ht="15.75" customHeight="1" x14ac:dyDescent="0.15">
      <c r="AK573" s="2">
        <v>617.0982666015625</v>
      </c>
    </row>
    <row r="574" spans="37:37" ht="15.75" customHeight="1" x14ac:dyDescent="0.15">
      <c r="AK574" s="2">
        <v>620.42938232421875</v>
      </c>
    </row>
    <row r="575" spans="37:37" ht="15.75" customHeight="1" x14ac:dyDescent="0.15">
      <c r="AK575" s="2">
        <v>623.76025390625</v>
      </c>
    </row>
    <row r="576" spans="37:37" ht="15.75" customHeight="1" x14ac:dyDescent="0.15">
      <c r="AK576" s="2">
        <v>627.09130859375</v>
      </c>
    </row>
    <row r="577" spans="37:37" ht="15.75" customHeight="1" x14ac:dyDescent="0.15">
      <c r="AK577" s="2">
        <v>630.42230224609375</v>
      </c>
    </row>
    <row r="578" spans="37:37" ht="15.75" customHeight="1" x14ac:dyDescent="0.15">
      <c r="AK578" s="2">
        <v>650.18560791015625</v>
      </c>
    </row>
    <row r="579" spans="37:37" ht="15.75" customHeight="1" x14ac:dyDescent="0.15">
      <c r="AK579" s="2">
        <v>656.97613525390625</v>
      </c>
    </row>
    <row r="580" spans="37:37" ht="15.75" customHeight="1" x14ac:dyDescent="0.15">
      <c r="AK580" s="2">
        <v>663.7666015625</v>
      </c>
    </row>
    <row r="581" spans="37:37" ht="15.75" customHeight="1" x14ac:dyDescent="0.15">
      <c r="AK581" s="2">
        <v>670.5570068359375</v>
      </c>
    </row>
    <row r="582" spans="37:37" ht="15.75" customHeight="1" x14ac:dyDescent="0.15">
      <c r="AK582" s="2">
        <v>677.34747314453125</v>
      </c>
    </row>
    <row r="583" spans="37:37" ht="15.75" customHeight="1" x14ac:dyDescent="0.15">
      <c r="AK583" s="2">
        <v>684.137939453125</v>
      </c>
    </row>
    <row r="584" spans="37:37" ht="15.75" customHeight="1" x14ac:dyDescent="0.15">
      <c r="AK584" s="2">
        <v>690.9283447265625</v>
      </c>
    </row>
    <row r="585" spans="37:37" ht="15.75" customHeight="1" x14ac:dyDescent="0.15">
      <c r="AK585" s="2">
        <v>697.71881103515625</v>
      </c>
    </row>
    <row r="586" spans="37:37" ht="15.75" customHeight="1" x14ac:dyDescent="0.15">
      <c r="AK586" s="2">
        <v>704.50933837890625</v>
      </c>
    </row>
    <row r="587" spans="37:37" ht="15.75" customHeight="1" x14ac:dyDescent="0.15">
      <c r="AK587" s="2">
        <v>711.29974365234375</v>
      </c>
    </row>
    <row r="588" spans="37:37" ht="15.75" customHeight="1" x14ac:dyDescent="0.15">
      <c r="AK588" s="2">
        <v>718.0902099609375</v>
      </c>
    </row>
    <row r="589" spans="37:37" ht="15.75" customHeight="1" x14ac:dyDescent="0.15">
      <c r="AK589" s="2">
        <v>724.880615234375</v>
      </c>
    </row>
    <row r="590" spans="37:37" ht="15.75" customHeight="1" x14ac:dyDescent="0.15">
      <c r="AK590" s="2">
        <v>731.6710205078125</v>
      </c>
    </row>
    <row r="591" spans="37:37" ht="15.75" customHeight="1" x14ac:dyDescent="0.15">
      <c r="AK591" s="2">
        <v>738.46148681640625</v>
      </c>
    </row>
    <row r="592" spans="37:37" ht="15.75" customHeight="1" x14ac:dyDescent="0.15">
      <c r="AK592" s="2">
        <v>745.25201416015625</v>
      </c>
    </row>
    <row r="593" spans="37:37" ht="15.75" customHeight="1" x14ac:dyDescent="0.15">
      <c r="AK593" s="2">
        <v>752.04241943359375</v>
      </c>
    </row>
    <row r="594" spans="37:37" ht="15.75" customHeight="1" x14ac:dyDescent="0.15">
      <c r="AK594" s="2">
        <v>758.83282470703125</v>
      </c>
    </row>
    <row r="595" spans="37:37" ht="15.75" customHeight="1" x14ac:dyDescent="0.15">
      <c r="AK595" s="2">
        <v>765.62335205078125</v>
      </c>
    </row>
    <row r="596" spans="37:37" ht="15.75" customHeight="1" x14ac:dyDescent="0.15">
      <c r="AK596" s="2">
        <v>772.413818359375</v>
      </c>
    </row>
    <row r="597" spans="37:37" ht="15.75" customHeight="1" x14ac:dyDescent="0.15">
      <c r="AK597" s="2">
        <v>779.2042236328125</v>
      </c>
    </row>
    <row r="598" spans="37:37" ht="15.75" customHeight="1" x14ac:dyDescent="0.15">
      <c r="AK598" s="2">
        <v>785.99468994140625</v>
      </c>
    </row>
    <row r="599" spans="37:37" ht="15.75" customHeight="1" x14ac:dyDescent="0.15">
      <c r="AK599" s="2">
        <v>792.78515625</v>
      </c>
    </row>
    <row r="600" spans="37:37" ht="15.75" customHeight="1" x14ac:dyDescent="0.15">
      <c r="AK600" s="2">
        <v>799.5755615234375</v>
      </c>
    </row>
    <row r="601" spans="37:37" ht="15.75" customHeight="1" x14ac:dyDescent="0.15">
      <c r="AK601" s="2">
        <v>806.36602783203125</v>
      </c>
    </row>
    <row r="602" spans="37:37" ht="15.75" customHeight="1" x14ac:dyDescent="0.15">
      <c r="AK602" s="2">
        <v>813.15655517578125</v>
      </c>
    </row>
    <row r="603" spans="37:37" ht="15.75" customHeight="1" x14ac:dyDescent="0.15">
      <c r="AK603" s="2">
        <v>819.9468994140625</v>
      </c>
    </row>
    <row r="604" spans="37:37" ht="15.75" customHeight="1" x14ac:dyDescent="0.15">
      <c r="AK604" s="2">
        <v>826.73736572265625</v>
      </c>
    </row>
    <row r="605" spans="37:37" ht="15.75" customHeight="1" x14ac:dyDescent="0.15">
      <c r="AK605" s="2">
        <v>833.52783203125</v>
      </c>
    </row>
    <row r="606" spans="37:37" ht="15.75" customHeight="1" x14ac:dyDescent="0.15">
      <c r="AK606" s="2">
        <v>840.31829833984375</v>
      </c>
    </row>
    <row r="607" spans="37:37" ht="15.75" customHeight="1" x14ac:dyDescent="0.15">
      <c r="AK607" s="2">
        <v>847.1087646484375</v>
      </c>
    </row>
    <row r="608" spans="37:37" ht="15.75" customHeight="1" x14ac:dyDescent="0.15">
      <c r="AK608" s="2">
        <v>853.89923095703125</v>
      </c>
    </row>
    <row r="609" spans="37:37" ht="15.75" customHeight="1" x14ac:dyDescent="0.15">
      <c r="AK609" s="2">
        <v>860.689697265625</v>
      </c>
    </row>
    <row r="610" spans="37:37" ht="15.75" customHeight="1" x14ac:dyDescent="0.15">
      <c r="AK610" s="2">
        <v>867.48004150390625</v>
      </c>
    </row>
    <row r="611" spans="37:37" ht="15.75" customHeight="1" x14ac:dyDescent="0.15">
      <c r="AK611" s="2">
        <v>874.27056884765625</v>
      </c>
    </row>
    <row r="612" spans="37:37" ht="15.75" customHeight="1" x14ac:dyDescent="0.15">
      <c r="AK612" s="2">
        <v>881.06103515625</v>
      </c>
    </row>
    <row r="613" spans="37:37" ht="15.75" customHeight="1" x14ac:dyDescent="0.15">
      <c r="AK613" s="2">
        <v>887.8514404296875</v>
      </c>
    </row>
    <row r="614" spans="37:37" ht="15.75" customHeight="1" x14ac:dyDescent="0.15">
      <c r="AK614" s="2">
        <v>894.641845703125</v>
      </c>
    </row>
    <row r="615" spans="37:37" ht="15.75" customHeight="1" x14ac:dyDescent="0.15">
      <c r="AK615" s="2">
        <v>901.4322509765625</v>
      </c>
    </row>
    <row r="616" spans="37:37" ht="15.75" customHeight="1" x14ac:dyDescent="0.15">
      <c r="AK616" s="2">
        <v>908.2227783203125</v>
      </c>
    </row>
    <row r="617" spans="37:37" ht="15.75" customHeight="1" x14ac:dyDescent="0.15">
      <c r="AK617" s="2">
        <v>915.01324462890625</v>
      </c>
    </row>
    <row r="618" spans="37:37" ht="15.75" customHeight="1" x14ac:dyDescent="0.15">
      <c r="AK618" s="2">
        <v>921.8037109375</v>
      </c>
    </row>
    <row r="619" spans="37:37" ht="15.75" customHeight="1" x14ac:dyDescent="0.15">
      <c r="AK619" s="2">
        <v>928.59405517578125</v>
      </c>
    </row>
    <row r="620" spans="37:37" ht="15.75" customHeight="1" x14ac:dyDescent="0.15">
      <c r="AK620" s="2">
        <v>935.38458251953125</v>
      </c>
    </row>
    <row r="621" spans="37:37" ht="15.75" customHeight="1" x14ac:dyDescent="0.15">
      <c r="AK621" s="2">
        <v>942.175048828125</v>
      </c>
    </row>
    <row r="622" spans="37:37" ht="15.75" customHeight="1" x14ac:dyDescent="0.15">
      <c r="AK622" s="2">
        <v>948.965576171875</v>
      </c>
    </row>
    <row r="623" spans="37:37" ht="15.75" customHeight="1" x14ac:dyDescent="0.15">
      <c r="AK623" s="2">
        <v>955.7559814453125</v>
      </c>
    </row>
    <row r="624" spans="37:37" ht="15.75" customHeight="1" x14ac:dyDescent="0.15">
      <c r="AK624" s="2">
        <v>962.54638671875</v>
      </c>
    </row>
    <row r="625" spans="37:37" ht="15.75" customHeight="1" x14ac:dyDescent="0.15">
      <c r="AK625" s="2">
        <v>969.33685302734375</v>
      </c>
    </row>
    <row r="626" spans="37:37" ht="15.75" customHeight="1" x14ac:dyDescent="0.15">
      <c r="AK626" s="2">
        <v>976.12725830078125</v>
      </c>
    </row>
    <row r="627" spans="37:37" ht="15.75" customHeight="1" x14ac:dyDescent="0.15">
      <c r="AK627" s="2">
        <v>985.28070068359375</v>
      </c>
    </row>
    <row r="628" spans="37:37" ht="15.75" customHeight="1" x14ac:dyDescent="0.15">
      <c r="AK628" s="2">
        <v>986.91400146484375</v>
      </c>
    </row>
    <row r="629" spans="37:37" ht="15.75" customHeight="1" x14ac:dyDescent="0.15">
      <c r="AK629" s="2">
        <v>988.5474853515625</v>
      </c>
    </row>
    <row r="630" spans="37:37" ht="15.75" customHeight="1" x14ac:dyDescent="0.15">
      <c r="AK630" s="2">
        <v>990.1807861328125</v>
      </c>
    </row>
    <row r="631" spans="37:37" ht="15.75" customHeight="1" x14ac:dyDescent="0.15">
      <c r="AK631" s="2">
        <v>991.814208984375</v>
      </c>
    </row>
    <row r="632" spans="37:37" ht="15.75" customHeight="1" x14ac:dyDescent="0.15">
      <c r="AK632" s="2">
        <v>993.4476318359375</v>
      </c>
    </row>
    <row r="633" spans="37:37" ht="15.75" customHeight="1" x14ac:dyDescent="0.15">
      <c r="AK633" s="2">
        <v>995.0809326171875</v>
      </c>
    </row>
    <row r="634" spans="37:37" ht="15.75" customHeight="1" x14ac:dyDescent="0.15">
      <c r="AK634" s="2">
        <v>996.71435546875</v>
      </c>
    </row>
    <row r="635" spans="37:37" ht="15.75" customHeight="1" x14ac:dyDescent="0.15">
      <c r="AK635" s="2">
        <v>998.34765625</v>
      </c>
    </row>
    <row r="636" spans="37:37" ht="15.75" customHeight="1" x14ac:dyDescent="0.15">
      <c r="AK636" s="2">
        <v>999.9810791015625</v>
      </c>
    </row>
    <row r="637" spans="37:37" ht="15.75" customHeight="1" x14ac:dyDescent="0.15">
      <c r="AK637" s="2">
        <v>1001.614501953125</v>
      </c>
    </row>
    <row r="638" spans="37:37" ht="15.75" customHeight="1" x14ac:dyDescent="0.15">
      <c r="AK638" s="2">
        <v>1003.247802734375</v>
      </c>
    </row>
    <row r="639" spans="37:37" ht="15.75" customHeight="1" x14ac:dyDescent="0.15">
      <c r="AK639" s="2">
        <v>1004.8812255859375</v>
      </c>
    </row>
    <row r="640" spans="37:37" ht="15.75" customHeight="1" x14ac:dyDescent="0.15">
      <c r="AK640" s="2">
        <v>1006.5145263671875</v>
      </c>
    </row>
    <row r="641" spans="37:37" ht="15.75" customHeight="1" x14ac:dyDescent="0.15">
      <c r="AK641" s="2">
        <v>1008.14794921875</v>
      </c>
    </row>
    <row r="642" spans="37:37" ht="15.75" customHeight="1" x14ac:dyDescent="0.15">
      <c r="AK642" s="2">
        <v>1009.7813720703125</v>
      </c>
    </row>
    <row r="643" spans="37:37" ht="15.75" customHeight="1" x14ac:dyDescent="0.15">
      <c r="AK643" s="2">
        <v>1011.4146728515625</v>
      </c>
    </row>
    <row r="644" spans="37:37" ht="15.75" customHeight="1" x14ac:dyDescent="0.15">
      <c r="AK644" s="2">
        <v>1013.048095703125</v>
      </c>
    </row>
    <row r="645" spans="37:37" ht="15.75" customHeight="1" x14ac:dyDescent="0.15">
      <c r="AK645" s="2">
        <v>1014.6815185546875</v>
      </c>
    </row>
    <row r="646" spans="37:37" ht="15.75" customHeight="1" x14ac:dyDescent="0.15">
      <c r="AK646" s="2">
        <v>1016.3148193359375</v>
      </c>
    </row>
    <row r="647" spans="37:37" ht="15.75" customHeight="1" x14ac:dyDescent="0.15">
      <c r="AK647" s="2">
        <v>1017.9482421875</v>
      </c>
    </row>
    <row r="648" spans="37:37" ht="15.75" customHeight="1" x14ac:dyDescent="0.15">
      <c r="AK648" s="2">
        <v>1019.58154296875</v>
      </c>
    </row>
    <row r="649" spans="37:37" ht="15.75" customHeight="1" x14ac:dyDescent="0.15">
      <c r="AK649" s="2">
        <v>1021.2149658203125</v>
      </c>
    </row>
    <row r="650" spans="37:37" ht="15.75" customHeight="1" x14ac:dyDescent="0.15">
      <c r="AK650" s="2">
        <v>1022.848388671875</v>
      </c>
    </row>
    <row r="651" spans="37:37" ht="15.75" customHeight="1" x14ac:dyDescent="0.15">
      <c r="AK651" s="2">
        <v>1024.481689453125</v>
      </c>
    </row>
    <row r="652" spans="37:37" ht="15.75" customHeight="1" x14ac:dyDescent="0.15">
      <c r="AK652" s="2">
        <v>1028.47802734375</v>
      </c>
    </row>
    <row r="653" spans="37:37" ht="15.75" customHeight="1" x14ac:dyDescent="0.15">
      <c r="AK653" s="2">
        <v>1024.954345703125</v>
      </c>
    </row>
    <row r="654" spans="37:37" ht="15.75" customHeight="1" x14ac:dyDescent="0.15">
      <c r="AK654" s="2">
        <v>1021.4307250976563</v>
      </c>
    </row>
    <row r="655" spans="37:37" ht="15.75" customHeight="1" x14ac:dyDescent="0.15">
      <c r="AK655" s="2">
        <v>1017.906982421875</v>
      </c>
    </row>
    <row r="656" spans="37:37" ht="15.75" customHeight="1" x14ac:dyDescent="0.15">
      <c r="AK656" s="2">
        <v>1014.38330078125</v>
      </c>
    </row>
    <row r="657" spans="37:37" ht="15.75" customHeight="1" x14ac:dyDescent="0.15">
      <c r="AK657" s="2">
        <v>1010.8595581054688</v>
      </c>
    </row>
    <row r="658" spans="37:37" ht="15.75" customHeight="1" x14ac:dyDescent="0.15">
      <c r="AK658" s="2">
        <v>1007.3358154296875</v>
      </c>
    </row>
    <row r="659" spans="37:37" ht="15.75" customHeight="1" x14ac:dyDescent="0.15">
      <c r="AK659" s="2">
        <v>1003.812255859375</v>
      </c>
    </row>
    <row r="660" spans="37:37" ht="15.75" customHeight="1" x14ac:dyDescent="0.15">
      <c r="AK660" s="2">
        <v>1000.2885131835938</v>
      </c>
    </row>
    <row r="661" spans="37:37" ht="15.75" customHeight="1" x14ac:dyDescent="0.15">
      <c r="AK661" s="2">
        <v>996.76483154296875</v>
      </c>
    </row>
    <row r="662" spans="37:37" ht="15.75" customHeight="1" x14ac:dyDescent="0.15">
      <c r="AK662" s="2">
        <v>993.2410888671875</v>
      </c>
    </row>
    <row r="663" spans="37:37" ht="15.75" customHeight="1" x14ac:dyDescent="0.15">
      <c r="AK663" s="2">
        <v>989.7174072265625</v>
      </c>
    </row>
    <row r="664" spans="37:37" ht="15.75" customHeight="1" x14ac:dyDescent="0.15">
      <c r="AK664" s="2">
        <v>986.1937255859375</v>
      </c>
    </row>
    <row r="665" spans="37:37" ht="15.75" customHeight="1" x14ac:dyDescent="0.15">
      <c r="AK665" s="2">
        <v>982.6700439453125</v>
      </c>
    </row>
    <row r="666" spans="37:37" ht="15.75" customHeight="1" x14ac:dyDescent="0.15">
      <c r="AK666" s="2">
        <v>979.14630126953125</v>
      </c>
    </row>
    <row r="667" spans="37:37" ht="15.75" customHeight="1" x14ac:dyDescent="0.15">
      <c r="AK667" s="2">
        <v>975.62261962890625</v>
      </c>
    </row>
    <row r="668" spans="37:37" ht="15.75" customHeight="1" x14ac:dyDescent="0.15">
      <c r="AK668" s="2">
        <v>972.098876953125</v>
      </c>
    </row>
    <row r="669" spans="37:37" ht="15.75" customHeight="1" x14ac:dyDescent="0.15">
      <c r="AK669" s="2">
        <v>968.5753173828125</v>
      </c>
    </row>
    <row r="670" spans="37:37" ht="15.75" customHeight="1" x14ac:dyDescent="0.15">
      <c r="AK670" s="2">
        <v>965.0516357421875</v>
      </c>
    </row>
    <row r="671" spans="37:37" ht="15.75" customHeight="1" x14ac:dyDescent="0.15">
      <c r="AK671" s="2">
        <v>961.52783203125</v>
      </c>
    </row>
    <row r="672" spans="37:37" ht="15.75" customHeight="1" x14ac:dyDescent="0.15">
      <c r="AK672" s="2">
        <v>958.004150390625</v>
      </c>
    </row>
    <row r="673" spans="37:37" ht="15.75" customHeight="1" x14ac:dyDescent="0.15">
      <c r="AK673" s="2">
        <v>954.48046875</v>
      </c>
    </row>
    <row r="674" spans="37:37" ht="15.75" customHeight="1" x14ac:dyDescent="0.15">
      <c r="AK674" s="2">
        <v>950.956787109375</v>
      </c>
    </row>
    <row r="675" spans="37:37" ht="15.75" customHeight="1" x14ac:dyDescent="0.15">
      <c r="AK675" s="2">
        <v>947.43310546875</v>
      </c>
    </row>
    <row r="676" spans="37:37" ht="15.75" customHeight="1" x14ac:dyDescent="0.15">
      <c r="AK676" s="2">
        <v>933.29931640625</v>
      </c>
    </row>
    <row r="677" spans="37:37" ht="15.75" customHeight="1" x14ac:dyDescent="0.15">
      <c r="AK677" s="2">
        <v>931.4732666015625</v>
      </c>
    </row>
    <row r="678" spans="37:37" ht="15.75" customHeight="1" x14ac:dyDescent="0.15">
      <c r="AK678" s="2">
        <v>929.6470947265625</v>
      </c>
    </row>
    <row r="679" spans="37:37" ht="15.75" customHeight="1" x14ac:dyDescent="0.15">
      <c r="AK679" s="2">
        <v>927.8211669921875</v>
      </c>
    </row>
    <row r="680" spans="37:37" ht="15.75" customHeight="1" x14ac:dyDescent="0.15">
      <c r="AK680" s="2">
        <v>925.9949951171875</v>
      </c>
    </row>
    <row r="681" spans="37:37" ht="15.75" customHeight="1" x14ac:dyDescent="0.15">
      <c r="AK681" s="2">
        <v>924.1689453125</v>
      </c>
    </row>
    <row r="682" spans="37:37" ht="15.75" customHeight="1" x14ac:dyDescent="0.15">
      <c r="AK682" s="2">
        <v>922.3428955078125</v>
      </c>
    </row>
    <row r="683" spans="37:37" ht="15.75" customHeight="1" x14ac:dyDescent="0.15">
      <c r="AK683" s="2">
        <v>920.5167236328125</v>
      </c>
    </row>
    <row r="684" spans="37:37" ht="15.75" customHeight="1" x14ac:dyDescent="0.15">
      <c r="AK684" s="2">
        <v>918.69073486328125</v>
      </c>
    </row>
    <row r="685" spans="37:37" ht="15.75" customHeight="1" x14ac:dyDescent="0.15">
      <c r="AK685" s="2">
        <v>916.8646240234375</v>
      </c>
    </row>
    <row r="686" spans="37:37" ht="15.75" customHeight="1" x14ac:dyDescent="0.15">
      <c r="AK686" s="2">
        <v>915.03851318359375</v>
      </c>
    </row>
    <row r="687" spans="37:37" ht="15.75" customHeight="1" x14ac:dyDescent="0.15">
      <c r="AK687" s="2">
        <v>913.21240234375</v>
      </c>
    </row>
    <row r="688" spans="37:37" ht="15.75" customHeight="1" x14ac:dyDescent="0.15">
      <c r="AK688" s="2">
        <v>911.3863525390625</v>
      </c>
    </row>
    <row r="689" spans="37:37" ht="15.75" customHeight="1" x14ac:dyDescent="0.15">
      <c r="AK689" s="2">
        <v>909.56024169921875</v>
      </c>
    </row>
    <row r="690" spans="37:37" ht="15.75" customHeight="1" x14ac:dyDescent="0.15">
      <c r="AK690" s="2">
        <v>907.73419189453125</v>
      </c>
    </row>
    <row r="691" spans="37:37" ht="15.75" customHeight="1" x14ac:dyDescent="0.15">
      <c r="AK691" s="2">
        <v>905.90814208984375</v>
      </c>
    </row>
    <row r="692" spans="37:37" ht="15.75" customHeight="1" x14ac:dyDescent="0.15">
      <c r="AK692" s="2">
        <v>904.08197021484375</v>
      </c>
    </row>
    <row r="693" spans="37:37" ht="15.75" customHeight="1" x14ac:dyDescent="0.15">
      <c r="AK693" s="2">
        <v>902.25592041015625</v>
      </c>
    </row>
    <row r="694" spans="37:37" ht="15.75" customHeight="1" x14ac:dyDescent="0.15">
      <c r="AK694" s="2">
        <v>900.429931640625</v>
      </c>
    </row>
    <row r="695" spans="37:37" ht="15.75" customHeight="1" x14ac:dyDescent="0.15">
      <c r="AK695" s="2">
        <v>898.6038818359375</v>
      </c>
    </row>
    <row r="696" spans="37:37" ht="15.75" customHeight="1" x14ac:dyDescent="0.15">
      <c r="AK696" s="2">
        <v>896.7777099609375</v>
      </c>
    </row>
    <row r="697" spans="37:37" ht="15.75" customHeight="1" x14ac:dyDescent="0.15">
      <c r="AK697" s="2">
        <v>894.95166015625</v>
      </c>
    </row>
    <row r="698" spans="37:37" ht="15.75" customHeight="1" x14ac:dyDescent="0.15">
      <c r="AK698" s="2">
        <v>893.1256103515625</v>
      </c>
    </row>
    <row r="699" spans="37:37" ht="15.75" customHeight="1" x14ac:dyDescent="0.15">
      <c r="AK699" s="2">
        <v>891.2994384765625</v>
      </c>
    </row>
    <row r="700" spans="37:37" ht="15.75" customHeight="1" x14ac:dyDescent="0.15">
      <c r="AK700" s="2">
        <v>889.473388671875</v>
      </c>
    </row>
    <row r="701" spans="37:37" ht="15.75" customHeight="1" x14ac:dyDescent="0.15">
      <c r="AK701" s="2">
        <v>877.0372314453125</v>
      </c>
    </row>
    <row r="702" spans="37:37" ht="15.75" customHeight="1" x14ac:dyDescent="0.15">
      <c r="AK702" s="2">
        <v>879.2716064453125</v>
      </c>
    </row>
    <row r="703" spans="37:37" ht="15.75" customHeight="1" x14ac:dyDescent="0.15">
      <c r="AK703" s="2">
        <v>873.98602294921875</v>
      </c>
    </row>
    <row r="704" spans="37:37" ht="15.75" customHeight="1" x14ac:dyDescent="0.15">
      <c r="AK704" s="2">
        <v>868.70068359375</v>
      </c>
    </row>
    <row r="705" spans="37:37" ht="15.75" customHeight="1" x14ac:dyDescent="0.15">
      <c r="AK705" s="2">
        <v>863.4150390625</v>
      </c>
    </row>
    <row r="706" spans="37:37" ht="15.75" customHeight="1" x14ac:dyDescent="0.15">
      <c r="AK706" s="2">
        <v>858.1295166015625</v>
      </c>
    </row>
    <row r="707" spans="37:37" ht="15.75" customHeight="1" x14ac:dyDescent="0.15">
      <c r="AK707" s="2">
        <v>852.84393310546875</v>
      </c>
    </row>
    <row r="708" spans="37:37" ht="15.75" customHeight="1" x14ac:dyDescent="0.15">
      <c r="AK708" s="2">
        <v>847.558349609375</v>
      </c>
    </row>
    <row r="709" spans="37:37" ht="15.75" customHeight="1" x14ac:dyDescent="0.15">
      <c r="AK709" s="2">
        <v>842.27294921875</v>
      </c>
    </row>
    <row r="710" spans="37:37" ht="15.75" customHeight="1" x14ac:dyDescent="0.15">
      <c r="AK710" s="2">
        <v>836.98736572265625</v>
      </c>
    </row>
    <row r="711" spans="37:37" ht="15.75" customHeight="1" x14ac:dyDescent="0.15">
      <c r="AK711" s="2">
        <v>831.7017822265625</v>
      </c>
    </row>
    <row r="712" spans="37:37" ht="15.75" customHeight="1" x14ac:dyDescent="0.15">
      <c r="AK712" s="2">
        <v>826.41619873046875</v>
      </c>
    </row>
    <row r="713" spans="37:37" ht="15.75" customHeight="1" x14ac:dyDescent="0.15">
      <c r="AK713" s="2">
        <v>821.130615234375</v>
      </c>
    </row>
    <row r="714" spans="37:37" ht="15.75" customHeight="1" x14ac:dyDescent="0.15">
      <c r="AK714" s="2">
        <v>815.84527587890625</v>
      </c>
    </row>
    <row r="715" spans="37:37" ht="15.75" customHeight="1" x14ac:dyDescent="0.15">
      <c r="AK715" s="2">
        <v>810.5596923828125</v>
      </c>
    </row>
    <row r="716" spans="37:37" ht="15.75" customHeight="1" x14ac:dyDescent="0.15">
      <c r="AK716" s="2">
        <v>805.274169921875</v>
      </c>
    </row>
    <row r="717" spans="37:37" ht="15.75" customHeight="1" x14ac:dyDescent="0.15">
      <c r="AK717" s="2">
        <v>799.988525390625</v>
      </c>
    </row>
    <row r="718" spans="37:37" ht="15.75" customHeight="1" x14ac:dyDescent="0.15">
      <c r="AK718" s="2">
        <v>794.7030029296875</v>
      </c>
    </row>
    <row r="719" spans="37:37" ht="15.75" customHeight="1" x14ac:dyDescent="0.15">
      <c r="AK719" s="2">
        <v>789.41754150390625</v>
      </c>
    </row>
    <row r="720" spans="37:37" ht="15.75" customHeight="1" x14ac:dyDescent="0.15">
      <c r="AK720" s="2">
        <v>784.1319580078125</v>
      </c>
    </row>
    <row r="721" spans="37:37" ht="15.75" customHeight="1" x14ac:dyDescent="0.15">
      <c r="AK721" s="2">
        <v>778.846435546875</v>
      </c>
    </row>
    <row r="722" spans="37:37" ht="15.75" customHeight="1" x14ac:dyDescent="0.15">
      <c r="AK722" s="2">
        <v>773.560791015625</v>
      </c>
    </row>
    <row r="723" spans="37:37" ht="15.75" customHeight="1" x14ac:dyDescent="0.15">
      <c r="AK723" s="2">
        <v>768.2752685546875</v>
      </c>
    </row>
    <row r="724" spans="37:37" ht="15.75" customHeight="1" x14ac:dyDescent="0.15">
      <c r="AK724" s="2">
        <v>762.9898681640625</v>
      </c>
    </row>
    <row r="725" spans="37:37" ht="15.75" customHeight="1" x14ac:dyDescent="0.15">
      <c r="AK725" s="2">
        <v>757.70428466796875</v>
      </c>
    </row>
    <row r="726" spans="37:37" ht="15.75" customHeight="1" x14ac:dyDescent="0.15">
      <c r="AK726" s="2">
        <v>752.418701171875</v>
      </c>
    </row>
    <row r="727" spans="37:37" ht="15.75" customHeight="1" x14ac:dyDescent="0.15">
      <c r="AK727" s="2">
        <v>749.49603271484375</v>
      </c>
    </row>
    <row r="728" spans="37:37" ht="15.75" customHeight="1" x14ac:dyDescent="0.15">
      <c r="AK728" s="2">
        <v>755.48577880859375</v>
      </c>
    </row>
    <row r="729" spans="37:37" ht="15.75" customHeight="1" x14ac:dyDescent="0.15">
      <c r="AK729" s="2">
        <v>748.5028076171875</v>
      </c>
    </row>
    <row r="730" spans="37:37" ht="15.75" customHeight="1" x14ac:dyDescent="0.15">
      <c r="AK730" s="2">
        <v>741.51959228515625</v>
      </c>
    </row>
    <row r="731" spans="37:37" ht="15.75" customHeight="1" x14ac:dyDescent="0.15">
      <c r="AK731" s="2">
        <v>734.536376953125</v>
      </c>
    </row>
    <row r="732" spans="37:37" ht="15.75" customHeight="1" x14ac:dyDescent="0.15">
      <c r="AK732" s="2">
        <v>727.55322265625</v>
      </c>
    </row>
    <row r="733" spans="37:37" ht="15.75" customHeight="1" x14ac:dyDescent="0.15">
      <c r="AK733" s="2">
        <v>720.57000732421875</v>
      </c>
    </row>
    <row r="734" spans="37:37" ht="15.75" customHeight="1" x14ac:dyDescent="0.15">
      <c r="AK734" s="2">
        <v>713.5870361328125</v>
      </c>
    </row>
    <row r="735" spans="37:37" ht="15.75" customHeight="1" x14ac:dyDescent="0.15">
      <c r="AK735" s="2">
        <v>706.6038818359375</v>
      </c>
    </row>
    <row r="736" spans="37:37" ht="15.75" customHeight="1" x14ac:dyDescent="0.15">
      <c r="AK736" s="2">
        <v>699.62066650390625</v>
      </c>
    </row>
    <row r="737" spans="37:37" ht="15.75" customHeight="1" x14ac:dyDescent="0.15">
      <c r="AK737" s="2">
        <v>692.637451171875</v>
      </c>
    </row>
    <row r="738" spans="37:37" ht="15.75" customHeight="1" x14ac:dyDescent="0.15">
      <c r="AK738" s="2">
        <v>685.654296875</v>
      </c>
    </row>
    <row r="739" spans="37:37" ht="15.75" customHeight="1" x14ac:dyDescent="0.15">
      <c r="AK739" s="2">
        <v>678.6712646484375</v>
      </c>
    </row>
    <row r="740" spans="37:37" ht="15.75" customHeight="1" x14ac:dyDescent="0.15">
      <c r="AK740" s="2">
        <v>671.6881103515625</v>
      </c>
    </row>
    <row r="741" spans="37:37" ht="15.75" customHeight="1" x14ac:dyDescent="0.15">
      <c r="AK741" s="2">
        <v>664.70489501953125</v>
      </c>
    </row>
    <row r="742" spans="37:37" ht="15.75" customHeight="1" x14ac:dyDescent="0.15">
      <c r="AK742" s="2">
        <v>657.7216796875</v>
      </c>
    </row>
    <row r="743" spans="37:37" ht="15.75" customHeight="1" x14ac:dyDescent="0.15">
      <c r="AK743" s="2">
        <v>650.738525390625</v>
      </c>
    </row>
    <row r="744" spans="37:37" ht="15.75" customHeight="1" x14ac:dyDescent="0.15">
      <c r="AK744" s="2">
        <v>643.7554931640625</v>
      </c>
    </row>
    <row r="745" spans="37:37" ht="15.75" customHeight="1" x14ac:dyDescent="0.15">
      <c r="AK745" s="2">
        <v>636.7723388671875</v>
      </c>
    </row>
    <row r="746" spans="37:37" ht="15.75" customHeight="1" x14ac:dyDescent="0.15">
      <c r="AK746" s="2">
        <v>629.78912353515625</v>
      </c>
    </row>
    <row r="747" spans="37:37" ht="15.75" customHeight="1" x14ac:dyDescent="0.15">
      <c r="AK747" s="2">
        <v>622.805908203125</v>
      </c>
    </row>
    <row r="748" spans="37:37" ht="15.75" customHeight="1" x14ac:dyDescent="0.15">
      <c r="AK748" s="2">
        <v>615.82275390625</v>
      </c>
    </row>
    <row r="749" spans="37:37" ht="15.75" customHeight="1" x14ac:dyDescent="0.15">
      <c r="AK749" s="2">
        <v>608.8397216796875</v>
      </c>
    </row>
    <row r="750" spans="37:37" ht="15.75" customHeight="1" x14ac:dyDescent="0.15">
      <c r="AK750" s="2">
        <v>601.8565673828125</v>
      </c>
    </row>
    <row r="751" spans="37:37" ht="15.75" customHeight="1" x14ac:dyDescent="0.15">
      <c r="AK751" s="2">
        <v>584.26324462890625</v>
      </c>
    </row>
    <row r="752" spans="37:37" ht="15.75" customHeight="1" x14ac:dyDescent="0.15">
      <c r="AK752" s="2">
        <v>578.9776611328125</v>
      </c>
    </row>
    <row r="753" spans="37:37" ht="15.75" customHeight="1" x14ac:dyDescent="0.15">
      <c r="AK753" s="2">
        <v>590.12457275390625</v>
      </c>
    </row>
    <row r="754" spans="37:37" ht="15.75" customHeight="1" x14ac:dyDescent="0.15">
      <c r="AK754" s="2">
        <v>588.298583984375</v>
      </c>
    </row>
    <row r="755" spans="37:37" ht="15.75" customHeight="1" x14ac:dyDescent="0.15">
      <c r="AK755" s="2">
        <v>586.4725341796875</v>
      </c>
    </row>
    <row r="756" spans="37:37" ht="15.75" customHeight="1" x14ac:dyDescent="0.15">
      <c r="AK756" s="2">
        <v>584.6463623046875</v>
      </c>
    </row>
    <row r="757" spans="37:37" ht="15.75" customHeight="1" x14ac:dyDescent="0.15">
      <c r="AK757" s="2">
        <v>582.8203125</v>
      </c>
    </row>
    <row r="758" spans="37:37" ht="15.75" customHeight="1" x14ac:dyDescent="0.15">
      <c r="AK758" s="2">
        <v>580.994140625</v>
      </c>
    </row>
    <row r="759" spans="37:37" ht="15.75" customHeight="1" x14ac:dyDescent="0.15">
      <c r="AK759" s="2">
        <v>579.168212890625</v>
      </c>
    </row>
    <row r="760" spans="37:37" ht="15.75" customHeight="1" x14ac:dyDescent="0.15">
      <c r="AK760" s="2">
        <v>577.34210205078125</v>
      </c>
    </row>
    <row r="761" spans="37:37" ht="15.75" customHeight="1" x14ac:dyDescent="0.15">
      <c r="AK761" s="2">
        <v>575.5159912109375</v>
      </c>
    </row>
    <row r="762" spans="37:37" ht="15.75" customHeight="1" x14ac:dyDescent="0.15">
      <c r="AK762" s="2">
        <v>573.68988037109375</v>
      </c>
    </row>
    <row r="763" spans="37:37" ht="15.75" customHeight="1" x14ac:dyDescent="0.15">
      <c r="AK763" s="2">
        <v>571.86376953125</v>
      </c>
    </row>
    <row r="764" spans="37:37" ht="15.75" customHeight="1" x14ac:dyDescent="0.15">
      <c r="AK764" s="2">
        <v>570.03778076171875</v>
      </c>
    </row>
    <row r="765" spans="37:37" ht="15.75" customHeight="1" x14ac:dyDescent="0.15">
      <c r="AK765" s="2">
        <v>568.211669921875</v>
      </c>
    </row>
    <row r="766" spans="37:37" ht="15.75" customHeight="1" x14ac:dyDescent="0.15">
      <c r="AK766" s="2">
        <v>566.38555908203125</v>
      </c>
    </row>
    <row r="767" spans="37:37" ht="15.75" customHeight="1" x14ac:dyDescent="0.15">
      <c r="AK767" s="2">
        <v>564.5594482421875</v>
      </c>
    </row>
    <row r="768" spans="37:37" ht="15.75" customHeight="1" x14ac:dyDescent="0.15">
      <c r="AK768" s="2">
        <v>562.73333740234375</v>
      </c>
    </row>
    <row r="769" spans="37:37" ht="15.75" customHeight="1" x14ac:dyDescent="0.15">
      <c r="AK769" s="2">
        <v>560.90740966796875</v>
      </c>
    </row>
    <row r="770" spans="37:37" ht="15.75" customHeight="1" x14ac:dyDescent="0.15">
      <c r="AK770" s="2">
        <v>559.081298828125</v>
      </c>
    </row>
    <row r="771" spans="37:37" ht="15.75" customHeight="1" x14ac:dyDescent="0.15">
      <c r="AK771" s="2">
        <v>557.255126953125</v>
      </c>
    </row>
    <row r="772" spans="37:37" ht="15.75" customHeight="1" x14ac:dyDescent="0.15">
      <c r="AK772" s="2">
        <v>555.4290771484375</v>
      </c>
    </row>
    <row r="773" spans="37:37" ht="15.75" customHeight="1" x14ac:dyDescent="0.15">
      <c r="AK773" s="2">
        <v>553.60296630859375</v>
      </c>
    </row>
    <row r="774" spans="37:37" ht="15.75" customHeight="1" x14ac:dyDescent="0.15">
      <c r="AK774" s="2">
        <v>551.7769775390625</v>
      </c>
    </row>
    <row r="775" spans="37:37" ht="15.75" customHeight="1" x14ac:dyDescent="0.15">
      <c r="AK775" s="2">
        <v>549.95086669921875</v>
      </c>
    </row>
    <row r="776" spans="37:37" ht="15.75" customHeight="1" x14ac:dyDescent="0.15">
      <c r="AK776" s="2">
        <v>537.5146484375</v>
      </c>
    </row>
    <row r="777" spans="37:37" ht="15.75" customHeight="1" x14ac:dyDescent="0.15">
      <c r="AK777" s="2">
        <v>537.38623046875</v>
      </c>
    </row>
    <row r="778" spans="37:37" ht="15.75" customHeight="1" x14ac:dyDescent="0.15">
      <c r="AK778" s="2">
        <v>537.2576904296875</v>
      </c>
    </row>
    <row r="779" spans="37:37" ht="15.75" customHeight="1" x14ac:dyDescent="0.15">
      <c r="AK779" s="2">
        <v>537.1292724609375</v>
      </c>
    </row>
    <row r="780" spans="37:37" ht="15.75" customHeight="1" x14ac:dyDescent="0.15">
      <c r="AK780" s="2">
        <v>537.0008544921875</v>
      </c>
    </row>
    <row r="781" spans="37:37" ht="15.75" customHeight="1" x14ac:dyDescent="0.15">
      <c r="AK781" s="2">
        <v>536.872314453125</v>
      </c>
    </row>
    <row r="782" spans="37:37" ht="15.75" customHeight="1" x14ac:dyDescent="0.15">
      <c r="AK782" s="2">
        <v>536.74383544921875</v>
      </c>
    </row>
    <row r="783" spans="37:37" ht="15.75" customHeight="1" x14ac:dyDescent="0.15">
      <c r="AK783" s="2">
        <v>536.6153564453125</v>
      </c>
    </row>
    <row r="784" spans="37:37" ht="15.75" customHeight="1" x14ac:dyDescent="0.15">
      <c r="AK784" s="2">
        <v>536.48699951171875</v>
      </c>
    </row>
    <row r="785" spans="37:37" ht="15.75" customHeight="1" x14ac:dyDescent="0.15">
      <c r="AK785" s="2">
        <v>536.35845947265625</v>
      </c>
    </row>
    <row r="786" spans="37:37" ht="15.75" customHeight="1" x14ac:dyDescent="0.15">
      <c r="AK786" s="2">
        <v>536.23004150390625</v>
      </c>
    </row>
    <row r="787" spans="37:37" ht="15.75" customHeight="1" x14ac:dyDescent="0.15">
      <c r="AK787" s="2">
        <v>536.10150146484375</v>
      </c>
    </row>
    <row r="788" spans="37:37" ht="15.75" customHeight="1" x14ac:dyDescent="0.15">
      <c r="AK788" s="2">
        <v>535.9730224609375</v>
      </c>
    </row>
    <row r="789" spans="37:37" ht="15.75" customHeight="1" x14ac:dyDescent="0.15">
      <c r="AK789" s="2">
        <v>535.84466552734375</v>
      </c>
    </row>
    <row r="790" spans="37:37" ht="15.75" customHeight="1" x14ac:dyDescent="0.15">
      <c r="AK790" s="2">
        <v>535.71612548828125</v>
      </c>
    </row>
    <row r="791" spans="37:37" ht="15.75" customHeight="1" x14ac:dyDescent="0.15">
      <c r="AK791" s="2">
        <v>535.58770751953125</v>
      </c>
    </row>
    <row r="792" spans="37:37" ht="15.75" customHeight="1" x14ac:dyDescent="0.15">
      <c r="AK792" s="2">
        <v>535.45916748046875</v>
      </c>
    </row>
    <row r="793" spans="37:37" ht="15.75" customHeight="1" x14ac:dyDescent="0.15">
      <c r="AK793" s="2">
        <v>535.33062744140625</v>
      </c>
    </row>
    <row r="794" spans="37:37" ht="15.75" customHeight="1" x14ac:dyDescent="0.15">
      <c r="AK794" s="2">
        <v>535.20233154296875</v>
      </c>
    </row>
    <row r="795" spans="37:37" ht="15.75" customHeight="1" x14ac:dyDescent="0.15">
      <c r="AK795" s="2">
        <v>535.0738525390625</v>
      </c>
    </row>
    <row r="796" spans="37:37" ht="15.75" customHeight="1" x14ac:dyDescent="0.15">
      <c r="AK796" s="2">
        <v>534.9453125</v>
      </c>
    </row>
    <row r="797" spans="37:37" ht="15.75" customHeight="1" x14ac:dyDescent="0.15">
      <c r="AK797" s="2">
        <v>534.81683349609375</v>
      </c>
    </row>
    <row r="798" spans="37:37" ht="15.75" customHeight="1" x14ac:dyDescent="0.15">
      <c r="AK798" s="2">
        <v>534.68829345703125</v>
      </c>
    </row>
    <row r="799" spans="37:37" ht="15.75" customHeight="1" x14ac:dyDescent="0.15">
      <c r="AK799" s="2">
        <v>534.55999755859375</v>
      </c>
    </row>
    <row r="800" spans="37:37" ht="15.75" customHeight="1" x14ac:dyDescent="0.15">
      <c r="AK800" s="2">
        <v>534.43145751953125</v>
      </c>
    </row>
    <row r="801" spans="37:37" ht="15.75" customHeight="1" x14ac:dyDescent="0.15">
      <c r="AK801" s="2">
        <v>534.302978515625</v>
      </c>
    </row>
    <row r="802" spans="37:37" ht="15.75" customHeight="1" x14ac:dyDescent="0.15">
      <c r="AK802" s="2">
        <v>534.17449951171875</v>
      </c>
    </row>
    <row r="803" spans="37:37" ht="15.75" customHeight="1" x14ac:dyDescent="0.15">
      <c r="AK803" s="2">
        <v>550.4783935546875</v>
      </c>
    </row>
    <row r="804" spans="37:37" ht="15.75" customHeight="1" x14ac:dyDescent="0.15">
      <c r="AK804" s="2">
        <v>553.80950927734375</v>
      </c>
    </row>
    <row r="805" spans="37:37" ht="15.75" customHeight="1" x14ac:dyDescent="0.15">
      <c r="AK805" s="2">
        <v>557.1405029296875</v>
      </c>
    </row>
    <row r="806" spans="37:37" ht="15.75" customHeight="1" x14ac:dyDescent="0.15">
      <c r="AK806" s="2">
        <v>560.471435546875</v>
      </c>
    </row>
    <row r="807" spans="37:37" ht="15.75" customHeight="1" x14ac:dyDescent="0.15">
      <c r="AK807" s="2">
        <v>563.80242919921875</v>
      </c>
    </row>
    <row r="808" spans="37:37" ht="15.75" customHeight="1" x14ac:dyDescent="0.15">
      <c r="AK808" s="2">
        <v>567.1334228515625</v>
      </c>
    </row>
    <row r="809" spans="37:37" ht="15.75" customHeight="1" x14ac:dyDescent="0.15">
      <c r="AK809" s="2">
        <v>570.4644775390625</v>
      </c>
    </row>
    <row r="810" spans="37:37" ht="15.75" customHeight="1" x14ac:dyDescent="0.15">
      <c r="AK810" s="2">
        <v>573.79541015625</v>
      </c>
    </row>
    <row r="811" spans="37:37" ht="15.75" customHeight="1" x14ac:dyDescent="0.15">
      <c r="AK811" s="2">
        <v>577.12640380859375</v>
      </c>
    </row>
    <row r="812" spans="37:37" ht="15.75" customHeight="1" x14ac:dyDescent="0.15">
      <c r="AK812" s="2">
        <v>580.4573974609375</v>
      </c>
    </row>
    <row r="813" spans="37:37" ht="15.75" customHeight="1" x14ac:dyDescent="0.15">
      <c r="AK813" s="2">
        <v>583.78839111328125</v>
      </c>
    </row>
    <row r="814" spans="37:37" ht="15.75" customHeight="1" x14ac:dyDescent="0.15">
      <c r="AK814" s="2">
        <v>587.11944580078125</v>
      </c>
    </row>
    <row r="815" spans="37:37" ht="15.75" customHeight="1" x14ac:dyDescent="0.15">
      <c r="AK815" s="2">
        <v>590.45037841796875</v>
      </c>
    </row>
    <row r="816" spans="37:37" ht="15.75" customHeight="1" x14ac:dyDescent="0.15">
      <c r="AK816" s="2">
        <v>593.7813720703125</v>
      </c>
    </row>
    <row r="817" spans="37:37" ht="15.75" customHeight="1" x14ac:dyDescent="0.15">
      <c r="AK817" s="2">
        <v>597.11236572265625</v>
      </c>
    </row>
    <row r="818" spans="37:37" ht="15.75" customHeight="1" x14ac:dyDescent="0.15">
      <c r="AK818" s="2">
        <v>600.44329833984375</v>
      </c>
    </row>
    <row r="819" spans="37:37" ht="15.75" customHeight="1" x14ac:dyDescent="0.15">
      <c r="AK819" s="2">
        <v>603.77435302734375</v>
      </c>
    </row>
    <row r="820" spans="37:37" ht="15.75" customHeight="1" x14ac:dyDescent="0.15">
      <c r="AK820" s="2">
        <v>607.1053466796875</v>
      </c>
    </row>
    <row r="821" spans="37:37" ht="15.75" customHeight="1" x14ac:dyDescent="0.15">
      <c r="AK821" s="2">
        <v>610.436279296875</v>
      </c>
    </row>
    <row r="822" spans="37:37" ht="15.75" customHeight="1" x14ac:dyDescent="0.15">
      <c r="AK822" s="2">
        <v>613.767333984375</v>
      </c>
    </row>
    <row r="823" spans="37:37" ht="15.75" customHeight="1" x14ac:dyDescent="0.15">
      <c r="AK823" s="2">
        <v>617.0982666015625</v>
      </c>
    </row>
    <row r="824" spans="37:37" ht="15.75" customHeight="1" x14ac:dyDescent="0.15">
      <c r="AK824" s="2">
        <v>620.42938232421875</v>
      </c>
    </row>
    <row r="825" spans="37:37" ht="15.75" customHeight="1" x14ac:dyDescent="0.15">
      <c r="AK825" s="2">
        <v>623.76025390625</v>
      </c>
    </row>
    <row r="826" spans="37:37" ht="15.75" customHeight="1" x14ac:dyDescent="0.15">
      <c r="AK826" s="2">
        <v>627.09130859375</v>
      </c>
    </row>
    <row r="827" spans="37:37" ht="15.75" customHeight="1" x14ac:dyDescent="0.15">
      <c r="AK827" s="2">
        <v>630.42230224609375</v>
      </c>
    </row>
    <row r="828" spans="37:37" ht="15.75" customHeight="1" x14ac:dyDescent="0.15">
      <c r="AK828" s="2">
        <v>650.18560791015625</v>
      </c>
    </row>
    <row r="829" spans="37:37" ht="15.75" customHeight="1" x14ac:dyDescent="0.15">
      <c r="AK829" s="2">
        <v>656.97613525390625</v>
      </c>
    </row>
    <row r="830" spans="37:37" ht="15.75" customHeight="1" x14ac:dyDescent="0.15">
      <c r="AK830" s="2">
        <v>663.7666015625</v>
      </c>
    </row>
    <row r="831" spans="37:37" ht="15.75" customHeight="1" x14ac:dyDescent="0.15">
      <c r="AK831" s="2">
        <v>670.5570068359375</v>
      </c>
    </row>
    <row r="832" spans="37:37" ht="15.75" customHeight="1" x14ac:dyDescent="0.15">
      <c r="AK832" s="2">
        <v>677.34747314453125</v>
      </c>
    </row>
    <row r="833" spans="37:37" ht="15.75" customHeight="1" x14ac:dyDescent="0.15">
      <c r="AK833" s="2">
        <v>684.137939453125</v>
      </c>
    </row>
    <row r="834" spans="37:37" ht="15.75" customHeight="1" x14ac:dyDescent="0.15">
      <c r="AK834" s="2">
        <v>690.9283447265625</v>
      </c>
    </row>
    <row r="835" spans="37:37" ht="15.75" customHeight="1" x14ac:dyDescent="0.15">
      <c r="AK835" s="2">
        <v>697.71881103515625</v>
      </c>
    </row>
    <row r="836" spans="37:37" ht="15.75" customHeight="1" x14ac:dyDescent="0.15">
      <c r="AK836" s="2">
        <v>704.50933837890625</v>
      </c>
    </row>
    <row r="837" spans="37:37" ht="15.75" customHeight="1" x14ac:dyDescent="0.15">
      <c r="AK837" s="2">
        <v>711.29974365234375</v>
      </c>
    </row>
    <row r="838" spans="37:37" ht="15.75" customHeight="1" x14ac:dyDescent="0.15">
      <c r="AK838" s="2">
        <v>718.0902099609375</v>
      </c>
    </row>
    <row r="839" spans="37:37" ht="15.75" customHeight="1" x14ac:dyDescent="0.15">
      <c r="AK839" s="2">
        <v>724.880615234375</v>
      </c>
    </row>
    <row r="840" spans="37:37" ht="15.75" customHeight="1" x14ac:dyDescent="0.15">
      <c r="AK840" s="2">
        <v>731.6710205078125</v>
      </c>
    </row>
    <row r="841" spans="37:37" ht="15.75" customHeight="1" x14ac:dyDescent="0.15">
      <c r="AK841" s="2">
        <v>738.46148681640625</v>
      </c>
    </row>
    <row r="842" spans="37:37" ht="15.75" customHeight="1" x14ac:dyDescent="0.15">
      <c r="AK842" s="2">
        <v>745.25201416015625</v>
      </c>
    </row>
    <row r="843" spans="37:37" ht="15.75" customHeight="1" x14ac:dyDescent="0.15">
      <c r="AK843" s="2">
        <v>752.04241943359375</v>
      </c>
    </row>
    <row r="844" spans="37:37" ht="15.75" customHeight="1" x14ac:dyDescent="0.15">
      <c r="AK844" s="2">
        <v>758.83282470703125</v>
      </c>
    </row>
    <row r="845" spans="37:37" ht="15.75" customHeight="1" x14ac:dyDescent="0.15">
      <c r="AK845" s="2">
        <v>765.62335205078125</v>
      </c>
    </row>
    <row r="846" spans="37:37" ht="15.75" customHeight="1" x14ac:dyDescent="0.15">
      <c r="AK846" s="2">
        <v>772.413818359375</v>
      </c>
    </row>
    <row r="847" spans="37:37" ht="15.75" customHeight="1" x14ac:dyDescent="0.15">
      <c r="AK847" s="2">
        <v>779.2042236328125</v>
      </c>
    </row>
    <row r="848" spans="37:37" ht="15.75" customHeight="1" x14ac:dyDescent="0.15">
      <c r="AK848" s="2">
        <v>785.99468994140625</v>
      </c>
    </row>
    <row r="849" spans="37:37" ht="15.75" customHeight="1" x14ac:dyDescent="0.15">
      <c r="AK849" s="2">
        <v>792.78515625</v>
      </c>
    </row>
    <row r="850" spans="37:37" ht="15.75" customHeight="1" x14ac:dyDescent="0.15">
      <c r="AK850" s="2">
        <v>799.5755615234375</v>
      </c>
    </row>
    <row r="851" spans="37:37" ht="15.75" customHeight="1" x14ac:dyDescent="0.15">
      <c r="AK851" s="2">
        <v>806.36602783203125</v>
      </c>
    </row>
    <row r="852" spans="37:37" ht="15.75" customHeight="1" x14ac:dyDescent="0.15">
      <c r="AK852" s="2">
        <v>813.15655517578125</v>
      </c>
    </row>
    <row r="853" spans="37:37" ht="15.75" customHeight="1" x14ac:dyDescent="0.15">
      <c r="AK853" s="2">
        <v>819.9468994140625</v>
      </c>
    </row>
    <row r="854" spans="37:37" ht="15.75" customHeight="1" x14ac:dyDescent="0.15">
      <c r="AK854" s="2">
        <v>826.73736572265625</v>
      </c>
    </row>
    <row r="855" spans="37:37" ht="15.75" customHeight="1" x14ac:dyDescent="0.15">
      <c r="AK855" s="2">
        <v>833.52783203125</v>
      </c>
    </row>
    <row r="856" spans="37:37" ht="15.75" customHeight="1" x14ac:dyDescent="0.15">
      <c r="AK856" s="2">
        <v>840.31829833984375</v>
      </c>
    </row>
    <row r="857" spans="37:37" ht="15.75" customHeight="1" x14ac:dyDescent="0.15">
      <c r="AK857" s="2">
        <v>847.1087646484375</v>
      </c>
    </row>
    <row r="858" spans="37:37" ht="15.75" customHeight="1" x14ac:dyDescent="0.15">
      <c r="AK858" s="2">
        <v>853.89923095703125</v>
      </c>
    </row>
    <row r="859" spans="37:37" ht="15.75" customHeight="1" x14ac:dyDescent="0.15">
      <c r="AK859" s="2">
        <v>860.689697265625</v>
      </c>
    </row>
    <row r="860" spans="37:37" ht="15.75" customHeight="1" x14ac:dyDescent="0.15">
      <c r="AK860" s="2">
        <v>867.48004150390625</v>
      </c>
    </row>
    <row r="861" spans="37:37" ht="15.75" customHeight="1" x14ac:dyDescent="0.15">
      <c r="AK861" s="2">
        <v>874.27056884765625</v>
      </c>
    </row>
    <row r="862" spans="37:37" ht="15.75" customHeight="1" x14ac:dyDescent="0.15">
      <c r="AK862" s="2">
        <v>881.06103515625</v>
      </c>
    </row>
    <row r="863" spans="37:37" ht="15.75" customHeight="1" x14ac:dyDescent="0.15">
      <c r="AK863" s="2">
        <v>887.8514404296875</v>
      </c>
    </row>
    <row r="864" spans="37:37" ht="15.75" customHeight="1" x14ac:dyDescent="0.15">
      <c r="AK864" s="2">
        <v>894.641845703125</v>
      </c>
    </row>
    <row r="865" spans="37:37" ht="15.75" customHeight="1" x14ac:dyDescent="0.15">
      <c r="AK865" s="2">
        <v>901.4322509765625</v>
      </c>
    </row>
    <row r="866" spans="37:37" ht="15.75" customHeight="1" x14ac:dyDescent="0.15">
      <c r="AK866" s="2">
        <v>908.2227783203125</v>
      </c>
    </row>
    <row r="867" spans="37:37" ht="15.75" customHeight="1" x14ac:dyDescent="0.15">
      <c r="AK867" s="2">
        <v>915.01324462890625</v>
      </c>
    </row>
    <row r="868" spans="37:37" ht="15.75" customHeight="1" x14ac:dyDescent="0.15">
      <c r="AK868" s="2">
        <v>921.8037109375</v>
      </c>
    </row>
    <row r="869" spans="37:37" ht="15.75" customHeight="1" x14ac:dyDescent="0.15">
      <c r="AK869" s="2">
        <v>928.59405517578125</v>
      </c>
    </row>
    <row r="870" spans="37:37" ht="15.75" customHeight="1" x14ac:dyDescent="0.15">
      <c r="AK870" s="2">
        <v>935.38458251953125</v>
      </c>
    </row>
    <row r="871" spans="37:37" ht="15.75" customHeight="1" x14ac:dyDescent="0.15">
      <c r="AK871" s="2">
        <v>942.175048828125</v>
      </c>
    </row>
    <row r="872" spans="37:37" ht="15.75" customHeight="1" x14ac:dyDescent="0.15">
      <c r="AK872" s="2">
        <v>948.965576171875</v>
      </c>
    </row>
    <row r="873" spans="37:37" ht="15.75" customHeight="1" x14ac:dyDescent="0.15">
      <c r="AK873" s="2">
        <v>955.7559814453125</v>
      </c>
    </row>
    <row r="874" spans="37:37" ht="15.75" customHeight="1" x14ac:dyDescent="0.15">
      <c r="AK874" s="2">
        <v>962.54638671875</v>
      </c>
    </row>
    <row r="875" spans="37:37" ht="15.75" customHeight="1" x14ac:dyDescent="0.15">
      <c r="AK875" s="2">
        <v>969.33685302734375</v>
      </c>
    </row>
    <row r="876" spans="37:37" ht="15.75" customHeight="1" x14ac:dyDescent="0.15">
      <c r="AK876" s="2">
        <v>976.12725830078125</v>
      </c>
    </row>
    <row r="877" spans="37:37" ht="15.75" customHeight="1" x14ac:dyDescent="0.15">
      <c r="AK877" s="2">
        <v>985.28070068359375</v>
      </c>
    </row>
    <row r="878" spans="37:37" ht="15.75" customHeight="1" x14ac:dyDescent="0.15">
      <c r="AK878" s="2">
        <v>986.91400146484375</v>
      </c>
    </row>
    <row r="879" spans="37:37" ht="15.75" customHeight="1" x14ac:dyDescent="0.15">
      <c r="AK879" s="2">
        <v>988.5474853515625</v>
      </c>
    </row>
    <row r="880" spans="37:37" ht="15.75" customHeight="1" x14ac:dyDescent="0.15">
      <c r="AK880" s="2">
        <v>990.1807861328125</v>
      </c>
    </row>
    <row r="881" spans="37:37" ht="15.75" customHeight="1" x14ac:dyDescent="0.15">
      <c r="AK881" s="2">
        <v>991.814208984375</v>
      </c>
    </row>
    <row r="882" spans="37:37" ht="15.75" customHeight="1" x14ac:dyDescent="0.15">
      <c r="AK882" s="2">
        <v>993.4476318359375</v>
      </c>
    </row>
    <row r="883" spans="37:37" ht="15.75" customHeight="1" x14ac:dyDescent="0.15">
      <c r="AK883" s="2">
        <v>995.0809326171875</v>
      </c>
    </row>
    <row r="884" spans="37:37" ht="15.75" customHeight="1" x14ac:dyDescent="0.15">
      <c r="AK884" s="2">
        <v>996.71435546875</v>
      </c>
    </row>
    <row r="885" spans="37:37" ht="15.75" customHeight="1" x14ac:dyDescent="0.15">
      <c r="AK885" s="2">
        <v>998.34765625</v>
      </c>
    </row>
    <row r="886" spans="37:37" ht="15.75" customHeight="1" x14ac:dyDescent="0.15">
      <c r="AK886" s="2">
        <v>999.9810791015625</v>
      </c>
    </row>
    <row r="887" spans="37:37" ht="15.75" customHeight="1" x14ac:dyDescent="0.15">
      <c r="AK887" s="2">
        <v>1001.614501953125</v>
      </c>
    </row>
    <row r="888" spans="37:37" ht="15.75" customHeight="1" x14ac:dyDescent="0.15">
      <c r="AK888" s="2">
        <v>1003.247802734375</v>
      </c>
    </row>
    <row r="889" spans="37:37" ht="15.75" customHeight="1" x14ac:dyDescent="0.15">
      <c r="AK889" s="2">
        <v>1004.8812255859375</v>
      </c>
    </row>
    <row r="890" spans="37:37" ht="15.75" customHeight="1" x14ac:dyDescent="0.15">
      <c r="AK890" s="2">
        <v>1006.5145263671875</v>
      </c>
    </row>
    <row r="891" spans="37:37" ht="15.75" customHeight="1" x14ac:dyDescent="0.15">
      <c r="AK891" s="2">
        <v>1008.14794921875</v>
      </c>
    </row>
    <row r="892" spans="37:37" ht="15.75" customHeight="1" x14ac:dyDescent="0.15">
      <c r="AK892" s="2">
        <v>1009.7813720703125</v>
      </c>
    </row>
    <row r="893" spans="37:37" ht="15.75" customHeight="1" x14ac:dyDescent="0.15">
      <c r="AK893" s="2">
        <v>1011.4146728515625</v>
      </c>
    </row>
    <row r="894" spans="37:37" ht="15.75" customHeight="1" x14ac:dyDescent="0.15">
      <c r="AK894" s="2">
        <v>1013.048095703125</v>
      </c>
    </row>
    <row r="895" spans="37:37" ht="15.75" customHeight="1" x14ac:dyDescent="0.15">
      <c r="AK895" s="2">
        <v>1014.6815185546875</v>
      </c>
    </row>
    <row r="896" spans="37:37" ht="15.75" customHeight="1" x14ac:dyDescent="0.15">
      <c r="AK896" s="2">
        <v>1016.3148193359375</v>
      </c>
    </row>
    <row r="897" spans="37:37" ht="15.75" customHeight="1" x14ac:dyDescent="0.15">
      <c r="AK897" s="2">
        <v>1017.9482421875</v>
      </c>
    </row>
    <row r="898" spans="37:37" ht="15.75" customHeight="1" x14ac:dyDescent="0.15">
      <c r="AK898" s="2">
        <v>1019.58154296875</v>
      </c>
    </row>
    <row r="899" spans="37:37" ht="15.75" customHeight="1" x14ac:dyDescent="0.15">
      <c r="AK899" s="2">
        <v>1021.2149658203125</v>
      </c>
    </row>
    <row r="900" spans="37:37" ht="15.75" customHeight="1" x14ac:dyDescent="0.15">
      <c r="AK900" s="2">
        <v>1022.848388671875</v>
      </c>
    </row>
    <row r="901" spans="37:37" ht="15.75" customHeight="1" x14ac:dyDescent="0.15">
      <c r="AK901" s="2">
        <v>1024.481689453125</v>
      </c>
    </row>
    <row r="902" spans="37:37" ht="15.75" customHeight="1" x14ac:dyDescent="0.15">
      <c r="AK902" s="2">
        <v>1028.47802734375</v>
      </c>
    </row>
    <row r="903" spans="37:37" ht="15.75" customHeight="1" x14ac:dyDescent="0.15">
      <c r="AK903" s="2">
        <v>1024.954345703125</v>
      </c>
    </row>
    <row r="904" spans="37:37" ht="15.75" customHeight="1" x14ac:dyDescent="0.15">
      <c r="AK904" s="2">
        <v>1021.4307250976563</v>
      </c>
    </row>
    <row r="905" spans="37:37" ht="15.75" customHeight="1" x14ac:dyDescent="0.15">
      <c r="AK905" s="2">
        <v>1017.906982421875</v>
      </c>
    </row>
    <row r="906" spans="37:37" ht="15.75" customHeight="1" x14ac:dyDescent="0.15">
      <c r="AK906" s="2">
        <v>1014.38330078125</v>
      </c>
    </row>
    <row r="907" spans="37:37" ht="15.75" customHeight="1" x14ac:dyDescent="0.15">
      <c r="AK907" s="2">
        <v>1010.8595581054688</v>
      </c>
    </row>
    <row r="908" spans="37:37" ht="15.75" customHeight="1" x14ac:dyDescent="0.15">
      <c r="AK908" s="2">
        <v>1007.3358154296875</v>
      </c>
    </row>
    <row r="909" spans="37:37" ht="15.75" customHeight="1" x14ac:dyDescent="0.15">
      <c r="AK909" s="2">
        <v>1003.812255859375</v>
      </c>
    </row>
    <row r="910" spans="37:37" ht="15.75" customHeight="1" x14ac:dyDescent="0.15">
      <c r="AK910" s="2">
        <v>1000.2885131835938</v>
      </c>
    </row>
    <row r="911" spans="37:37" ht="15.75" customHeight="1" x14ac:dyDescent="0.15">
      <c r="AK911" s="2">
        <v>996.76483154296875</v>
      </c>
    </row>
    <row r="912" spans="37:37" ht="15.75" customHeight="1" x14ac:dyDescent="0.15">
      <c r="AK912" s="2">
        <v>993.2410888671875</v>
      </c>
    </row>
    <row r="913" spans="37:37" ht="15.75" customHeight="1" x14ac:dyDescent="0.15">
      <c r="AK913" s="2">
        <v>989.7174072265625</v>
      </c>
    </row>
    <row r="914" spans="37:37" ht="15.75" customHeight="1" x14ac:dyDescent="0.15">
      <c r="AK914" s="2">
        <v>986.1937255859375</v>
      </c>
    </row>
    <row r="915" spans="37:37" ht="15.75" customHeight="1" x14ac:dyDescent="0.15">
      <c r="AK915" s="2">
        <v>982.6700439453125</v>
      </c>
    </row>
    <row r="916" spans="37:37" ht="15.75" customHeight="1" x14ac:dyDescent="0.15">
      <c r="AK916" s="2">
        <v>979.14630126953125</v>
      </c>
    </row>
    <row r="917" spans="37:37" ht="15.75" customHeight="1" x14ac:dyDescent="0.15">
      <c r="AK917" s="2">
        <v>975.62261962890625</v>
      </c>
    </row>
    <row r="918" spans="37:37" ht="15.75" customHeight="1" x14ac:dyDescent="0.15">
      <c r="AK918" s="2">
        <v>972.098876953125</v>
      </c>
    </row>
    <row r="919" spans="37:37" ht="15.75" customHeight="1" x14ac:dyDescent="0.15">
      <c r="AK919" s="2">
        <v>968.5753173828125</v>
      </c>
    </row>
    <row r="920" spans="37:37" ht="15.75" customHeight="1" x14ac:dyDescent="0.15">
      <c r="AK920" s="2">
        <v>965.0516357421875</v>
      </c>
    </row>
    <row r="921" spans="37:37" ht="15.75" customHeight="1" x14ac:dyDescent="0.15">
      <c r="AK921" s="2">
        <v>961.52783203125</v>
      </c>
    </row>
    <row r="922" spans="37:37" ht="15.75" customHeight="1" x14ac:dyDescent="0.15">
      <c r="AK922" s="2">
        <v>958.004150390625</v>
      </c>
    </row>
    <row r="923" spans="37:37" ht="15.75" customHeight="1" x14ac:dyDescent="0.15">
      <c r="AK923" s="2">
        <v>954.48046875</v>
      </c>
    </row>
    <row r="924" spans="37:37" ht="15.75" customHeight="1" x14ac:dyDescent="0.15">
      <c r="AK924" s="2">
        <v>950.956787109375</v>
      </c>
    </row>
    <row r="925" spans="37:37" ht="15.75" customHeight="1" x14ac:dyDescent="0.15">
      <c r="AK925" s="2">
        <v>947.43310546875</v>
      </c>
    </row>
    <row r="926" spans="37:37" ht="15.75" customHeight="1" x14ac:dyDescent="0.15">
      <c r="AK926" s="2">
        <v>933.29931640625</v>
      </c>
    </row>
    <row r="927" spans="37:37" ht="15.75" customHeight="1" x14ac:dyDescent="0.15">
      <c r="AK927" s="2">
        <v>931.4732666015625</v>
      </c>
    </row>
    <row r="928" spans="37:37" ht="15.75" customHeight="1" x14ac:dyDescent="0.15">
      <c r="AK928" s="2">
        <v>929.6470947265625</v>
      </c>
    </row>
    <row r="929" spans="37:37" ht="15.75" customHeight="1" x14ac:dyDescent="0.15">
      <c r="AK929" s="2">
        <v>927.8211669921875</v>
      </c>
    </row>
    <row r="930" spans="37:37" ht="15.75" customHeight="1" x14ac:dyDescent="0.15">
      <c r="AK930" s="2">
        <v>925.9949951171875</v>
      </c>
    </row>
    <row r="931" spans="37:37" ht="15.75" customHeight="1" x14ac:dyDescent="0.15">
      <c r="AK931" s="2">
        <v>924.1689453125</v>
      </c>
    </row>
    <row r="932" spans="37:37" ht="15.75" customHeight="1" x14ac:dyDescent="0.15">
      <c r="AK932" s="2">
        <v>922.3428955078125</v>
      </c>
    </row>
    <row r="933" spans="37:37" ht="15.75" customHeight="1" x14ac:dyDescent="0.15">
      <c r="AK933" s="2">
        <v>920.5167236328125</v>
      </c>
    </row>
    <row r="934" spans="37:37" ht="15.75" customHeight="1" x14ac:dyDescent="0.15">
      <c r="AK934" s="2">
        <v>918.69073486328125</v>
      </c>
    </row>
    <row r="935" spans="37:37" ht="15.75" customHeight="1" x14ac:dyDescent="0.15">
      <c r="AK935" s="2">
        <v>916.8646240234375</v>
      </c>
    </row>
    <row r="936" spans="37:37" ht="15.75" customHeight="1" x14ac:dyDescent="0.15">
      <c r="AK936" s="2">
        <v>915.03851318359375</v>
      </c>
    </row>
    <row r="937" spans="37:37" ht="15.75" customHeight="1" x14ac:dyDescent="0.15">
      <c r="AK937" s="2">
        <v>913.21240234375</v>
      </c>
    </row>
    <row r="938" spans="37:37" ht="15.75" customHeight="1" x14ac:dyDescent="0.15">
      <c r="AK938" s="2">
        <v>911.3863525390625</v>
      </c>
    </row>
    <row r="939" spans="37:37" ht="15.75" customHeight="1" x14ac:dyDescent="0.15">
      <c r="AK939" s="2">
        <v>909.56024169921875</v>
      </c>
    </row>
    <row r="940" spans="37:37" ht="15.75" customHeight="1" x14ac:dyDescent="0.15">
      <c r="AK940" s="2">
        <v>907.73419189453125</v>
      </c>
    </row>
    <row r="941" spans="37:37" ht="15.75" customHeight="1" x14ac:dyDescent="0.15">
      <c r="AK941" s="2">
        <v>905.90814208984375</v>
      </c>
    </row>
    <row r="942" spans="37:37" ht="15.75" customHeight="1" x14ac:dyDescent="0.15">
      <c r="AK942" s="2">
        <v>904.08197021484375</v>
      </c>
    </row>
    <row r="943" spans="37:37" ht="15.75" customHeight="1" x14ac:dyDescent="0.15">
      <c r="AK943" s="2">
        <v>902.25592041015625</v>
      </c>
    </row>
    <row r="944" spans="37:37" ht="15.75" customHeight="1" x14ac:dyDescent="0.15">
      <c r="AK944" s="2">
        <v>900.429931640625</v>
      </c>
    </row>
    <row r="945" spans="37:37" ht="15.75" customHeight="1" x14ac:dyDescent="0.15">
      <c r="AK945" s="2">
        <v>898.6038818359375</v>
      </c>
    </row>
    <row r="946" spans="37:37" ht="15.75" customHeight="1" x14ac:dyDescent="0.15">
      <c r="AK946" s="2">
        <v>896.7777099609375</v>
      </c>
    </row>
    <row r="947" spans="37:37" ht="15.75" customHeight="1" x14ac:dyDescent="0.15">
      <c r="AK947" s="2">
        <v>894.95166015625</v>
      </c>
    </row>
    <row r="948" spans="37:37" ht="15.75" customHeight="1" x14ac:dyDescent="0.15">
      <c r="AK948" s="2">
        <v>893.1256103515625</v>
      </c>
    </row>
    <row r="949" spans="37:37" ht="15.75" customHeight="1" x14ac:dyDescent="0.15">
      <c r="AK949" s="2">
        <v>891.2994384765625</v>
      </c>
    </row>
    <row r="950" spans="37:37" ht="15.75" customHeight="1" x14ac:dyDescent="0.15">
      <c r="AK950" s="2">
        <v>889.473388671875</v>
      </c>
    </row>
    <row r="951" spans="37:37" ht="15.75" customHeight="1" x14ac:dyDescent="0.15">
      <c r="AK951" s="2">
        <v>877.0372314453125</v>
      </c>
    </row>
    <row r="952" spans="37:37" ht="15.75" customHeight="1" x14ac:dyDescent="0.15">
      <c r="AK952" s="2">
        <v>879.2716064453125</v>
      </c>
    </row>
    <row r="953" spans="37:37" ht="15.75" customHeight="1" x14ac:dyDescent="0.15">
      <c r="AK953" s="2">
        <v>873.98602294921875</v>
      </c>
    </row>
    <row r="954" spans="37:37" ht="15.75" customHeight="1" x14ac:dyDescent="0.15">
      <c r="AK954" s="2">
        <v>868.70068359375</v>
      </c>
    </row>
    <row r="955" spans="37:37" ht="15.75" customHeight="1" x14ac:dyDescent="0.15">
      <c r="AK955" s="2">
        <v>863.4150390625</v>
      </c>
    </row>
    <row r="956" spans="37:37" ht="15.75" customHeight="1" x14ac:dyDescent="0.15">
      <c r="AK956" s="2">
        <v>858.1295166015625</v>
      </c>
    </row>
    <row r="957" spans="37:37" ht="15.75" customHeight="1" x14ac:dyDescent="0.15">
      <c r="AK957" s="2">
        <v>852.84393310546875</v>
      </c>
    </row>
    <row r="958" spans="37:37" ht="15.75" customHeight="1" x14ac:dyDescent="0.15">
      <c r="AK958" s="2">
        <v>847.558349609375</v>
      </c>
    </row>
    <row r="959" spans="37:37" ht="15.75" customHeight="1" x14ac:dyDescent="0.15">
      <c r="AK959" s="2">
        <v>842.27294921875</v>
      </c>
    </row>
    <row r="960" spans="37:37" ht="15.75" customHeight="1" x14ac:dyDescent="0.15">
      <c r="AK960" s="2">
        <v>836.98736572265625</v>
      </c>
    </row>
    <row r="961" spans="37:37" ht="15.75" customHeight="1" x14ac:dyDescent="0.15">
      <c r="AK961" s="2">
        <v>831.7017822265625</v>
      </c>
    </row>
    <row r="962" spans="37:37" ht="15.75" customHeight="1" x14ac:dyDescent="0.15">
      <c r="AK962" s="2">
        <v>826.41619873046875</v>
      </c>
    </row>
    <row r="963" spans="37:37" ht="15.75" customHeight="1" x14ac:dyDescent="0.15">
      <c r="AK963" s="2">
        <v>821.130615234375</v>
      </c>
    </row>
    <row r="964" spans="37:37" ht="15.75" customHeight="1" x14ac:dyDescent="0.15">
      <c r="AK964" s="2">
        <v>815.84527587890625</v>
      </c>
    </row>
    <row r="965" spans="37:37" ht="15.75" customHeight="1" x14ac:dyDescent="0.15">
      <c r="AK965" s="2">
        <v>810.5596923828125</v>
      </c>
    </row>
    <row r="966" spans="37:37" ht="15.75" customHeight="1" x14ac:dyDescent="0.15">
      <c r="AK966" s="2">
        <v>805.274169921875</v>
      </c>
    </row>
    <row r="967" spans="37:37" ht="15.75" customHeight="1" x14ac:dyDescent="0.15">
      <c r="AK967" s="2">
        <v>799.988525390625</v>
      </c>
    </row>
    <row r="968" spans="37:37" ht="15.75" customHeight="1" x14ac:dyDescent="0.15">
      <c r="AK968" s="2">
        <v>794.7030029296875</v>
      </c>
    </row>
    <row r="969" spans="37:37" ht="15.75" customHeight="1" x14ac:dyDescent="0.15">
      <c r="AK969" s="2">
        <v>789.41754150390625</v>
      </c>
    </row>
    <row r="970" spans="37:37" ht="15.75" customHeight="1" x14ac:dyDescent="0.15">
      <c r="AK970" s="2">
        <v>784.1319580078125</v>
      </c>
    </row>
    <row r="971" spans="37:37" ht="15.75" customHeight="1" x14ac:dyDescent="0.15">
      <c r="AK971" s="2">
        <v>778.846435546875</v>
      </c>
    </row>
    <row r="972" spans="37:37" ht="15.75" customHeight="1" x14ac:dyDescent="0.15">
      <c r="AK972" s="2">
        <v>773.560791015625</v>
      </c>
    </row>
    <row r="973" spans="37:37" ht="15.75" customHeight="1" x14ac:dyDescent="0.15">
      <c r="AK973" s="2">
        <v>768.2752685546875</v>
      </c>
    </row>
    <row r="974" spans="37:37" ht="15.75" customHeight="1" x14ac:dyDescent="0.15">
      <c r="AK974" s="2">
        <v>762.9898681640625</v>
      </c>
    </row>
    <row r="975" spans="37:37" ht="15.75" customHeight="1" x14ac:dyDescent="0.15">
      <c r="AK975" s="2">
        <v>757.70428466796875</v>
      </c>
    </row>
    <row r="976" spans="37:37" ht="15.75" customHeight="1" x14ac:dyDescent="0.15">
      <c r="AK976" s="2">
        <v>752.418701171875</v>
      </c>
    </row>
    <row r="977" spans="37:37" ht="15.75" customHeight="1" x14ac:dyDescent="0.15">
      <c r="AK977" s="2">
        <v>749.49603271484375</v>
      </c>
    </row>
    <row r="978" spans="37:37" ht="15.75" customHeight="1" x14ac:dyDescent="0.15">
      <c r="AK978" s="2">
        <v>755.48577880859375</v>
      </c>
    </row>
    <row r="979" spans="37:37" ht="15.75" customHeight="1" x14ac:dyDescent="0.15">
      <c r="AK979" s="2">
        <v>748.5028076171875</v>
      </c>
    </row>
    <row r="980" spans="37:37" ht="15.75" customHeight="1" x14ac:dyDescent="0.15">
      <c r="AK980" s="2">
        <v>741.51959228515625</v>
      </c>
    </row>
    <row r="981" spans="37:37" ht="15.75" customHeight="1" x14ac:dyDescent="0.15">
      <c r="AK981" s="2">
        <v>734.536376953125</v>
      </c>
    </row>
    <row r="982" spans="37:37" ht="15.75" customHeight="1" x14ac:dyDescent="0.15">
      <c r="AK982" s="2">
        <v>727.55322265625</v>
      </c>
    </row>
    <row r="983" spans="37:37" ht="15.75" customHeight="1" x14ac:dyDescent="0.15">
      <c r="AK983" s="2">
        <v>720.57000732421875</v>
      </c>
    </row>
    <row r="984" spans="37:37" ht="15.75" customHeight="1" x14ac:dyDescent="0.15">
      <c r="AK984" s="2">
        <v>713.5870361328125</v>
      </c>
    </row>
    <row r="985" spans="37:37" ht="15.75" customHeight="1" x14ac:dyDescent="0.15">
      <c r="AK985" s="2">
        <v>706.6038818359375</v>
      </c>
    </row>
    <row r="986" spans="37:37" ht="15.75" customHeight="1" x14ac:dyDescent="0.15">
      <c r="AK986" s="2">
        <v>699.62066650390625</v>
      </c>
    </row>
    <row r="987" spans="37:37" ht="15.75" customHeight="1" x14ac:dyDescent="0.15">
      <c r="AK987" s="2">
        <v>692.637451171875</v>
      </c>
    </row>
    <row r="988" spans="37:37" ht="15.75" customHeight="1" x14ac:dyDescent="0.15">
      <c r="AK988" s="2">
        <v>685.654296875</v>
      </c>
    </row>
    <row r="989" spans="37:37" ht="15.75" customHeight="1" x14ac:dyDescent="0.15">
      <c r="AK989" s="2">
        <v>678.6712646484375</v>
      </c>
    </row>
    <row r="990" spans="37:37" ht="15.75" customHeight="1" x14ac:dyDescent="0.15">
      <c r="AK990" s="2">
        <v>671.6881103515625</v>
      </c>
    </row>
    <row r="991" spans="37:37" ht="15.75" customHeight="1" x14ac:dyDescent="0.15">
      <c r="AK991" s="2">
        <v>664.70489501953125</v>
      </c>
    </row>
    <row r="992" spans="37:37" ht="15.75" customHeight="1" x14ac:dyDescent="0.15">
      <c r="AK992" s="2">
        <v>657.7216796875</v>
      </c>
    </row>
    <row r="993" spans="37:37" ht="15.75" customHeight="1" x14ac:dyDescent="0.15">
      <c r="AK993" s="2">
        <v>650.738525390625</v>
      </c>
    </row>
    <row r="994" spans="37:37" ht="15.75" customHeight="1" x14ac:dyDescent="0.15">
      <c r="AK994" s="2">
        <v>643.7554931640625</v>
      </c>
    </row>
    <row r="995" spans="37:37" ht="15.75" customHeight="1" x14ac:dyDescent="0.15">
      <c r="AK995" s="2">
        <v>636.7723388671875</v>
      </c>
    </row>
    <row r="996" spans="37:37" ht="15.75" customHeight="1" x14ac:dyDescent="0.15">
      <c r="AK996" s="2">
        <v>629.78912353515625</v>
      </c>
    </row>
    <row r="997" spans="37:37" ht="15.75" customHeight="1" x14ac:dyDescent="0.15">
      <c r="AK997" s="2">
        <v>622.805908203125</v>
      </c>
    </row>
    <row r="998" spans="37:37" ht="15.75" customHeight="1" x14ac:dyDescent="0.15">
      <c r="AK998" s="2">
        <v>615.82275390625</v>
      </c>
    </row>
    <row r="999" spans="37:37" ht="15.75" customHeight="1" x14ac:dyDescent="0.15">
      <c r="AK999" s="2">
        <v>608.8397216796875</v>
      </c>
    </row>
    <row r="1000" spans="37:37" ht="15.75" customHeight="1" x14ac:dyDescent="0.15">
      <c r="AK1000" s="2">
        <v>601.8565673828125</v>
      </c>
    </row>
    <row r="1001" spans="37:37" ht="15.75" customHeight="1" x14ac:dyDescent="0.15">
      <c r="AK1001" s="2">
        <v>584.26324462890625</v>
      </c>
    </row>
    <row r="1002" spans="37:37" ht="15.75" customHeight="1" x14ac:dyDescent="0.15">
      <c r="AK1002" s="2">
        <v>578.9776611328125</v>
      </c>
    </row>
    <row r="1003" spans="37:37" ht="15.75" customHeight="1" x14ac:dyDescent="0.15">
      <c r="AK1003" s="2">
        <v>590.12457275390625</v>
      </c>
    </row>
    <row r="1004" spans="37:37" ht="15.75" customHeight="1" x14ac:dyDescent="0.15">
      <c r="AK1004" s="2">
        <v>588.298583984375</v>
      </c>
    </row>
    <row r="1005" spans="37:37" ht="15.75" customHeight="1" x14ac:dyDescent="0.15">
      <c r="AK1005" s="2">
        <v>586.4725341796875</v>
      </c>
    </row>
    <row r="1006" spans="37:37" ht="15.75" customHeight="1" x14ac:dyDescent="0.15">
      <c r="AK1006" s="2">
        <v>584.6463623046875</v>
      </c>
    </row>
    <row r="1007" spans="37:37" ht="15.75" customHeight="1" x14ac:dyDescent="0.15">
      <c r="AK1007" s="2">
        <v>582.8203125</v>
      </c>
    </row>
    <row r="1008" spans="37:37" ht="15.75" customHeight="1" x14ac:dyDescent="0.15">
      <c r="AK1008" s="2">
        <v>580.994140625</v>
      </c>
    </row>
    <row r="1009" spans="37:37" ht="15.75" customHeight="1" x14ac:dyDescent="0.15">
      <c r="AK1009" s="2">
        <v>579.168212890625</v>
      </c>
    </row>
    <row r="1010" spans="37:37" ht="15.75" customHeight="1" x14ac:dyDescent="0.15">
      <c r="AK1010" s="2">
        <v>577.34210205078125</v>
      </c>
    </row>
    <row r="1011" spans="37:37" ht="15.75" customHeight="1" x14ac:dyDescent="0.15">
      <c r="AK1011" s="2">
        <v>575.5159912109375</v>
      </c>
    </row>
    <row r="1012" spans="37:37" ht="15.75" customHeight="1" x14ac:dyDescent="0.15">
      <c r="AK1012" s="2">
        <v>573.68988037109375</v>
      </c>
    </row>
    <row r="1013" spans="37:37" ht="15.75" customHeight="1" x14ac:dyDescent="0.15">
      <c r="AK1013" s="2">
        <v>571.86376953125</v>
      </c>
    </row>
    <row r="1014" spans="37:37" ht="15.75" customHeight="1" x14ac:dyDescent="0.15">
      <c r="AK1014" s="2">
        <v>570.03778076171875</v>
      </c>
    </row>
    <row r="1015" spans="37:37" ht="15.75" customHeight="1" x14ac:dyDescent="0.15">
      <c r="AK1015" s="2">
        <v>568.211669921875</v>
      </c>
    </row>
    <row r="1016" spans="37:37" ht="15.75" customHeight="1" x14ac:dyDescent="0.15">
      <c r="AK1016" s="2">
        <v>566.38555908203125</v>
      </c>
    </row>
    <row r="1017" spans="37:37" ht="15.75" customHeight="1" x14ac:dyDescent="0.15">
      <c r="AK1017" s="2">
        <v>564.5594482421875</v>
      </c>
    </row>
    <row r="1018" spans="37:37" ht="15.75" customHeight="1" x14ac:dyDescent="0.15">
      <c r="AK1018" s="2">
        <v>562.73333740234375</v>
      </c>
    </row>
    <row r="1019" spans="37:37" ht="15.75" customHeight="1" x14ac:dyDescent="0.15">
      <c r="AK1019" s="2">
        <v>560.90740966796875</v>
      </c>
    </row>
    <row r="1020" spans="37:37" ht="15.75" customHeight="1" x14ac:dyDescent="0.15">
      <c r="AK1020" s="2">
        <v>559.081298828125</v>
      </c>
    </row>
    <row r="1021" spans="37:37" ht="15.75" customHeight="1" x14ac:dyDescent="0.15">
      <c r="AK1021" s="2">
        <v>557.255126953125</v>
      </c>
    </row>
    <row r="1022" spans="37:37" ht="15.75" customHeight="1" x14ac:dyDescent="0.15">
      <c r="AK1022" s="2">
        <v>555.4290771484375</v>
      </c>
    </row>
    <row r="1023" spans="37:37" ht="15.75" customHeight="1" x14ac:dyDescent="0.15">
      <c r="AK1023" s="2">
        <v>553.60296630859375</v>
      </c>
    </row>
    <row r="1024" spans="37:37" ht="15.75" customHeight="1" x14ac:dyDescent="0.15">
      <c r="AK1024" s="2">
        <v>551.7769775390625</v>
      </c>
    </row>
    <row r="1025" spans="37:37" ht="15.75" customHeight="1" x14ac:dyDescent="0.15">
      <c r="AK1025" s="2">
        <v>549.95086669921875</v>
      </c>
    </row>
    <row r="1026" spans="37:37" ht="15.75" customHeight="1" x14ac:dyDescent="0.15">
      <c r="AK1026" s="2">
        <v>537.5146484375</v>
      </c>
    </row>
    <row r="1027" spans="37:37" ht="15.75" customHeight="1" x14ac:dyDescent="0.15">
      <c r="AK1027" s="2">
        <v>537.38623046875</v>
      </c>
    </row>
    <row r="1028" spans="37:37" ht="15.75" customHeight="1" x14ac:dyDescent="0.15">
      <c r="AK1028" s="2">
        <v>537.2576904296875</v>
      </c>
    </row>
    <row r="1029" spans="37:37" ht="15.75" customHeight="1" x14ac:dyDescent="0.15">
      <c r="AK1029" s="2">
        <v>537.1292724609375</v>
      </c>
    </row>
    <row r="1030" spans="37:37" ht="15.75" customHeight="1" x14ac:dyDescent="0.15">
      <c r="AK1030" s="2">
        <v>537.0008544921875</v>
      </c>
    </row>
    <row r="1031" spans="37:37" ht="15.75" customHeight="1" x14ac:dyDescent="0.15">
      <c r="AK1031" s="2">
        <v>536.872314453125</v>
      </c>
    </row>
    <row r="1032" spans="37:37" ht="15.75" customHeight="1" x14ac:dyDescent="0.15">
      <c r="AK1032" s="2">
        <v>536.74383544921875</v>
      </c>
    </row>
    <row r="1033" spans="37:37" ht="15.75" customHeight="1" x14ac:dyDescent="0.15">
      <c r="AK1033" s="2">
        <v>536.6153564453125</v>
      </c>
    </row>
    <row r="1034" spans="37:37" ht="15.75" customHeight="1" x14ac:dyDescent="0.15">
      <c r="AK1034" s="2">
        <v>536.48699951171875</v>
      </c>
    </row>
    <row r="1035" spans="37:37" ht="15.75" customHeight="1" x14ac:dyDescent="0.15">
      <c r="AK1035" s="2">
        <v>536.35845947265625</v>
      </c>
    </row>
    <row r="1036" spans="37:37" ht="15.75" customHeight="1" x14ac:dyDescent="0.15">
      <c r="AK1036" s="2">
        <v>536.23004150390625</v>
      </c>
    </row>
    <row r="1037" spans="37:37" ht="15.75" customHeight="1" x14ac:dyDescent="0.15">
      <c r="AK1037" s="2">
        <v>536.10150146484375</v>
      </c>
    </row>
    <row r="1038" spans="37:37" ht="15.75" customHeight="1" x14ac:dyDescent="0.15">
      <c r="AK1038" s="2">
        <v>535.9730224609375</v>
      </c>
    </row>
    <row r="1039" spans="37:37" ht="15.75" customHeight="1" x14ac:dyDescent="0.15">
      <c r="AK1039" s="2">
        <v>535.84466552734375</v>
      </c>
    </row>
    <row r="1040" spans="37:37" ht="15.75" customHeight="1" x14ac:dyDescent="0.15">
      <c r="AK1040" s="2">
        <v>535.71612548828125</v>
      </c>
    </row>
    <row r="1041" spans="37:37" ht="15.75" customHeight="1" x14ac:dyDescent="0.15">
      <c r="AK1041" s="2">
        <v>535.58770751953125</v>
      </c>
    </row>
    <row r="1042" spans="37:37" ht="15.75" customHeight="1" x14ac:dyDescent="0.15">
      <c r="AK1042" s="2">
        <v>535.45916748046875</v>
      </c>
    </row>
    <row r="1043" spans="37:37" ht="15.75" customHeight="1" x14ac:dyDescent="0.15">
      <c r="AK1043" s="2">
        <v>535.33062744140625</v>
      </c>
    </row>
    <row r="1044" spans="37:37" ht="15.75" customHeight="1" x14ac:dyDescent="0.15">
      <c r="AK1044" s="2">
        <v>535.20233154296875</v>
      </c>
    </row>
    <row r="1045" spans="37:37" ht="15.75" customHeight="1" x14ac:dyDescent="0.15">
      <c r="AK1045" s="2">
        <v>535.0738525390625</v>
      </c>
    </row>
    <row r="1046" spans="37:37" ht="15.75" customHeight="1" x14ac:dyDescent="0.15">
      <c r="AK1046" s="2">
        <v>534.9453125</v>
      </c>
    </row>
    <row r="1047" spans="37:37" ht="15.75" customHeight="1" x14ac:dyDescent="0.15">
      <c r="AK1047" s="2">
        <v>534.81683349609375</v>
      </c>
    </row>
    <row r="1048" spans="37:37" ht="15.75" customHeight="1" x14ac:dyDescent="0.15">
      <c r="AK1048" s="2">
        <v>534.68829345703125</v>
      </c>
    </row>
    <row r="1049" spans="37:37" ht="15.75" customHeight="1" x14ac:dyDescent="0.15">
      <c r="AK1049" s="2">
        <v>534.55999755859375</v>
      </c>
    </row>
    <row r="1050" spans="37:37" ht="15.75" customHeight="1" x14ac:dyDescent="0.15">
      <c r="AK1050" s="2">
        <v>534.43145751953125</v>
      </c>
    </row>
    <row r="1051" spans="37:37" ht="15.75" customHeight="1" x14ac:dyDescent="0.15">
      <c r="AK1051" s="2">
        <v>534.302978515625</v>
      </c>
    </row>
    <row r="1052" spans="37:37" ht="15.75" customHeight="1" x14ac:dyDescent="0.15">
      <c r="AK1052" s="2">
        <v>534.17449951171875</v>
      </c>
    </row>
    <row r="1053" spans="37:37" ht="15.75" customHeight="1" x14ac:dyDescent="0.15">
      <c r="AK1053" s="2">
        <v>550.4783935546875</v>
      </c>
    </row>
    <row r="1054" spans="37:37" ht="15.75" customHeight="1" x14ac:dyDescent="0.15">
      <c r="AK1054" s="2">
        <v>553.80950927734375</v>
      </c>
    </row>
    <row r="1055" spans="37:37" ht="15.75" customHeight="1" x14ac:dyDescent="0.15">
      <c r="AK1055" s="2">
        <v>557.1405029296875</v>
      </c>
    </row>
    <row r="1056" spans="37:37" ht="15.75" customHeight="1" x14ac:dyDescent="0.15">
      <c r="AK1056" s="2">
        <v>560.471435546875</v>
      </c>
    </row>
    <row r="1057" spans="37:37" ht="15.75" customHeight="1" x14ac:dyDescent="0.15">
      <c r="AK1057" s="2">
        <v>563.80242919921875</v>
      </c>
    </row>
    <row r="1058" spans="37:37" ht="15.75" customHeight="1" x14ac:dyDescent="0.15">
      <c r="AK1058" s="2">
        <v>567.1334228515625</v>
      </c>
    </row>
    <row r="1059" spans="37:37" ht="15.75" customHeight="1" x14ac:dyDescent="0.15">
      <c r="AK1059" s="2">
        <v>570.4644775390625</v>
      </c>
    </row>
    <row r="1060" spans="37:37" ht="15.75" customHeight="1" x14ac:dyDescent="0.15">
      <c r="AK1060" s="2">
        <v>573.79541015625</v>
      </c>
    </row>
    <row r="1061" spans="37:37" ht="15.75" customHeight="1" x14ac:dyDescent="0.15">
      <c r="AK1061" s="2">
        <v>577.12640380859375</v>
      </c>
    </row>
    <row r="1062" spans="37:37" ht="15.75" customHeight="1" x14ac:dyDescent="0.15">
      <c r="AK1062" s="2">
        <v>580.4573974609375</v>
      </c>
    </row>
    <row r="1063" spans="37:37" ht="15.75" customHeight="1" x14ac:dyDescent="0.15">
      <c r="AK1063" s="2">
        <v>583.78839111328125</v>
      </c>
    </row>
    <row r="1064" spans="37:37" ht="15.75" customHeight="1" x14ac:dyDescent="0.15">
      <c r="AK1064" s="2">
        <v>587.11944580078125</v>
      </c>
    </row>
    <row r="1065" spans="37:37" ht="15.75" customHeight="1" x14ac:dyDescent="0.15">
      <c r="AK1065" s="2">
        <v>590.45037841796875</v>
      </c>
    </row>
    <row r="1066" spans="37:37" ht="15.75" customHeight="1" x14ac:dyDescent="0.15">
      <c r="AK1066" s="2">
        <v>593.7813720703125</v>
      </c>
    </row>
    <row r="1067" spans="37:37" ht="15.75" customHeight="1" x14ac:dyDescent="0.15">
      <c r="AK1067" s="2">
        <v>597.11236572265625</v>
      </c>
    </row>
    <row r="1068" spans="37:37" ht="15.75" customHeight="1" x14ac:dyDescent="0.15">
      <c r="AK1068" s="2">
        <v>600.44329833984375</v>
      </c>
    </row>
    <row r="1069" spans="37:37" ht="15.75" customHeight="1" x14ac:dyDescent="0.15">
      <c r="AK1069" s="2">
        <v>603.77435302734375</v>
      </c>
    </row>
    <row r="1070" spans="37:37" ht="15.75" customHeight="1" x14ac:dyDescent="0.15">
      <c r="AK1070" s="2">
        <v>607.1053466796875</v>
      </c>
    </row>
    <row r="1071" spans="37:37" ht="15.75" customHeight="1" x14ac:dyDescent="0.15">
      <c r="AK1071" s="2">
        <v>610.436279296875</v>
      </c>
    </row>
    <row r="1072" spans="37:37" ht="15.75" customHeight="1" x14ac:dyDescent="0.15">
      <c r="AK1072" s="2">
        <v>613.767333984375</v>
      </c>
    </row>
    <row r="1073" spans="37:37" ht="15.75" customHeight="1" x14ac:dyDescent="0.15">
      <c r="AK1073" s="2">
        <v>617.0982666015625</v>
      </c>
    </row>
    <row r="1074" spans="37:37" ht="15.75" customHeight="1" x14ac:dyDescent="0.15">
      <c r="AK1074" s="2">
        <v>620.42938232421875</v>
      </c>
    </row>
    <row r="1075" spans="37:37" ht="15.75" customHeight="1" x14ac:dyDescent="0.15">
      <c r="AK1075" s="2">
        <v>623.76025390625</v>
      </c>
    </row>
    <row r="1076" spans="37:37" ht="15.75" customHeight="1" x14ac:dyDescent="0.15">
      <c r="AK1076" s="2">
        <v>627.09130859375</v>
      </c>
    </row>
    <row r="1077" spans="37:37" ht="15.75" customHeight="1" x14ac:dyDescent="0.15">
      <c r="AK1077" s="2">
        <v>630.42230224609375</v>
      </c>
    </row>
    <row r="1078" spans="37:37" ht="15.75" customHeight="1" x14ac:dyDescent="0.15">
      <c r="AK1078" s="2">
        <v>650.18560791015625</v>
      </c>
    </row>
    <row r="1079" spans="37:37" ht="15.75" customHeight="1" x14ac:dyDescent="0.15">
      <c r="AK1079" s="2">
        <v>656.97613525390625</v>
      </c>
    </row>
    <row r="1080" spans="37:37" ht="15.75" customHeight="1" x14ac:dyDescent="0.15">
      <c r="AK1080" s="2">
        <v>663.7666015625</v>
      </c>
    </row>
    <row r="1081" spans="37:37" ht="15.75" customHeight="1" x14ac:dyDescent="0.15">
      <c r="AK1081" s="2">
        <v>670.5570068359375</v>
      </c>
    </row>
    <row r="1082" spans="37:37" ht="15.75" customHeight="1" x14ac:dyDescent="0.15">
      <c r="AK1082" s="2">
        <v>677.34747314453125</v>
      </c>
    </row>
    <row r="1083" spans="37:37" ht="15.75" customHeight="1" x14ac:dyDescent="0.15">
      <c r="AK1083" s="2">
        <v>684.137939453125</v>
      </c>
    </row>
    <row r="1084" spans="37:37" ht="15.75" customHeight="1" x14ac:dyDescent="0.15">
      <c r="AK1084" s="2">
        <v>690.9283447265625</v>
      </c>
    </row>
    <row r="1085" spans="37:37" ht="15.75" customHeight="1" x14ac:dyDescent="0.15">
      <c r="AK1085" s="2">
        <v>697.71881103515625</v>
      </c>
    </row>
    <row r="1086" spans="37:37" ht="15.75" customHeight="1" x14ac:dyDescent="0.15">
      <c r="AK1086" s="2">
        <v>704.50933837890625</v>
      </c>
    </row>
    <row r="1087" spans="37:37" ht="15.75" customHeight="1" x14ac:dyDescent="0.15">
      <c r="AK1087" s="2">
        <v>711.29974365234375</v>
      </c>
    </row>
    <row r="1088" spans="37:37" ht="15.75" customHeight="1" x14ac:dyDescent="0.15">
      <c r="AK1088" s="2">
        <v>718.0902099609375</v>
      </c>
    </row>
    <row r="1089" spans="37:37" ht="15.75" customHeight="1" x14ac:dyDescent="0.15">
      <c r="AK1089" s="2">
        <v>724.880615234375</v>
      </c>
    </row>
    <row r="1090" spans="37:37" ht="15.75" customHeight="1" x14ac:dyDescent="0.15">
      <c r="AK1090" s="2">
        <v>731.6710205078125</v>
      </c>
    </row>
    <row r="1091" spans="37:37" ht="15.75" customHeight="1" x14ac:dyDescent="0.15">
      <c r="AK1091" s="2">
        <v>738.46148681640625</v>
      </c>
    </row>
    <row r="1092" spans="37:37" ht="15.75" customHeight="1" x14ac:dyDescent="0.15">
      <c r="AK1092" s="2">
        <v>745.25201416015625</v>
      </c>
    </row>
    <row r="1093" spans="37:37" ht="15.75" customHeight="1" x14ac:dyDescent="0.15">
      <c r="AK1093" s="2">
        <v>752.04241943359375</v>
      </c>
    </row>
    <row r="1094" spans="37:37" ht="15.75" customHeight="1" x14ac:dyDescent="0.15">
      <c r="AK1094" s="2">
        <v>758.83282470703125</v>
      </c>
    </row>
    <row r="1095" spans="37:37" ht="15.75" customHeight="1" x14ac:dyDescent="0.15">
      <c r="AK1095" s="2">
        <v>765.62335205078125</v>
      </c>
    </row>
    <row r="1096" spans="37:37" ht="15.75" customHeight="1" x14ac:dyDescent="0.15">
      <c r="AK1096" s="2">
        <v>772.413818359375</v>
      </c>
    </row>
    <row r="1097" spans="37:37" ht="15.75" customHeight="1" x14ac:dyDescent="0.15">
      <c r="AK1097" s="2">
        <v>779.2042236328125</v>
      </c>
    </row>
    <row r="1098" spans="37:37" ht="15.75" customHeight="1" x14ac:dyDescent="0.15">
      <c r="AK1098" s="2">
        <v>785.99468994140625</v>
      </c>
    </row>
    <row r="1099" spans="37:37" ht="15.75" customHeight="1" x14ac:dyDescent="0.15">
      <c r="AK1099" s="2">
        <v>792.78515625</v>
      </c>
    </row>
    <row r="1100" spans="37:37" ht="15.75" customHeight="1" x14ac:dyDescent="0.15">
      <c r="AK1100" s="2">
        <v>799.5755615234375</v>
      </c>
    </row>
    <row r="1101" spans="37:37" ht="15.75" customHeight="1" x14ac:dyDescent="0.15">
      <c r="AK1101" s="2">
        <v>806.36602783203125</v>
      </c>
    </row>
    <row r="1102" spans="37:37" ht="15.75" customHeight="1" x14ac:dyDescent="0.15">
      <c r="AK1102" s="2">
        <v>813.15655517578125</v>
      </c>
    </row>
    <row r="1103" spans="37:37" ht="15.75" customHeight="1" x14ac:dyDescent="0.15">
      <c r="AK1103" s="2">
        <v>819.9468994140625</v>
      </c>
    </row>
    <row r="1104" spans="37:37" ht="15.75" customHeight="1" x14ac:dyDescent="0.15">
      <c r="AK1104" s="2">
        <v>826.73736572265625</v>
      </c>
    </row>
    <row r="1105" spans="37:37" ht="15.75" customHeight="1" x14ac:dyDescent="0.15">
      <c r="AK1105" s="2">
        <v>833.52783203125</v>
      </c>
    </row>
    <row r="1106" spans="37:37" ht="15.75" customHeight="1" x14ac:dyDescent="0.15">
      <c r="AK1106" s="2">
        <v>840.31829833984375</v>
      </c>
    </row>
    <row r="1107" spans="37:37" ht="15.75" customHeight="1" x14ac:dyDescent="0.15">
      <c r="AK1107" s="2">
        <v>847.1087646484375</v>
      </c>
    </row>
    <row r="1108" spans="37:37" ht="15.75" customHeight="1" x14ac:dyDescent="0.15">
      <c r="AK1108" s="2">
        <v>853.89923095703125</v>
      </c>
    </row>
    <row r="1109" spans="37:37" ht="15.75" customHeight="1" x14ac:dyDescent="0.15">
      <c r="AK1109" s="2">
        <v>860.689697265625</v>
      </c>
    </row>
    <row r="1110" spans="37:37" ht="15.75" customHeight="1" x14ac:dyDescent="0.15">
      <c r="AK1110" s="2">
        <v>867.48004150390625</v>
      </c>
    </row>
    <row r="1111" spans="37:37" ht="15.75" customHeight="1" x14ac:dyDescent="0.15">
      <c r="AK1111" s="2">
        <v>874.27056884765625</v>
      </c>
    </row>
    <row r="1112" spans="37:37" ht="15.75" customHeight="1" x14ac:dyDescent="0.15">
      <c r="AK1112" s="2">
        <v>881.06103515625</v>
      </c>
    </row>
    <row r="1113" spans="37:37" ht="15.75" customHeight="1" x14ac:dyDescent="0.15">
      <c r="AK1113" s="2">
        <v>887.8514404296875</v>
      </c>
    </row>
    <row r="1114" spans="37:37" ht="15.75" customHeight="1" x14ac:dyDescent="0.15">
      <c r="AK1114" s="2">
        <v>894.641845703125</v>
      </c>
    </row>
    <row r="1115" spans="37:37" ht="15.75" customHeight="1" x14ac:dyDescent="0.15">
      <c r="AK1115" s="2">
        <v>901.4322509765625</v>
      </c>
    </row>
    <row r="1116" spans="37:37" ht="15.75" customHeight="1" x14ac:dyDescent="0.15">
      <c r="AK1116" s="2">
        <v>908.2227783203125</v>
      </c>
    </row>
    <row r="1117" spans="37:37" ht="15.75" customHeight="1" x14ac:dyDescent="0.15">
      <c r="AK1117" s="2">
        <v>915.01324462890625</v>
      </c>
    </row>
    <row r="1118" spans="37:37" ht="15.75" customHeight="1" x14ac:dyDescent="0.15">
      <c r="AK1118" s="2">
        <v>921.8037109375</v>
      </c>
    </row>
    <row r="1119" spans="37:37" ht="15.75" customHeight="1" x14ac:dyDescent="0.15">
      <c r="AK1119" s="2">
        <v>928.59405517578125</v>
      </c>
    </row>
    <row r="1120" spans="37:37" ht="15.75" customHeight="1" x14ac:dyDescent="0.15">
      <c r="AK1120" s="2">
        <v>935.38458251953125</v>
      </c>
    </row>
    <row r="1121" spans="37:37" ht="15.75" customHeight="1" x14ac:dyDescent="0.15">
      <c r="AK1121" s="2">
        <v>942.175048828125</v>
      </c>
    </row>
    <row r="1122" spans="37:37" ht="15.75" customHeight="1" x14ac:dyDescent="0.15">
      <c r="AK1122" s="2">
        <v>948.965576171875</v>
      </c>
    </row>
    <row r="1123" spans="37:37" ht="15.75" customHeight="1" x14ac:dyDescent="0.15">
      <c r="AK1123" s="2">
        <v>955.7559814453125</v>
      </c>
    </row>
    <row r="1124" spans="37:37" ht="15.75" customHeight="1" x14ac:dyDescent="0.15">
      <c r="AK1124" s="2">
        <v>962.54638671875</v>
      </c>
    </row>
    <row r="1125" spans="37:37" ht="15.75" customHeight="1" x14ac:dyDescent="0.15">
      <c r="AK1125" s="2">
        <v>969.33685302734375</v>
      </c>
    </row>
    <row r="1126" spans="37:37" ht="15.75" customHeight="1" x14ac:dyDescent="0.15">
      <c r="AK1126" s="2">
        <v>976.12725830078125</v>
      </c>
    </row>
    <row r="1127" spans="37:37" ht="15.75" customHeight="1" x14ac:dyDescent="0.15">
      <c r="AK1127" s="2">
        <v>985.28070068359375</v>
      </c>
    </row>
    <row r="1128" spans="37:37" ht="15.75" customHeight="1" x14ac:dyDescent="0.15">
      <c r="AK1128" s="2">
        <v>986.91400146484375</v>
      </c>
    </row>
    <row r="1129" spans="37:37" ht="15.75" customHeight="1" x14ac:dyDescent="0.15">
      <c r="AK1129" s="2">
        <v>988.5474853515625</v>
      </c>
    </row>
    <row r="1130" spans="37:37" ht="15.75" customHeight="1" x14ac:dyDescent="0.15">
      <c r="AK1130" s="2">
        <v>990.1807861328125</v>
      </c>
    </row>
    <row r="1131" spans="37:37" ht="15.75" customHeight="1" x14ac:dyDescent="0.15">
      <c r="AK1131" s="2">
        <v>991.814208984375</v>
      </c>
    </row>
    <row r="1132" spans="37:37" ht="15.75" customHeight="1" x14ac:dyDescent="0.15">
      <c r="AK1132" s="2">
        <v>993.4476318359375</v>
      </c>
    </row>
    <row r="1133" spans="37:37" ht="15.75" customHeight="1" x14ac:dyDescent="0.15">
      <c r="AK1133" s="2">
        <v>995.0809326171875</v>
      </c>
    </row>
    <row r="1134" spans="37:37" ht="15.75" customHeight="1" x14ac:dyDescent="0.15">
      <c r="AK1134" s="2">
        <v>996.71435546875</v>
      </c>
    </row>
    <row r="1135" spans="37:37" ht="15.75" customHeight="1" x14ac:dyDescent="0.15">
      <c r="AK1135" s="2">
        <v>998.34765625</v>
      </c>
    </row>
    <row r="1136" spans="37:37" ht="15.75" customHeight="1" x14ac:dyDescent="0.15">
      <c r="AK1136" s="2">
        <v>999.9810791015625</v>
      </c>
    </row>
    <row r="1137" spans="37:37" ht="15.75" customHeight="1" x14ac:dyDescent="0.15">
      <c r="AK1137" s="2">
        <v>1001.614501953125</v>
      </c>
    </row>
    <row r="1138" spans="37:37" ht="15.75" customHeight="1" x14ac:dyDescent="0.15">
      <c r="AK1138" s="2">
        <v>1003.247802734375</v>
      </c>
    </row>
    <row r="1139" spans="37:37" ht="15.75" customHeight="1" x14ac:dyDescent="0.15">
      <c r="AK1139" s="2">
        <v>1004.8812255859375</v>
      </c>
    </row>
    <row r="1140" spans="37:37" ht="15.75" customHeight="1" x14ac:dyDescent="0.15">
      <c r="AK1140" s="2">
        <v>1006.5145263671875</v>
      </c>
    </row>
    <row r="1141" spans="37:37" ht="15.75" customHeight="1" x14ac:dyDescent="0.15">
      <c r="AK1141" s="2">
        <v>1008.14794921875</v>
      </c>
    </row>
    <row r="1142" spans="37:37" ht="15.75" customHeight="1" x14ac:dyDescent="0.15">
      <c r="AK1142" s="2">
        <v>1009.7813720703125</v>
      </c>
    </row>
    <row r="1143" spans="37:37" ht="15.75" customHeight="1" x14ac:dyDescent="0.15">
      <c r="AK1143" s="2">
        <v>1011.4146728515625</v>
      </c>
    </row>
    <row r="1144" spans="37:37" ht="15.75" customHeight="1" x14ac:dyDescent="0.15">
      <c r="AK1144" s="2">
        <v>1013.048095703125</v>
      </c>
    </row>
    <row r="1145" spans="37:37" ht="15.75" customHeight="1" x14ac:dyDescent="0.15">
      <c r="AK1145" s="2">
        <v>1014.6815185546875</v>
      </c>
    </row>
    <row r="1146" spans="37:37" ht="15.75" customHeight="1" x14ac:dyDescent="0.15">
      <c r="AK1146" s="2">
        <v>1016.3148193359375</v>
      </c>
    </row>
    <row r="1147" spans="37:37" ht="15.75" customHeight="1" x14ac:dyDescent="0.15">
      <c r="AK1147" s="2">
        <v>1017.9482421875</v>
      </c>
    </row>
    <row r="1148" spans="37:37" ht="15.75" customHeight="1" x14ac:dyDescent="0.15">
      <c r="AK1148" s="2">
        <v>1019.58154296875</v>
      </c>
    </row>
    <row r="1149" spans="37:37" ht="15.75" customHeight="1" x14ac:dyDescent="0.15">
      <c r="AK1149" s="2">
        <v>1021.2149658203125</v>
      </c>
    </row>
    <row r="1150" spans="37:37" ht="15.75" customHeight="1" x14ac:dyDescent="0.15">
      <c r="AK1150" s="2">
        <v>1022.848388671875</v>
      </c>
    </row>
    <row r="1151" spans="37:37" ht="15.75" customHeight="1" x14ac:dyDescent="0.15">
      <c r="AK1151" s="2">
        <v>1024.481689453125</v>
      </c>
    </row>
    <row r="1152" spans="37:37" ht="15.75" customHeight="1" x14ac:dyDescent="0.15">
      <c r="AK1152" s="2">
        <v>1028.47802734375</v>
      </c>
    </row>
    <row r="1153" spans="37:37" ht="15.75" customHeight="1" x14ac:dyDescent="0.15">
      <c r="AK1153" s="2">
        <v>1024.954345703125</v>
      </c>
    </row>
    <row r="1154" spans="37:37" ht="15.75" customHeight="1" x14ac:dyDescent="0.15">
      <c r="AK1154" s="2">
        <v>1021.4307250976563</v>
      </c>
    </row>
    <row r="1155" spans="37:37" ht="15.75" customHeight="1" x14ac:dyDescent="0.15">
      <c r="AK1155" s="2">
        <v>1017.906982421875</v>
      </c>
    </row>
    <row r="1156" spans="37:37" ht="15.75" customHeight="1" x14ac:dyDescent="0.15">
      <c r="AK1156" s="2">
        <v>1014.38330078125</v>
      </c>
    </row>
    <row r="1157" spans="37:37" ht="15.75" customHeight="1" x14ac:dyDescent="0.15">
      <c r="AK1157" s="2">
        <v>1010.8595581054688</v>
      </c>
    </row>
    <row r="1158" spans="37:37" ht="15.75" customHeight="1" x14ac:dyDescent="0.15">
      <c r="AK1158" s="2">
        <v>1007.3358154296875</v>
      </c>
    </row>
    <row r="1159" spans="37:37" ht="15.75" customHeight="1" x14ac:dyDescent="0.15">
      <c r="AK1159" s="2">
        <v>1003.812255859375</v>
      </c>
    </row>
    <row r="1160" spans="37:37" ht="15.75" customHeight="1" x14ac:dyDescent="0.15">
      <c r="AK1160" s="2">
        <v>1000.2885131835938</v>
      </c>
    </row>
    <row r="1161" spans="37:37" ht="15.75" customHeight="1" x14ac:dyDescent="0.15">
      <c r="AK1161" s="2">
        <v>996.76483154296875</v>
      </c>
    </row>
    <row r="1162" spans="37:37" ht="15.75" customHeight="1" x14ac:dyDescent="0.15">
      <c r="AK1162" s="2">
        <v>993.2410888671875</v>
      </c>
    </row>
    <row r="1163" spans="37:37" ht="15.75" customHeight="1" x14ac:dyDescent="0.15">
      <c r="AK1163" s="2">
        <v>989.7174072265625</v>
      </c>
    </row>
    <row r="1164" spans="37:37" ht="15.75" customHeight="1" x14ac:dyDescent="0.15">
      <c r="AK1164" s="2">
        <v>986.1937255859375</v>
      </c>
    </row>
    <row r="1165" spans="37:37" ht="15.75" customHeight="1" x14ac:dyDescent="0.15">
      <c r="AK1165" s="2">
        <v>982.6700439453125</v>
      </c>
    </row>
    <row r="1166" spans="37:37" ht="15.75" customHeight="1" x14ac:dyDescent="0.15">
      <c r="AK1166" s="2">
        <v>979.14630126953125</v>
      </c>
    </row>
    <row r="1167" spans="37:37" ht="15.75" customHeight="1" x14ac:dyDescent="0.15">
      <c r="AK1167" s="2">
        <v>975.62261962890625</v>
      </c>
    </row>
    <row r="1168" spans="37:37" ht="15.75" customHeight="1" x14ac:dyDescent="0.15">
      <c r="AK1168" s="2">
        <v>972.098876953125</v>
      </c>
    </row>
    <row r="1169" spans="37:37" ht="15.75" customHeight="1" x14ac:dyDescent="0.15">
      <c r="AK1169" s="2">
        <v>968.5753173828125</v>
      </c>
    </row>
    <row r="1170" spans="37:37" ht="15.75" customHeight="1" x14ac:dyDescent="0.15">
      <c r="AK1170" s="2">
        <v>965.0516357421875</v>
      </c>
    </row>
    <row r="1171" spans="37:37" ht="15.75" customHeight="1" x14ac:dyDescent="0.15">
      <c r="AK1171" s="2">
        <v>961.52783203125</v>
      </c>
    </row>
    <row r="1172" spans="37:37" ht="15.75" customHeight="1" x14ac:dyDescent="0.15">
      <c r="AK1172" s="2">
        <v>958.004150390625</v>
      </c>
    </row>
    <row r="1173" spans="37:37" ht="15.75" customHeight="1" x14ac:dyDescent="0.15">
      <c r="AK1173" s="2">
        <v>954.48046875</v>
      </c>
    </row>
    <row r="1174" spans="37:37" ht="15.75" customHeight="1" x14ac:dyDescent="0.15">
      <c r="AK1174" s="2">
        <v>950.956787109375</v>
      </c>
    </row>
    <row r="1175" spans="37:37" ht="15.75" customHeight="1" x14ac:dyDescent="0.15">
      <c r="AK1175" s="2">
        <v>947.43310546875</v>
      </c>
    </row>
    <row r="1176" spans="37:37" ht="15.75" customHeight="1" x14ac:dyDescent="0.15">
      <c r="AK1176" s="2">
        <v>933.29931640625</v>
      </c>
    </row>
    <row r="1177" spans="37:37" ht="15.75" customHeight="1" x14ac:dyDescent="0.15">
      <c r="AK1177" s="2">
        <v>931.4732666015625</v>
      </c>
    </row>
    <row r="1178" spans="37:37" ht="15.75" customHeight="1" x14ac:dyDescent="0.15">
      <c r="AK1178" s="2">
        <v>929.6470947265625</v>
      </c>
    </row>
    <row r="1179" spans="37:37" ht="15.75" customHeight="1" x14ac:dyDescent="0.15">
      <c r="AK1179" s="2">
        <v>927.8211669921875</v>
      </c>
    </row>
    <row r="1180" spans="37:37" ht="15.75" customHeight="1" x14ac:dyDescent="0.15">
      <c r="AK1180" s="2">
        <v>925.9949951171875</v>
      </c>
    </row>
    <row r="1181" spans="37:37" ht="15.75" customHeight="1" x14ac:dyDescent="0.15">
      <c r="AK1181" s="2">
        <v>924.1689453125</v>
      </c>
    </row>
    <row r="1182" spans="37:37" ht="15.75" customHeight="1" x14ac:dyDescent="0.15">
      <c r="AK1182" s="2">
        <v>922.3428955078125</v>
      </c>
    </row>
    <row r="1183" spans="37:37" ht="15.75" customHeight="1" x14ac:dyDescent="0.15">
      <c r="AK1183" s="2">
        <v>920.5167236328125</v>
      </c>
    </row>
    <row r="1184" spans="37:37" ht="15.75" customHeight="1" x14ac:dyDescent="0.15">
      <c r="AK1184" s="2">
        <v>918.69073486328125</v>
      </c>
    </row>
    <row r="1185" spans="37:37" ht="15.75" customHeight="1" x14ac:dyDescent="0.15">
      <c r="AK1185" s="2">
        <v>916.8646240234375</v>
      </c>
    </row>
    <row r="1186" spans="37:37" ht="15.75" customHeight="1" x14ac:dyDescent="0.15">
      <c r="AK1186" s="2">
        <v>915.03851318359375</v>
      </c>
    </row>
    <row r="1187" spans="37:37" ht="15.75" customHeight="1" x14ac:dyDescent="0.15">
      <c r="AK1187" s="2">
        <v>913.21240234375</v>
      </c>
    </row>
    <row r="1188" spans="37:37" ht="15.75" customHeight="1" x14ac:dyDescent="0.15">
      <c r="AK1188" s="2">
        <v>911.3863525390625</v>
      </c>
    </row>
    <row r="1189" spans="37:37" ht="15.75" customHeight="1" x14ac:dyDescent="0.15">
      <c r="AK1189" s="2">
        <v>909.56024169921875</v>
      </c>
    </row>
    <row r="1190" spans="37:37" ht="15.75" customHeight="1" x14ac:dyDescent="0.15">
      <c r="AK1190" s="2">
        <v>907.73419189453125</v>
      </c>
    </row>
    <row r="1191" spans="37:37" ht="15.75" customHeight="1" x14ac:dyDescent="0.15">
      <c r="AK1191" s="2">
        <v>905.90814208984375</v>
      </c>
    </row>
    <row r="1192" spans="37:37" ht="15.75" customHeight="1" x14ac:dyDescent="0.15">
      <c r="AK1192" s="2">
        <v>904.08197021484375</v>
      </c>
    </row>
    <row r="1193" spans="37:37" ht="15.75" customHeight="1" x14ac:dyDescent="0.15">
      <c r="AK1193" s="2">
        <v>902.25592041015625</v>
      </c>
    </row>
    <row r="1194" spans="37:37" ht="15.75" customHeight="1" x14ac:dyDescent="0.15">
      <c r="AK1194" s="2">
        <v>900.429931640625</v>
      </c>
    </row>
    <row r="1195" spans="37:37" ht="15.75" customHeight="1" x14ac:dyDescent="0.15">
      <c r="AK1195" s="2">
        <v>898.6038818359375</v>
      </c>
    </row>
    <row r="1196" spans="37:37" ht="15.75" customHeight="1" x14ac:dyDescent="0.15">
      <c r="AK1196" s="2">
        <v>896.7777099609375</v>
      </c>
    </row>
    <row r="1197" spans="37:37" ht="15.75" customHeight="1" x14ac:dyDescent="0.15">
      <c r="AK1197" s="2">
        <v>894.95166015625</v>
      </c>
    </row>
    <row r="1198" spans="37:37" ht="15.75" customHeight="1" x14ac:dyDescent="0.15">
      <c r="AK1198" s="2">
        <v>893.1256103515625</v>
      </c>
    </row>
    <row r="1199" spans="37:37" ht="15.75" customHeight="1" x14ac:dyDescent="0.15">
      <c r="AK1199" s="2">
        <v>891.2994384765625</v>
      </c>
    </row>
    <row r="1200" spans="37:37" ht="15.75" customHeight="1" x14ac:dyDescent="0.15">
      <c r="AK1200" s="2">
        <v>889.473388671875</v>
      </c>
    </row>
    <row r="1201" spans="37:37" ht="15.75" customHeight="1" x14ac:dyDescent="0.15">
      <c r="AK1201" s="2">
        <v>877.0372314453125</v>
      </c>
    </row>
    <row r="1202" spans="37:37" ht="15.75" customHeight="1" x14ac:dyDescent="0.15">
      <c r="AK1202" s="2">
        <v>879.2716064453125</v>
      </c>
    </row>
    <row r="1203" spans="37:37" ht="15.75" customHeight="1" x14ac:dyDescent="0.15">
      <c r="AK1203" s="2">
        <v>873.98602294921875</v>
      </c>
    </row>
    <row r="1204" spans="37:37" ht="15.75" customHeight="1" x14ac:dyDescent="0.15">
      <c r="AK1204" s="2">
        <v>868.70068359375</v>
      </c>
    </row>
    <row r="1205" spans="37:37" ht="15.75" customHeight="1" x14ac:dyDescent="0.15">
      <c r="AK1205" s="2">
        <v>863.4150390625</v>
      </c>
    </row>
    <row r="1206" spans="37:37" ht="15.75" customHeight="1" x14ac:dyDescent="0.15">
      <c r="AK1206" s="2">
        <v>858.1295166015625</v>
      </c>
    </row>
    <row r="1207" spans="37:37" ht="15.75" customHeight="1" x14ac:dyDescent="0.15">
      <c r="AK1207" s="2">
        <v>852.84393310546875</v>
      </c>
    </row>
    <row r="1208" spans="37:37" ht="15.75" customHeight="1" x14ac:dyDescent="0.15">
      <c r="AK1208" s="2">
        <v>847.558349609375</v>
      </c>
    </row>
    <row r="1209" spans="37:37" ht="15.75" customHeight="1" x14ac:dyDescent="0.15">
      <c r="AK1209" s="2">
        <v>842.27294921875</v>
      </c>
    </row>
    <row r="1210" spans="37:37" ht="15.75" customHeight="1" x14ac:dyDescent="0.15">
      <c r="AK1210" s="2">
        <v>836.98736572265625</v>
      </c>
    </row>
    <row r="1211" spans="37:37" ht="15.75" customHeight="1" x14ac:dyDescent="0.15">
      <c r="AK1211" s="2">
        <v>831.7017822265625</v>
      </c>
    </row>
    <row r="1212" spans="37:37" ht="15.75" customHeight="1" x14ac:dyDescent="0.15">
      <c r="AK1212" s="2">
        <v>826.41619873046875</v>
      </c>
    </row>
    <row r="1213" spans="37:37" ht="15.75" customHeight="1" x14ac:dyDescent="0.15">
      <c r="AK1213" s="2">
        <v>821.130615234375</v>
      </c>
    </row>
    <row r="1214" spans="37:37" ht="15.75" customHeight="1" x14ac:dyDescent="0.15">
      <c r="AK1214" s="2">
        <v>815.84527587890625</v>
      </c>
    </row>
    <row r="1215" spans="37:37" ht="15.75" customHeight="1" x14ac:dyDescent="0.15">
      <c r="AK1215" s="2">
        <v>810.5596923828125</v>
      </c>
    </row>
    <row r="1216" spans="37:37" ht="15.75" customHeight="1" x14ac:dyDescent="0.15">
      <c r="AK1216" s="2">
        <v>805.274169921875</v>
      </c>
    </row>
    <row r="1217" spans="37:37" ht="15.75" customHeight="1" x14ac:dyDescent="0.15">
      <c r="AK1217" s="2">
        <v>799.988525390625</v>
      </c>
    </row>
    <row r="1218" spans="37:37" ht="15.75" customHeight="1" x14ac:dyDescent="0.15">
      <c r="AK1218" s="2">
        <v>794.7030029296875</v>
      </c>
    </row>
    <row r="1219" spans="37:37" ht="15.75" customHeight="1" x14ac:dyDescent="0.15">
      <c r="AK1219" s="2">
        <v>789.41754150390625</v>
      </c>
    </row>
    <row r="1220" spans="37:37" ht="15.75" customHeight="1" x14ac:dyDescent="0.15">
      <c r="AK1220" s="2">
        <v>784.1319580078125</v>
      </c>
    </row>
    <row r="1221" spans="37:37" ht="15.75" customHeight="1" x14ac:dyDescent="0.15">
      <c r="AK1221" s="2">
        <v>778.846435546875</v>
      </c>
    </row>
    <row r="1222" spans="37:37" ht="15.75" customHeight="1" x14ac:dyDescent="0.15">
      <c r="AK1222" s="2">
        <v>773.560791015625</v>
      </c>
    </row>
    <row r="1223" spans="37:37" ht="15.75" customHeight="1" x14ac:dyDescent="0.15">
      <c r="AK1223" s="2">
        <v>768.2752685546875</v>
      </c>
    </row>
    <row r="1224" spans="37:37" ht="15.75" customHeight="1" x14ac:dyDescent="0.15">
      <c r="AK1224" s="2">
        <v>762.9898681640625</v>
      </c>
    </row>
    <row r="1225" spans="37:37" ht="15.75" customHeight="1" x14ac:dyDescent="0.15">
      <c r="AK1225" s="2">
        <v>757.70428466796875</v>
      </c>
    </row>
    <row r="1226" spans="37:37" ht="15.75" customHeight="1" x14ac:dyDescent="0.15">
      <c r="AK1226" s="2">
        <v>752.418701171875</v>
      </c>
    </row>
    <row r="1227" spans="37:37" ht="15.75" customHeight="1" x14ac:dyDescent="0.15">
      <c r="AK1227" s="2">
        <v>749.49603271484375</v>
      </c>
    </row>
    <row r="1228" spans="37:37" ht="15.75" customHeight="1" x14ac:dyDescent="0.15">
      <c r="AK1228" s="2">
        <v>755.48577880859375</v>
      </c>
    </row>
    <row r="1229" spans="37:37" ht="15.75" customHeight="1" x14ac:dyDescent="0.15">
      <c r="AK1229" s="2">
        <v>748.5028076171875</v>
      </c>
    </row>
    <row r="1230" spans="37:37" ht="15.75" customHeight="1" x14ac:dyDescent="0.15">
      <c r="AK1230" s="2">
        <v>741.51959228515625</v>
      </c>
    </row>
    <row r="1231" spans="37:37" ht="15.75" customHeight="1" x14ac:dyDescent="0.15">
      <c r="AK1231" s="2">
        <v>734.536376953125</v>
      </c>
    </row>
    <row r="1232" spans="37:37" ht="15.75" customHeight="1" x14ac:dyDescent="0.15">
      <c r="AK1232" s="2">
        <v>727.55322265625</v>
      </c>
    </row>
    <row r="1233" spans="37:37" ht="15.75" customHeight="1" x14ac:dyDescent="0.15">
      <c r="AK1233" s="2">
        <v>720.57000732421875</v>
      </c>
    </row>
    <row r="1234" spans="37:37" ht="15.75" customHeight="1" x14ac:dyDescent="0.15">
      <c r="AK1234" s="2">
        <v>713.5870361328125</v>
      </c>
    </row>
    <row r="1235" spans="37:37" ht="15.75" customHeight="1" x14ac:dyDescent="0.15">
      <c r="AK1235" s="2">
        <v>706.6038818359375</v>
      </c>
    </row>
    <row r="1236" spans="37:37" ht="15.75" customHeight="1" x14ac:dyDescent="0.15">
      <c r="AK1236" s="2">
        <v>699.62066650390625</v>
      </c>
    </row>
    <row r="1237" spans="37:37" ht="15.75" customHeight="1" x14ac:dyDescent="0.15">
      <c r="AK1237" s="2">
        <v>692.637451171875</v>
      </c>
    </row>
    <row r="1238" spans="37:37" ht="15.75" customHeight="1" x14ac:dyDescent="0.15">
      <c r="AK1238" s="2">
        <v>685.654296875</v>
      </c>
    </row>
    <row r="1239" spans="37:37" ht="15.75" customHeight="1" x14ac:dyDescent="0.15">
      <c r="AK1239" s="2">
        <v>678.6712646484375</v>
      </c>
    </row>
    <row r="1240" spans="37:37" ht="15.75" customHeight="1" x14ac:dyDescent="0.15">
      <c r="AK1240" s="2">
        <v>671.6881103515625</v>
      </c>
    </row>
    <row r="1241" spans="37:37" ht="15.75" customHeight="1" x14ac:dyDescent="0.15">
      <c r="AK1241" s="2">
        <v>664.70489501953125</v>
      </c>
    </row>
    <row r="1242" spans="37:37" ht="15.75" customHeight="1" x14ac:dyDescent="0.15">
      <c r="AK1242" s="2">
        <v>657.7216796875</v>
      </c>
    </row>
    <row r="1243" spans="37:37" ht="15.75" customHeight="1" x14ac:dyDescent="0.15">
      <c r="AK1243" s="2">
        <v>650.738525390625</v>
      </c>
    </row>
    <row r="1244" spans="37:37" ht="15.75" customHeight="1" x14ac:dyDescent="0.15">
      <c r="AK1244" s="2">
        <v>643.7554931640625</v>
      </c>
    </row>
    <row r="1245" spans="37:37" ht="15.75" customHeight="1" x14ac:dyDescent="0.15">
      <c r="AK1245" s="2">
        <v>636.7723388671875</v>
      </c>
    </row>
    <row r="1246" spans="37:37" ht="15.75" customHeight="1" x14ac:dyDescent="0.15">
      <c r="AK1246" s="2">
        <v>629.78912353515625</v>
      </c>
    </row>
    <row r="1247" spans="37:37" ht="15.75" customHeight="1" x14ac:dyDescent="0.15">
      <c r="AK1247" s="2">
        <v>622.805908203125</v>
      </c>
    </row>
    <row r="1248" spans="37:37" ht="15.75" customHeight="1" x14ac:dyDescent="0.15">
      <c r="AK1248" s="2">
        <v>615.82275390625</v>
      </c>
    </row>
    <row r="1249" spans="37:37" ht="15.75" customHeight="1" x14ac:dyDescent="0.15">
      <c r="AK1249" s="2">
        <v>608.8397216796875</v>
      </c>
    </row>
    <row r="1250" spans="37:37" ht="15.75" customHeight="1" x14ac:dyDescent="0.15">
      <c r="AK1250" s="2">
        <v>601.8565673828125</v>
      </c>
    </row>
    <row r="1251" spans="37:37" ht="15.75" customHeight="1" x14ac:dyDescent="0.15">
      <c r="AK1251" s="2">
        <v>584.26324462890625</v>
      </c>
    </row>
    <row r="1252" spans="37:37" ht="15.75" customHeight="1" x14ac:dyDescent="0.15">
      <c r="AK1252" s="2">
        <v>578.9776611328125</v>
      </c>
    </row>
    <row r="1253" spans="37:37" ht="15.75" customHeight="1" x14ac:dyDescent="0.15">
      <c r="AK1253" s="2">
        <v>590.12457275390625</v>
      </c>
    </row>
    <row r="1254" spans="37:37" ht="15.75" customHeight="1" x14ac:dyDescent="0.15">
      <c r="AK1254" s="2">
        <v>588.298583984375</v>
      </c>
    </row>
    <row r="1255" spans="37:37" ht="15.75" customHeight="1" x14ac:dyDescent="0.15">
      <c r="AK1255" s="2">
        <v>586.4725341796875</v>
      </c>
    </row>
    <row r="1256" spans="37:37" ht="15.75" customHeight="1" x14ac:dyDescent="0.15">
      <c r="AK1256" s="2">
        <v>584.6463623046875</v>
      </c>
    </row>
    <row r="1257" spans="37:37" ht="15.75" customHeight="1" x14ac:dyDescent="0.15">
      <c r="AK1257" s="2">
        <v>582.8203125</v>
      </c>
    </row>
    <row r="1258" spans="37:37" ht="15.75" customHeight="1" x14ac:dyDescent="0.15">
      <c r="AK1258" s="2">
        <v>580.994140625</v>
      </c>
    </row>
    <row r="1259" spans="37:37" ht="15.75" customHeight="1" x14ac:dyDescent="0.15">
      <c r="AK1259" s="2">
        <v>579.168212890625</v>
      </c>
    </row>
    <row r="1260" spans="37:37" ht="15.75" customHeight="1" x14ac:dyDescent="0.15">
      <c r="AK1260" s="2">
        <v>577.34210205078125</v>
      </c>
    </row>
    <row r="1261" spans="37:37" ht="15.75" customHeight="1" x14ac:dyDescent="0.15">
      <c r="AK1261" s="2">
        <v>575.5159912109375</v>
      </c>
    </row>
    <row r="1262" spans="37:37" ht="15.75" customHeight="1" x14ac:dyDescent="0.15">
      <c r="AK1262" s="2">
        <v>573.68988037109375</v>
      </c>
    </row>
    <row r="1263" spans="37:37" ht="15.75" customHeight="1" x14ac:dyDescent="0.15">
      <c r="AK1263" s="2">
        <v>571.86376953125</v>
      </c>
    </row>
    <row r="1264" spans="37:37" ht="15.75" customHeight="1" x14ac:dyDescent="0.15">
      <c r="AK1264" s="2">
        <v>570.03778076171875</v>
      </c>
    </row>
    <row r="1265" spans="37:37" ht="15.75" customHeight="1" x14ac:dyDescent="0.15">
      <c r="AK1265" s="2">
        <v>568.211669921875</v>
      </c>
    </row>
    <row r="1266" spans="37:37" ht="15.75" customHeight="1" x14ac:dyDescent="0.15">
      <c r="AK1266" s="2">
        <v>566.38555908203125</v>
      </c>
    </row>
    <row r="1267" spans="37:37" ht="15.75" customHeight="1" x14ac:dyDescent="0.15">
      <c r="AK1267" s="2">
        <v>564.5594482421875</v>
      </c>
    </row>
    <row r="1268" spans="37:37" ht="15.75" customHeight="1" x14ac:dyDescent="0.15">
      <c r="AK1268" s="2">
        <v>562.73333740234375</v>
      </c>
    </row>
    <row r="1269" spans="37:37" ht="15.75" customHeight="1" x14ac:dyDescent="0.15">
      <c r="AK1269" s="2">
        <v>560.90740966796875</v>
      </c>
    </row>
    <row r="1270" spans="37:37" ht="15.75" customHeight="1" x14ac:dyDescent="0.15">
      <c r="AK1270" s="2">
        <v>559.081298828125</v>
      </c>
    </row>
    <row r="1271" spans="37:37" ht="15.75" customHeight="1" x14ac:dyDescent="0.15">
      <c r="AK1271" s="2">
        <v>557.255126953125</v>
      </c>
    </row>
    <row r="1272" spans="37:37" ht="15.75" customHeight="1" x14ac:dyDescent="0.15">
      <c r="AK1272" s="2">
        <v>555.4290771484375</v>
      </c>
    </row>
    <row r="1273" spans="37:37" ht="15.75" customHeight="1" x14ac:dyDescent="0.15">
      <c r="AK1273" s="2">
        <v>553.60296630859375</v>
      </c>
    </row>
    <row r="1274" spans="37:37" ht="15.75" customHeight="1" x14ac:dyDescent="0.15">
      <c r="AK1274" s="2">
        <v>551.7769775390625</v>
      </c>
    </row>
    <row r="1275" spans="37:37" ht="15.75" customHeight="1" x14ac:dyDescent="0.15">
      <c r="AK1275" s="2">
        <v>549.95086669921875</v>
      </c>
    </row>
    <row r="1276" spans="37:37" ht="15.75" customHeight="1" x14ac:dyDescent="0.15">
      <c r="AK1276" s="2">
        <v>537.5146484375</v>
      </c>
    </row>
    <row r="1277" spans="37:37" ht="15.75" customHeight="1" x14ac:dyDescent="0.15">
      <c r="AK1277" s="2">
        <v>537.38623046875</v>
      </c>
    </row>
    <row r="1278" spans="37:37" ht="15.75" customHeight="1" x14ac:dyDescent="0.15">
      <c r="AK1278" s="2">
        <v>537.2576904296875</v>
      </c>
    </row>
    <row r="1279" spans="37:37" ht="15.75" customHeight="1" x14ac:dyDescent="0.15">
      <c r="AK1279" s="2">
        <v>537.1292724609375</v>
      </c>
    </row>
    <row r="1280" spans="37:37" ht="15.75" customHeight="1" x14ac:dyDescent="0.15">
      <c r="AK1280" s="2">
        <v>537.0008544921875</v>
      </c>
    </row>
    <row r="1281" spans="37:37" ht="15.75" customHeight="1" x14ac:dyDescent="0.15">
      <c r="AK1281" s="2">
        <v>536.872314453125</v>
      </c>
    </row>
    <row r="1282" spans="37:37" ht="15.75" customHeight="1" x14ac:dyDescent="0.15">
      <c r="AK1282" s="2">
        <v>536.74383544921875</v>
      </c>
    </row>
    <row r="1283" spans="37:37" ht="15.75" customHeight="1" x14ac:dyDescent="0.15">
      <c r="AK1283" s="2">
        <v>536.6153564453125</v>
      </c>
    </row>
    <row r="1284" spans="37:37" ht="15.75" customHeight="1" x14ac:dyDescent="0.15">
      <c r="AK1284" s="2">
        <v>536.48699951171875</v>
      </c>
    </row>
    <row r="1285" spans="37:37" ht="15.75" customHeight="1" x14ac:dyDescent="0.15">
      <c r="AK1285" s="2">
        <v>536.35845947265625</v>
      </c>
    </row>
    <row r="1286" spans="37:37" ht="15.75" customHeight="1" x14ac:dyDescent="0.15">
      <c r="AK1286" s="2">
        <v>536.23004150390625</v>
      </c>
    </row>
    <row r="1287" spans="37:37" ht="15.75" customHeight="1" x14ac:dyDescent="0.15">
      <c r="AK1287" s="2">
        <v>536.10150146484375</v>
      </c>
    </row>
    <row r="1288" spans="37:37" ht="15.75" customHeight="1" x14ac:dyDescent="0.15">
      <c r="AK1288" s="2">
        <v>535.9730224609375</v>
      </c>
    </row>
    <row r="1289" spans="37:37" ht="15.75" customHeight="1" x14ac:dyDescent="0.15">
      <c r="AK1289" s="2">
        <v>535.84466552734375</v>
      </c>
    </row>
    <row r="1290" spans="37:37" ht="15.75" customHeight="1" x14ac:dyDescent="0.15">
      <c r="AK1290" s="2">
        <v>535.71612548828125</v>
      </c>
    </row>
    <row r="1291" spans="37:37" ht="15.75" customHeight="1" x14ac:dyDescent="0.15">
      <c r="AK1291" s="2">
        <v>535.58770751953125</v>
      </c>
    </row>
    <row r="1292" spans="37:37" ht="15.75" customHeight="1" x14ac:dyDescent="0.15">
      <c r="AK1292" s="2">
        <v>535.45916748046875</v>
      </c>
    </row>
    <row r="1293" spans="37:37" ht="15.75" customHeight="1" x14ac:dyDescent="0.15">
      <c r="AK1293" s="2">
        <v>535.33062744140625</v>
      </c>
    </row>
    <row r="1294" spans="37:37" ht="15.75" customHeight="1" x14ac:dyDescent="0.15">
      <c r="AK1294" s="2">
        <v>535.20233154296875</v>
      </c>
    </row>
    <row r="1295" spans="37:37" ht="15.75" customHeight="1" x14ac:dyDescent="0.15">
      <c r="AK1295" s="2">
        <v>535.0738525390625</v>
      </c>
    </row>
    <row r="1296" spans="37:37" ht="15.75" customHeight="1" x14ac:dyDescent="0.15">
      <c r="AK1296" s="2">
        <v>534.9453125</v>
      </c>
    </row>
    <row r="1297" spans="37:37" ht="15.75" customHeight="1" x14ac:dyDescent="0.15">
      <c r="AK1297" s="2">
        <v>534.81683349609375</v>
      </c>
    </row>
    <row r="1298" spans="37:37" ht="15.75" customHeight="1" x14ac:dyDescent="0.15">
      <c r="AK1298" s="2">
        <v>534.68829345703125</v>
      </c>
    </row>
    <row r="1299" spans="37:37" ht="15.75" customHeight="1" x14ac:dyDescent="0.15">
      <c r="AK1299" s="2">
        <v>534.55999755859375</v>
      </c>
    </row>
    <row r="1300" spans="37:37" ht="15.75" customHeight="1" x14ac:dyDescent="0.15">
      <c r="AK1300" s="2">
        <v>534.43145751953125</v>
      </c>
    </row>
    <row r="1301" spans="37:37" ht="15.75" customHeight="1" x14ac:dyDescent="0.15">
      <c r="AK1301" s="2">
        <v>534.302978515625</v>
      </c>
    </row>
    <row r="1302" spans="37:37" ht="15.75" customHeight="1" x14ac:dyDescent="0.15">
      <c r="AK1302" s="2">
        <v>534.17449951171875</v>
      </c>
    </row>
    <row r="1303" spans="37:37" ht="15.75" customHeight="1" x14ac:dyDescent="0.15">
      <c r="AK1303" s="2">
        <v>550.4783935546875</v>
      </c>
    </row>
    <row r="1304" spans="37:37" ht="15.75" customHeight="1" x14ac:dyDescent="0.15">
      <c r="AK1304" s="2">
        <v>553.80950927734375</v>
      </c>
    </row>
    <row r="1305" spans="37:37" ht="15.75" customHeight="1" x14ac:dyDescent="0.15">
      <c r="AK1305" s="2">
        <v>557.1405029296875</v>
      </c>
    </row>
    <row r="1306" spans="37:37" ht="15.75" customHeight="1" x14ac:dyDescent="0.15">
      <c r="AK1306" s="2">
        <v>560.471435546875</v>
      </c>
    </row>
    <row r="1307" spans="37:37" ht="15.75" customHeight="1" x14ac:dyDescent="0.15">
      <c r="AK1307" s="2">
        <v>563.80242919921875</v>
      </c>
    </row>
    <row r="1308" spans="37:37" ht="15.75" customHeight="1" x14ac:dyDescent="0.15">
      <c r="AK1308" s="2">
        <v>567.1334228515625</v>
      </c>
    </row>
    <row r="1309" spans="37:37" ht="15.75" customHeight="1" x14ac:dyDescent="0.15">
      <c r="AK1309" s="2">
        <v>570.4644775390625</v>
      </c>
    </row>
    <row r="1310" spans="37:37" ht="15.75" customHeight="1" x14ac:dyDescent="0.15">
      <c r="AK1310" s="2">
        <v>573.79541015625</v>
      </c>
    </row>
    <row r="1311" spans="37:37" ht="15.75" customHeight="1" x14ac:dyDescent="0.15">
      <c r="AK1311" s="2">
        <v>577.12640380859375</v>
      </c>
    </row>
    <row r="1312" spans="37:37" ht="15.75" customHeight="1" x14ac:dyDescent="0.15">
      <c r="AK1312" s="2">
        <v>580.4573974609375</v>
      </c>
    </row>
    <row r="1313" spans="37:37" ht="15.75" customHeight="1" x14ac:dyDescent="0.15">
      <c r="AK1313" s="2">
        <v>583.78839111328125</v>
      </c>
    </row>
    <row r="1314" spans="37:37" ht="15.75" customHeight="1" x14ac:dyDescent="0.15">
      <c r="AK1314" s="2">
        <v>587.11944580078125</v>
      </c>
    </row>
    <row r="1315" spans="37:37" ht="15.75" customHeight="1" x14ac:dyDescent="0.15">
      <c r="AK1315" s="2">
        <v>590.45037841796875</v>
      </c>
    </row>
    <row r="1316" spans="37:37" ht="15.75" customHeight="1" x14ac:dyDescent="0.15">
      <c r="AK1316" s="2">
        <v>593.7813720703125</v>
      </c>
    </row>
    <row r="1317" spans="37:37" ht="15.75" customHeight="1" x14ac:dyDescent="0.15">
      <c r="AK1317" s="2">
        <v>597.11236572265625</v>
      </c>
    </row>
    <row r="1318" spans="37:37" ht="15.75" customHeight="1" x14ac:dyDescent="0.15">
      <c r="AK1318" s="2">
        <v>600.44329833984375</v>
      </c>
    </row>
    <row r="1319" spans="37:37" ht="15.75" customHeight="1" x14ac:dyDescent="0.15">
      <c r="AK1319" s="2">
        <v>603.77435302734375</v>
      </c>
    </row>
    <row r="1320" spans="37:37" ht="15.75" customHeight="1" x14ac:dyDescent="0.15">
      <c r="AK1320" s="2">
        <v>607.1053466796875</v>
      </c>
    </row>
    <row r="1321" spans="37:37" ht="15.75" customHeight="1" x14ac:dyDescent="0.15">
      <c r="AK1321" s="2">
        <v>610.436279296875</v>
      </c>
    </row>
    <row r="1322" spans="37:37" ht="15.75" customHeight="1" x14ac:dyDescent="0.15">
      <c r="AK1322" s="2">
        <v>613.767333984375</v>
      </c>
    </row>
    <row r="1323" spans="37:37" ht="15.75" customHeight="1" x14ac:dyDescent="0.15">
      <c r="AK1323" s="2">
        <v>617.0982666015625</v>
      </c>
    </row>
    <row r="1324" spans="37:37" ht="15.75" customHeight="1" x14ac:dyDescent="0.15">
      <c r="AK1324" s="2">
        <v>620.42938232421875</v>
      </c>
    </row>
    <row r="1325" spans="37:37" ht="15.75" customHeight="1" x14ac:dyDescent="0.15">
      <c r="AK1325" s="2">
        <v>623.76025390625</v>
      </c>
    </row>
    <row r="1326" spans="37:37" ht="15.75" customHeight="1" x14ac:dyDescent="0.15">
      <c r="AK1326" s="2">
        <v>627.09130859375</v>
      </c>
    </row>
    <row r="1327" spans="37:37" ht="15.75" customHeight="1" x14ac:dyDescent="0.15">
      <c r="AK1327" s="2">
        <v>630.42230224609375</v>
      </c>
    </row>
    <row r="1328" spans="37:37" ht="15.75" customHeight="1" x14ac:dyDescent="0.15">
      <c r="AK1328" s="2">
        <v>650.18560791015625</v>
      </c>
    </row>
    <row r="1329" spans="37:37" ht="15.75" customHeight="1" x14ac:dyDescent="0.15">
      <c r="AK1329" s="2">
        <v>656.97613525390625</v>
      </c>
    </row>
    <row r="1330" spans="37:37" ht="15.75" customHeight="1" x14ac:dyDescent="0.15">
      <c r="AK1330" s="2">
        <v>663.7666015625</v>
      </c>
    </row>
    <row r="1331" spans="37:37" ht="15.75" customHeight="1" x14ac:dyDescent="0.15">
      <c r="AK1331" s="2">
        <v>670.5570068359375</v>
      </c>
    </row>
    <row r="1332" spans="37:37" ht="15.75" customHeight="1" x14ac:dyDescent="0.15">
      <c r="AK1332" s="2">
        <v>677.34747314453125</v>
      </c>
    </row>
    <row r="1333" spans="37:37" ht="15.75" customHeight="1" x14ac:dyDescent="0.15">
      <c r="AK1333" s="2">
        <v>684.137939453125</v>
      </c>
    </row>
    <row r="1334" spans="37:37" ht="15.75" customHeight="1" x14ac:dyDescent="0.15">
      <c r="AK1334" s="2">
        <v>690.9283447265625</v>
      </c>
    </row>
    <row r="1335" spans="37:37" ht="15.75" customHeight="1" x14ac:dyDescent="0.15">
      <c r="AK1335" s="2">
        <v>697.71881103515625</v>
      </c>
    </row>
    <row r="1336" spans="37:37" ht="15.75" customHeight="1" x14ac:dyDescent="0.15">
      <c r="AK1336" s="2">
        <v>704.50933837890625</v>
      </c>
    </row>
    <row r="1337" spans="37:37" ht="15.75" customHeight="1" x14ac:dyDescent="0.15">
      <c r="AK1337" s="2">
        <v>711.29974365234375</v>
      </c>
    </row>
    <row r="1338" spans="37:37" ht="15.75" customHeight="1" x14ac:dyDescent="0.15">
      <c r="AK1338" s="2">
        <v>718.0902099609375</v>
      </c>
    </row>
    <row r="1339" spans="37:37" ht="15.75" customHeight="1" x14ac:dyDescent="0.15">
      <c r="AK1339" s="2">
        <v>724.880615234375</v>
      </c>
    </row>
    <row r="1340" spans="37:37" ht="15.75" customHeight="1" x14ac:dyDescent="0.15">
      <c r="AK1340" s="2">
        <v>731.6710205078125</v>
      </c>
    </row>
    <row r="1341" spans="37:37" ht="15.75" customHeight="1" x14ac:dyDescent="0.15">
      <c r="AK1341" s="2">
        <v>738.46148681640625</v>
      </c>
    </row>
    <row r="1342" spans="37:37" ht="15.75" customHeight="1" x14ac:dyDescent="0.15">
      <c r="AK1342" s="2">
        <v>745.25201416015625</v>
      </c>
    </row>
    <row r="1343" spans="37:37" ht="15.75" customHeight="1" x14ac:dyDescent="0.15">
      <c r="AK1343" s="2">
        <v>752.04241943359375</v>
      </c>
    </row>
    <row r="1344" spans="37:37" ht="15.75" customHeight="1" x14ac:dyDescent="0.15">
      <c r="AK1344" s="2">
        <v>758.83282470703125</v>
      </c>
    </row>
    <row r="1345" spans="37:37" ht="15.75" customHeight="1" x14ac:dyDescent="0.15">
      <c r="AK1345" s="2">
        <v>765.62335205078125</v>
      </c>
    </row>
    <row r="1346" spans="37:37" ht="15.75" customHeight="1" x14ac:dyDescent="0.15">
      <c r="AK1346" s="2">
        <v>772.413818359375</v>
      </c>
    </row>
    <row r="1347" spans="37:37" ht="15.75" customHeight="1" x14ac:dyDescent="0.15">
      <c r="AK1347" s="2">
        <v>779.2042236328125</v>
      </c>
    </row>
    <row r="1348" spans="37:37" ht="15.75" customHeight="1" x14ac:dyDescent="0.15">
      <c r="AK1348" s="2">
        <v>785.99468994140625</v>
      </c>
    </row>
    <row r="1349" spans="37:37" ht="15.75" customHeight="1" x14ac:dyDescent="0.15">
      <c r="AK1349" s="2">
        <v>792.78515625</v>
      </c>
    </row>
    <row r="1350" spans="37:37" ht="15.75" customHeight="1" x14ac:dyDescent="0.15">
      <c r="AK1350" s="2">
        <v>799.5755615234375</v>
      </c>
    </row>
    <row r="1351" spans="37:37" ht="15.75" customHeight="1" x14ac:dyDescent="0.15">
      <c r="AK1351" s="2">
        <v>806.36602783203125</v>
      </c>
    </row>
    <row r="1352" spans="37:37" ht="15.75" customHeight="1" x14ac:dyDescent="0.15">
      <c r="AK1352" s="2">
        <v>813.15655517578125</v>
      </c>
    </row>
    <row r="1353" spans="37:37" ht="15.75" customHeight="1" x14ac:dyDescent="0.15">
      <c r="AK1353" s="2">
        <v>819.9468994140625</v>
      </c>
    </row>
    <row r="1354" spans="37:37" ht="15.75" customHeight="1" x14ac:dyDescent="0.15">
      <c r="AK1354" s="2">
        <v>826.73736572265625</v>
      </c>
    </row>
    <row r="1355" spans="37:37" ht="15.75" customHeight="1" x14ac:dyDescent="0.15">
      <c r="AK1355" s="2">
        <v>833.52783203125</v>
      </c>
    </row>
    <row r="1356" spans="37:37" ht="15.75" customHeight="1" x14ac:dyDescent="0.15">
      <c r="AK1356" s="2">
        <v>840.31829833984375</v>
      </c>
    </row>
    <row r="1357" spans="37:37" ht="15.75" customHeight="1" x14ac:dyDescent="0.15">
      <c r="AK1357" s="2">
        <v>847.1087646484375</v>
      </c>
    </row>
    <row r="1358" spans="37:37" ht="15.75" customHeight="1" x14ac:dyDescent="0.15">
      <c r="AK1358" s="2">
        <v>853.89923095703125</v>
      </c>
    </row>
    <row r="1359" spans="37:37" ht="15.75" customHeight="1" x14ac:dyDescent="0.15">
      <c r="AK1359" s="2">
        <v>860.689697265625</v>
      </c>
    </row>
    <row r="1360" spans="37:37" ht="15.75" customHeight="1" x14ac:dyDescent="0.15">
      <c r="AK1360" s="2">
        <v>867.48004150390625</v>
      </c>
    </row>
    <row r="1361" spans="37:37" ht="15.75" customHeight="1" x14ac:dyDescent="0.15">
      <c r="AK1361" s="2">
        <v>874.27056884765625</v>
      </c>
    </row>
    <row r="1362" spans="37:37" ht="15.75" customHeight="1" x14ac:dyDescent="0.15">
      <c r="AK1362" s="2">
        <v>881.06103515625</v>
      </c>
    </row>
    <row r="1363" spans="37:37" ht="15.75" customHeight="1" x14ac:dyDescent="0.15">
      <c r="AK1363" s="2">
        <v>887.8514404296875</v>
      </c>
    </row>
    <row r="1364" spans="37:37" ht="15.75" customHeight="1" x14ac:dyDescent="0.15">
      <c r="AK1364" s="2">
        <v>894.641845703125</v>
      </c>
    </row>
    <row r="1365" spans="37:37" ht="15.75" customHeight="1" x14ac:dyDescent="0.15">
      <c r="AK1365" s="2">
        <v>901.4322509765625</v>
      </c>
    </row>
    <row r="1366" spans="37:37" ht="15.75" customHeight="1" x14ac:dyDescent="0.15">
      <c r="AK1366" s="2">
        <v>908.2227783203125</v>
      </c>
    </row>
    <row r="1367" spans="37:37" ht="15.75" customHeight="1" x14ac:dyDescent="0.15">
      <c r="AK1367" s="2">
        <v>915.01324462890625</v>
      </c>
    </row>
    <row r="1368" spans="37:37" ht="15.75" customHeight="1" x14ac:dyDescent="0.15">
      <c r="AK1368" s="2">
        <v>921.8037109375</v>
      </c>
    </row>
    <row r="1369" spans="37:37" ht="15.75" customHeight="1" x14ac:dyDescent="0.15">
      <c r="AK1369" s="2">
        <v>928.59405517578125</v>
      </c>
    </row>
    <row r="1370" spans="37:37" ht="15.75" customHeight="1" x14ac:dyDescent="0.15">
      <c r="AK1370" s="2">
        <v>935.38458251953125</v>
      </c>
    </row>
    <row r="1371" spans="37:37" ht="15.75" customHeight="1" x14ac:dyDescent="0.15">
      <c r="AK1371" s="2">
        <v>942.175048828125</v>
      </c>
    </row>
    <row r="1372" spans="37:37" ht="15.75" customHeight="1" x14ac:dyDescent="0.15">
      <c r="AK1372" s="2">
        <v>948.965576171875</v>
      </c>
    </row>
    <row r="1373" spans="37:37" ht="15.75" customHeight="1" x14ac:dyDescent="0.15">
      <c r="AK1373" s="2">
        <v>955.7559814453125</v>
      </c>
    </row>
    <row r="1374" spans="37:37" ht="15.75" customHeight="1" x14ac:dyDescent="0.15">
      <c r="AK1374" s="2">
        <v>962.54638671875</v>
      </c>
    </row>
    <row r="1375" spans="37:37" ht="15.75" customHeight="1" x14ac:dyDescent="0.15">
      <c r="AK1375" s="2">
        <v>969.33685302734375</v>
      </c>
    </row>
    <row r="1376" spans="37:37" ht="15.75" customHeight="1" x14ac:dyDescent="0.15">
      <c r="AK1376" s="2">
        <v>976.12725830078125</v>
      </c>
    </row>
    <row r="1377" spans="37:37" ht="15.75" customHeight="1" x14ac:dyDescent="0.15">
      <c r="AK1377" s="2">
        <v>985.28070068359375</v>
      </c>
    </row>
    <row r="1378" spans="37:37" ht="15.75" customHeight="1" x14ac:dyDescent="0.15">
      <c r="AK1378" s="2">
        <v>986.91400146484375</v>
      </c>
    </row>
    <row r="1379" spans="37:37" ht="15.75" customHeight="1" x14ac:dyDescent="0.15">
      <c r="AK1379" s="2">
        <v>988.5474853515625</v>
      </c>
    </row>
    <row r="1380" spans="37:37" ht="15.75" customHeight="1" x14ac:dyDescent="0.15">
      <c r="AK1380" s="2">
        <v>990.1807861328125</v>
      </c>
    </row>
    <row r="1381" spans="37:37" ht="15.75" customHeight="1" x14ac:dyDescent="0.15">
      <c r="AK1381" s="2">
        <v>991.814208984375</v>
      </c>
    </row>
    <row r="1382" spans="37:37" ht="15.75" customHeight="1" x14ac:dyDescent="0.15">
      <c r="AK1382" s="2">
        <v>993.4476318359375</v>
      </c>
    </row>
    <row r="1383" spans="37:37" ht="15.75" customHeight="1" x14ac:dyDescent="0.15">
      <c r="AK1383" s="2">
        <v>995.0809326171875</v>
      </c>
    </row>
    <row r="1384" spans="37:37" ht="15.75" customHeight="1" x14ac:dyDescent="0.15">
      <c r="AK1384" s="2">
        <v>996.71435546875</v>
      </c>
    </row>
    <row r="1385" spans="37:37" ht="15.75" customHeight="1" x14ac:dyDescent="0.15">
      <c r="AK1385" s="2">
        <v>998.34765625</v>
      </c>
    </row>
    <row r="1386" spans="37:37" ht="15.75" customHeight="1" x14ac:dyDescent="0.15">
      <c r="AK1386" s="2">
        <v>999.9810791015625</v>
      </c>
    </row>
    <row r="1387" spans="37:37" ht="15.75" customHeight="1" x14ac:dyDescent="0.15">
      <c r="AK1387" s="2">
        <v>1001.614501953125</v>
      </c>
    </row>
    <row r="1388" spans="37:37" ht="15.75" customHeight="1" x14ac:dyDescent="0.15">
      <c r="AK1388" s="2">
        <v>1003.247802734375</v>
      </c>
    </row>
    <row r="1389" spans="37:37" ht="15.75" customHeight="1" x14ac:dyDescent="0.15">
      <c r="AK1389" s="2">
        <v>1004.8812255859375</v>
      </c>
    </row>
    <row r="1390" spans="37:37" ht="15.75" customHeight="1" x14ac:dyDescent="0.15">
      <c r="AK1390" s="2">
        <v>1006.5145263671875</v>
      </c>
    </row>
    <row r="1391" spans="37:37" ht="15.75" customHeight="1" x14ac:dyDescent="0.15">
      <c r="AK1391" s="2">
        <v>1008.14794921875</v>
      </c>
    </row>
    <row r="1392" spans="37:37" ht="15.75" customHeight="1" x14ac:dyDescent="0.15">
      <c r="AK1392" s="2">
        <v>1009.7813720703125</v>
      </c>
    </row>
    <row r="1393" spans="37:37" ht="15.75" customHeight="1" x14ac:dyDescent="0.15">
      <c r="AK1393" s="2">
        <v>1011.4146728515625</v>
      </c>
    </row>
    <row r="1394" spans="37:37" ht="15.75" customHeight="1" x14ac:dyDescent="0.15">
      <c r="AK1394" s="2">
        <v>1013.048095703125</v>
      </c>
    </row>
    <row r="1395" spans="37:37" ht="15.75" customHeight="1" x14ac:dyDescent="0.15">
      <c r="AK1395" s="2">
        <v>1014.6815185546875</v>
      </c>
    </row>
    <row r="1396" spans="37:37" ht="15.75" customHeight="1" x14ac:dyDescent="0.15">
      <c r="AK1396" s="2">
        <v>1016.3148193359375</v>
      </c>
    </row>
    <row r="1397" spans="37:37" ht="15.75" customHeight="1" x14ac:dyDescent="0.15">
      <c r="AK1397" s="2">
        <v>1017.9482421875</v>
      </c>
    </row>
    <row r="1398" spans="37:37" ht="15.75" customHeight="1" x14ac:dyDescent="0.15">
      <c r="AK1398" s="2">
        <v>1019.58154296875</v>
      </c>
    </row>
    <row r="1399" spans="37:37" ht="15.75" customHeight="1" x14ac:dyDescent="0.15">
      <c r="AK1399" s="2">
        <v>1021.2149658203125</v>
      </c>
    </row>
    <row r="1400" spans="37:37" ht="15.75" customHeight="1" x14ac:dyDescent="0.15">
      <c r="AK1400" s="2">
        <v>1022.848388671875</v>
      </c>
    </row>
    <row r="1401" spans="37:37" ht="15.75" customHeight="1" x14ac:dyDescent="0.15">
      <c r="AK1401" s="2">
        <v>1024.481689453125</v>
      </c>
    </row>
    <row r="1402" spans="37:37" ht="15.75" customHeight="1" x14ac:dyDescent="0.15">
      <c r="AK1402" s="2">
        <v>1028.47802734375</v>
      </c>
    </row>
    <row r="1403" spans="37:37" ht="15.75" customHeight="1" x14ac:dyDescent="0.15">
      <c r="AK1403" s="2">
        <v>1024.954345703125</v>
      </c>
    </row>
    <row r="1404" spans="37:37" ht="15.75" customHeight="1" x14ac:dyDescent="0.15">
      <c r="AK1404" s="2">
        <v>1021.4307250976563</v>
      </c>
    </row>
    <row r="1405" spans="37:37" ht="15.75" customHeight="1" x14ac:dyDescent="0.15">
      <c r="AK1405" s="2">
        <v>1017.906982421875</v>
      </c>
    </row>
    <row r="1406" spans="37:37" ht="15.75" customHeight="1" x14ac:dyDescent="0.15">
      <c r="AK1406" s="2">
        <v>1014.38330078125</v>
      </c>
    </row>
    <row r="1407" spans="37:37" ht="15.75" customHeight="1" x14ac:dyDescent="0.15">
      <c r="AK1407" s="2">
        <v>1010.8595581054688</v>
      </c>
    </row>
    <row r="1408" spans="37:37" ht="15.75" customHeight="1" x14ac:dyDescent="0.15">
      <c r="AK1408" s="2">
        <v>1007.3358154296875</v>
      </c>
    </row>
    <row r="1409" spans="37:37" ht="15.75" customHeight="1" x14ac:dyDescent="0.15">
      <c r="AK1409" s="2">
        <v>1003.812255859375</v>
      </c>
    </row>
    <row r="1410" spans="37:37" ht="15.75" customHeight="1" x14ac:dyDescent="0.15">
      <c r="AK1410" s="2">
        <v>1000.2885131835938</v>
      </c>
    </row>
    <row r="1411" spans="37:37" ht="15.75" customHeight="1" x14ac:dyDescent="0.15">
      <c r="AK1411" s="2">
        <v>996.76483154296875</v>
      </c>
    </row>
    <row r="1412" spans="37:37" ht="15.75" customHeight="1" x14ac:dyDescent="0.15">
      <c r="AK1412" s="2">
        <v>993.2410888671875</v>
      </c>
    </row>
    <row r="1413" spans="37:37" ht="15.75" customHeight="1" x14ac:dyDescent="0.15">
      <c r="AK1413" s="2">
        <v>989.7174072265625</v>
      </c>
    </row>
    <row r="1414" spans="37:37" ht="15.75" customHeight="1" x14ac:dyDescent="0.15">
      <c r="AK1414" s="2">
        <v>986.1937255859375</v>
      </c>
    </row>
    <row r="1415" spans="37:37" ht="15.75" customHeight="1" x14ac:dyDescent="0.15">
      <c r="AK1415" s="2">
        <v>982.6700439453125</v>
      </c>
    </row>
    <row r="1416" spans="37:37" ht="15.75" customHeight="1" x14ac:dyDescent="0.15">
      <c r="AK1416" s="2">
        <v>979.14630126953125</v>
      </c>
    </row>
    <row r="1417" spans="37:37" ht="15.75" customHeight="1" x14ac:dyDescent="0.15">
      <c r="AK1417" s="2">
        <v>975.62261962890625</v>
      </c>
    </row>
    <row r="1418" spans="37:37" ht="15.75" customHeight="1" x14ac:dyDescent="0.15">
      <c r="AK1418" s="2">
        <v>972.098876953125</v>
      </c>
    </row>
    <row r="1419" spans="37:37" ht="15.75" customHeight="1" x14ac:dyDescent="0.15">
      <c r="AK1419" s="2">
        <v>968.5753173828125</v>
      </c>
    </row>
    <row r="1420" spans="37:37" ht="15.75" customHeight="1" x14ac:dyDescent="0.15">
      <c r="AK1420" s="2">
        <v>965.0516357421875</v>
      </c>
    </row>
    <row r="1421" spans="37:37" ht="15.75" customHeight="1" x14ac:dyDescent="0.15">
      <c r="AK1421" s="2">
        <v>961.52783203125</v>
      </c>
    </row>
    <row r="1422" spans="37:37" ht="15.75" customHeight="1" x14ac:dyDescent="0.15">
      <c r="AK1422" s="2">
        <v>958.004150390625</v>
      </c>
    </row>
    <row r="1423" spans="37:37" ht="15.75" customHeight="1" x14ac:dyDescent="0.15">
      <c r="AK1423" s="2">
        <v>954.48046875</v>
      </c>
    </row>
    <row r="1424" spans="37:37" ht="15.75" customHeight="1" x14ac:dyDescent="0.15">
      <c r="AK1424" s="2">
        <v>950.956787109375</v>
      </c>
    </row>
    <row r="1425" spans="37:37" ht="15.75" customHeight="1" x14ac:dyDescent="0.15">
      <c r="AK1425" s="2">
        <v>947.43310546875</v>
      </c>
    </row>
    <row r="1426" spans="37:37" ht="15.75" customHeight="1" x14ac:dyDescent="0.15">
      <c r="AK1426" s="2">
        <v>933.29931640625</v>
      </c>
    </row>
    <row r="1427" spans="37:37" ht="15.75" customHeight="1" x14ac:dyDescent="0.15">
      <c r="AK1427" s="2">
        <v>931.4732666015625</v>
      </c>
    </row>
    <row r="1428" spans="37:37" ht="15.75" customHeight="1" x14ac:dyDescent="0.15">
      <c r="AK1428" s="2">
        <v>929.6470947265625</v>
      </c>
    </row>
    <row r="1429" spans="37:37" ht="15.75" customHeight="1" x14ac:dyDescent="0.15">
      <c r="AK1429" s="2">
        <v>927.8211669921875</v>
      </c>
    </row>
    <row r="1430" spans="37:37" ht="15.75" customHeight="1" x14ac:dyDescent="0.15">
      <c r="AK1430" s="2">
        <v>925.9949951171875</v>
      </c>
    </row>
    <row r="1431" spans="37:37" ht="15.75" customHeight="1" x14ac:dyDescent="0.15">
      <c r="AK1431" s="2">
        <v>924.1689453125</v>
      </c>
    </row>
    <row r="1432" spans="37:37" ht="15.75" customHeight="1" x14ac:dyDescent="0.15">
      <c r="AK1432" s="2">
        <v>922.3428955078125</v>
      </c>
    </row>
    <row r="1433" spans="37:37" ht="15.75" customHeight="1" x14ac:dyDescent="0.15">
      <c r="AK1433" s="2">
        <v>920.5167236328125</v>
      </c>
    </row>
    <row r="1434" spans="37:37" ht="15.75" customHeight="1" x14ac:dyDescent="0.15">
      <c r="AK1434" s="2">
        <v>918.69073486328125</v>
      </c>
    </row>
    <row r="1435" spans="37:37" ht="15.75" customHeight="1" x14ac:dyDescent="0.15">
      <c r="AK1435" s="2">
        <v>916.8646240234375</v>
      </c>
    </row>
    <row r="1436" spans="37:37" ht="15.75" customHeight="1" x14ac:dyDescent="0.15">
      <c r="AK1436" s="2">
        <v>915.03851318359375</v>
      </c>
    </row>
    <row r="1437" spans="37:37" ht="15.75" customHeight="1" x14ac:dyDescent="0.15">
      <c r="AK1437" s="2">
        <v>913.21240234375</v>
      </c>
    </row>
    <row r="1438" spans="37:37" ht="15.75" customHeight="1" x14ac:dyDescent="0.15">
      <c r="AK1438" s="2">
        <v>911.3863525390625</v>
      </c>
    </row>
    <row r="1439" spans="37:37" ht="15.75" customHeight="1" x14ac:dyDescent="0.15">
      <c r="AK1439" s="2">
        <v>909.56024169921875</v>
      </c>
    </row>
    <row r="1440" spans="37:37" ht="15.75" customHeight="1" x14ac:dyDescent="0.15">
      <c r="AK1440" s="2">
        <v>907.73419189453125</v>
      </c>
    </row>
    <row r="1441" spans="37:37" ht="15.75" customHeight="1" x14ac:dyDescent="0.15">
      <c r="AK1441" s="2">
        <v>905.90814208984375</v>
      </c>
    </row>
    <row r="1442" spans="37:37" ht="15.75" customHeight="1" x14ac:dyDescent="0.15">
      <c r="AK1442" s="2">
        <v>904.08197021484375</v>
      </c>
    </row>
    <row r="1443" spans="37:37" ht="15.75" customHeight="1" x14ac:dyDescent="0.15">
      <c r="AK1443" s="2">
        <v>902.25592041015625</v>
      </c>
    </row>
    <row r="1444" spans="37:37" ht="15.75" customHeight="1" x14ac:dyDescent="0.15">
      <c r="AK1444" s="2">
        <v>900.429931640625</v>
      </c>
    </row>
    <row r="1445" spans="37:37" ht="15.75" customHeight="1" x14ac:dyDescent="0.15">
      <c r="AK1445" s="2">
        <v>898.6038818359375</v>
      </c>
    </row>
    <row r="1446" spans="37:37" ht="15.75" customHeight="1" x14ac:dyDescent="0.15">
      <c r="AK1446" s="2">
        <v>896.7777099609375</v>
      </c>
    </row>
    <row r="1447" spans="37:37" ht="15.75" customHeight="1" x14ac:dyDescent="0.15">
      <c r="AK1447" s="2">
        <v>894.95166015625</v>
      </c>
    </row>
    <row r="1448" spans="37:37" ht="15.75" customHeight="1" x14ac:dyDescent="0.15">
      <c r="AK1448" s="2">
        <v>893.1256103515625</v>
      </c>
    </row>
    <row r="1449" spans="37:37" ht="15.75" customHeight="1" x14ac:dyDescent="0.15">
      <c r="AK1449" s="2">
        <v>891.2994384765625</v>
      </c>
    </row>
    <row r="1450" spans="37:37" ht="15.75" customHeight="1" x14ac:dyDescent="0.15">
      <c r="AK1450" s="2">
        <v>889.473388671875</v>
      </c>
    </row>
    <row r="1451" spans="37:37" ht="15.75" customHeight="1" x14ac:dyDescent="0.15">
      <c r="AK1451" s="2">
        <v>877.0372314453125</v>
      </c>
    </row>
    <row r="1452" spans="37:37" ht="15.75" customHeight="1" x14ac:dyDescent="0.15">
      <c r="AK1452" s="2">
        <v>879.2716064453125</v>
      </c>
    </row>
    <row r="1453" spans="37:37" ht="15.75" customHeight="1" x14ac:dyDescent="0.15">
      <c r="AK1453" s="2">
        <v>873.98602294921875</v>
      </c>
    </row>
    <row r="1454" spans="37:37" ht="15.75" customHeight="1" x14ac:dyDescent="0.15">
      <c r="AK1454" s="2">
        <v>868.70068359375</v>
      </c>
    </row>
    <row r="1455" spans="37:37" ht="15.75" customHeight="1" x14ac:dyDescent="0.15">
      <c r="AK1455" s="2">
        <v>863.4150390625</v>
      </c>
    </row>
    <row r="1456" spans="37:37" ht="15.75" customHeight="1" x14ac:dyDescent="0.15">
      <c r="AK1456" s="2">
        <v>858.1295166015625</v>
      </c>
    </row>
    <row r="1457" spans="37:37" ht="15.75" customHeight="1" x14ac:dyDescent="0.15">
      <c r="AK1457" s="2">
        <v>852.84393310546875</v>
      </c>
    </row>
    <row r="1458" spans="37:37" ht="15.75" customHeight="1" x14ac:dyDescent="0.15">
      <c r="AK1458" s="2">
        <v>847.558349609375</v>
      </c>
    </row>
    <row r="1459" spans="37:37" ht="15.75" customHeight="1" x14ac:dyDescent="0.15">
      <c r="AK1459" s="2">
        <v>842.27294921875</v>
      </c>
    </row>
    <row r="1460" spans="37:37" ht="15.75" customHeight="1" x14ac:dyDescent="0.15">
      <c r="AK1460" s="2">
        <v>836.98736572265625</v>
      </c>
    </row>
    <row r="1461" spans="37:37" ht="15.75" customHeight="1" x14ac:dyDescent="0.15">
      <c r="AK1461" s="2">
        <v>831.7017822265625</v>
      </c>
    </row>
    <row r="1462" spans="37:37" ht="15.75" customHeight="1" x14ac:dyDescent="0.15">
      <c r="AK1462" s="2">
        <v>826.41619873046875</v>
      </c>
    </row>
    <row r="1463" spans="37:37" ht="15.75" customHeight="1" x14ac:dyDescent="0.15">
      <c r="AK1463" s="2">
        <v>821.130615234375</v>
      </c>
    </row>
    <row r="1464" spans="37:37" ht="15.75" customHeight="1" x14ac:dyDescent="0.15">
      <c r="AK1464" s="2">
        <v>815.84527587890625</v>
      </c>
    </row>
    <row r="1465" spans="37:37" ht="15.75" customHeight="1" x14ac:dyDescent="0.15">
      <c r="AK1465" s="2">
        <v>810.5596923828125</v>
      </c>
    </row>
    <row r="1466" spans="37:37" ht="15.75" customHeight="1" x14ac:dyDescent="0.15">
      <c r="AK1466" s="2">
        <v>805.274169921875</v>
      </c>
    </row>
    <row r="1467" spans="37:37" ht="15.75" customHeight="1" x14ac:dyDescent="0.15">
      <c r="AK1467" s="2">
        <v>799.988525390625</v>
      </c>
    </row>
    <row r="1468" spans="37:37" ht="15.75" customHeight="1" x14ac:dyDescent="0.15">
      <c r="AK1468" s="2">
        <v>794.7030029296875</v>
      </c>
    </row>
    <row r="1469" spans="37:37" ht="15.75" customHeight="1" x14ac:dyDescent="0.15">
      <c r="AK1469" s="2">
        <v>789.41754150390625</v>
      </c>
    </row>
    <row r="1470" spans="37:37" ht="15.75" customHeight="1" x14ac:dyDescent="0.15">
      <c r="AK1470" s="2">
        <v>784.1319580078125</v>
      </c>
    </row>
    <row r="1471" spans="37:37" ht="15.75" customHeight="1" x14ac:dyDescent="0.15">
      <c r="AK1471" s="2">
        <v>778.846435546875</v>
      </c>
    </row>
    <row r="1472" spans="37:37" ht="15.75" customHeight="1" x14ac:dyDescent="0.15">
      <c r="AK1472" s="2">
        <v>773.560791015625</v>
      </c>
    </row>
    <row r="1473" spans="37:37" ht="15.75" customHeight="1" x14ac:dyDescent="0.15">
      <c r="AK1473" s="2">
        <v>768.2752685546875</v>
      </c>
    </row>
    <row r="1474" spans="37:37" ht="15.75" customHeight="1" x14ac:dyDescent="0.15">
      <c r="AK1474" s="2">
        <v>762.9898681640625</v>
      </c>
    </row>
    <row r="1475" spans="37:37" ht="15.75" customHeight="1" x14ac:dyDescent="0.15">
      <c r="AK1475" s="2">
        <v>757.70428466796875</v>
      </c>
    </row>
    <row r="1476" spans="37:37" ht="15.75" customHeight="1" x14ac:dyDescent="0.15">
      <c r="AK1476" s="2">
        <v>752.418701171875</v>
      </c>
    </row>
    <row r="1477" spans="37:37" ht="15.75" customHeight="1" x14ac:dyDescent="0.15">
      <c r="AK1477" s="2">
        <v>749.49603271484375</v>
      </c>
    </row>
    <row r="1478" spans="37:37" ht="15.75" customHeight="1" x14ac:dyDescent="0.15">
      <c r="AK1478" s="2">
        <v>755.48577880859375</v>
      </c>
    </row>
    <row r="1479" spans="37:37" ht="15.75" customHeight="1" x14ac:dyDescent="0.15">
      <c r="AK1479" s="2">
        <v>748.5028076171875</v>
      </c>
    </row>
    <row r="1480" spans="37:37" ht="15.75" customHeight="1" x14ac:dyDescent="0.15">
      <c r="AK1480" s="2">
        <v>741.51959228515625</v>
      </c>
    </row>
    <row r="1481" spans="37:37" ht="15.75" customHeight="1" x14ac:dyDescent="0.15">
      <c r="AK1481" s="2">
        <v>734.536376953125</v>
      </c>
    </row>
    <row r="1482" spans="37:37" ht="15.75" customHeight="1" x14ac:dyDescent="0.15">
      <c r="AK1482" s="2">
        <v>727.55322265625</v>
      </c>
    </row>
    <row r="1483" spans="37:37" ht="15.75" customHeight="1" x14ac:dyDescent="0.15">
      <c r="AK1483" s="2">
        <v>720.57000732421875</v>
      </c>
    </row>
    <row r="1484" spans="37:37" ht="15.75" customHeight="1" x14ac:dyDescent="0.15">
      <c r="AK1484" s="2">
        <v>713.5870361328125</v>
      </c>
    </row>
    <row r="1485" spans="37:37" ht="15.75" customHeight="1" x14ac:dyDescent="0.15">
      <c r="AK1485" s="2">
        <v>706.6038818359375</v>
      </c>
    </row>
    <row r="1486" spans="37:37" ht="15.75" customHeight="1" x14ac:dyDescent="0.15">
      <c r="AK1486" s="2">
        <v>699.62066650390625</v>
      </c>
    </row>
    <row r="1487" spans="37:37" ht="15.75" customHeight="1" x14ac:dyDescent="0.15">
      <c r="AK1487" s="2">
        <v>692.637451171875</v>
      </c>
    </row>
    <row r="1488" spans="37:37" ht="15.75" customHeight="1" x14ac:dyDescent="0.15">
      <c r="AK1488" s="2">
        <v>685.654296875</v>
      </c>
    </row>
    <row r="1489" spans="37:37" ht="15.75" customHeight="1" x14ac:dyDescent="0.15">
      <c r="AK1489" s="2">
        <v>678.6712646484375</v>
      </c>
    </row>
    <row r="1490" spans="37:37" ht="15.75" customHeight="1" x14ac:dyDescent="0.15">
      <c r="AK1490" s="2">
        <v>671.6881103515625</v>
      </c>
    </row>
    <row r="1491" spans="37:37" ht="15.75" customHeight="1" x14ac:dyDescent="0.15">
      <c r="AK1491" s="2">
        <v>664.70489501953125</v>
      </c>
    </row>
    <row r="1492" spans="37:37" ht="15.75" customHeight="1" x14ac:dyDescent="0.15">
      <c r="AK1492" s="2">
        <v>657.7216796875</v>
      </c>
    </row>
    <row r="1493" spans="37:37" ht="15.75" customHeight="1" x14ac:dyDescent="0.15">
      <c r="AK1493" s="2">
        <v>650.738525390625</v>
      </c>
    </row>
    <row r="1494" spans="37:37" ht="15.75" customHeight="1" x14ac:dyDescent="0.15">
      <c r="AK1494" s="2">
        <v>643.7554931640625</v>
      </c>
    </row>
    <row r="1495" spans="37:37" ht="15.75" customHeight="1" x14ac:dyDescent="0.15">
      <c r="AK1495" s="2">
        <v>636.7723388671875</v>
      </c>
    </row>
    <row r="1496" spans="37:37" ht="15.75" customHeight="1" x14ac:dyDescent="0.15">
      <c r="AK1496" s="2">
        <v>629.78912353515625</v>
      </c>
    </row>
    <row r="1497" spans="37:37" ht="15.75" customHeight="1" x14ac:dyDescent="0.15">
      <c r="AK1497" s="2">
        <v>622.805908203125</v>
      </c>
    </row>
    <row r="1498" spans="37:37" ht="15.75" customHeight="1" x14ac:dyDescent="0.15">
      <c r="AK1498" s="2">
        <v>615.82275390625</v>
      </c>
    </row>
    <row r="1499" spans="37:37" ht="15.75" customHeight="1" x14ac:dyDescent="0.15">
      <c r="AK1499" s="2">
        <v>608.8397216796875</v>
      </c>
    </row>
    <row r="1500" spans="37:37" ht="15.75" customHeight="1" x14ac:dyDescent="0.15">
      <c r="AK1500" s="2">
        <v>601.8565673828125</v>
      </c>
    </row>
    <row r="1501" spans="37:37" ht="15.75" customHeight="1" x14ac:dyDescent="0.15">
      <c r="AK1501" s="2">
        <v>584.26324462890625</v>
      </c>
    </row>
    <row r="1502" spans="37:37" ht="15.75" customHeight="1" x14ac:dyDescent="0.15">
      <c r="AK1502" s="2">
        <v>578.9776611328125</v>
      </c>
    </row>
    <row r="1503" spans="37:37" ht="15.75" customHeight="1" x14ac:dyDescent="0.15">
      <c r="AK1503" s="2">
        <v>590.12457275390625</v>
      </c>
    </row>
    <row r="1504" spans="37:37" ht="15.75" customHeight="1" x14ac:dyDescent="0.15">
      <c r="AK1504" s="2">
        <v>588.298583984375</v>
      </c>
    </row>
    <row r="1505" spans="37:37" ht="15.75" customHeight="1" x14ac:dyDescent="0.15">
      <c r="AK1505" s="2">
        <v>586.4725341796875</v>
      </c>
    </row>
    <row r="1506" spans="37:37" ht="15.75" customHeight="1" x14ac:dyDescent="0.15">
      <c r="AK1506" s="2">
        <v>584.6463623046875</v>
      </c>
    </row>
    <row r="1507" spans="37:37" ht="15.75" customHeight="1" x14ac:dyDescent="0.15">
      <c r="AK1507" s="2">
        <v>582.8203125</v>
      </c>
    </row>
    <row r="1508" spans="37:37" ht="15.75" customHeight="1" x14ac:dyDescent="0.15">
      <c r="AK1508" s="2">
        <v>580.994140625</v>
      </c>
    </row>
    <row r="1509" spans="37:37" ht="15.75" customHeight="1" x14ac:dyDescent="0.15">
      <c r="AK1509" s="2">
        <v>579.168212890625</v>
      </c>
    </row>
    <row r="1510" spans="37:37" ht="15.75" customHeight="1" x14ac:dyDescent="0.15">
      <c r="AK1510" s="2">
        <v>577.34210205078125</v>
      </c>
    </row>
    <row r="1511" spans="37:37" ht="15.75" customHeight="1" x14ac:dyDescent="0.15">
      <c r="AK1511" s="2">
        <v>575.5159912109375</v>
      </c>
    </row>
    <row r="1512" spans="37:37" ht="15.75" customHeight="1" x14ac:dyDescent="0.15">
      <c r="AK1512" s="2">
        <v>573.68988037109375</v>
      </c>
    </row>
    <row r="1513" spans="37:37" ht="15.75" customHeight="1" x14ac:dyDescent="0.15">
      <c r="AK1513" s="2">
        <v>571.86376953125</v>
      </c>
    </row>
    <row r="1514" spans="37:37" ht="15.75" customHeight="1" x14ac:dyDescent="0.15">
      <c r="AK1514" s="2">
        <v>570.03778076171875</v>
      </c>
    </row>
    <row r="1515" spans="37:37" ht="15.75" customHeight="1" x14ac:dyDescent="0.15">
      <c r="AK1515" s="2">
        <v>568.211669921875</v>
      </c>
    </row>
    <row r="1516" spans="37:37" ht="15.75" customHeight="1" x14ac:dyDescent="0.15">
      <c r="AK1516" s="2">
        <v>566.38555908203125</v>
      </c>
    </row>
    <row r="1517" spans="37:37" ht="15.75" customHeight="1" x14ac:dyDescent="0.15">
      <c r="AK1517" s="2">
        <v>564.5594482421875</v>
      </c>
    </row>
    <row r="1518" spans="37:37" ht="15.75" customHeight="1" x14ac:dyDescent="0.15">
      <c r="AK1518" s="2">
        <v>562.73333740234375</v>
      </c>
    </row>
    <row r="1519" spans="37:37" ht="15.75" customHeight="1" x14ac:dyDescent="0.15">
      <c r="AK1519" s="2">
        <v>560.90740966796875</v>
      </c>
    </row>
    <row r="1520" spans="37:37" ht="15.75" customHeight="1" x14ac:dyDescent="0.15">
      <c r="AK1520" s="2">
        <v>559.081298828125</v>
      </c>
    </row>
    <row r="1521" spans="37:37" ht="15.75" customHeight="1" x14ac:dyDescent="0.15">
      <c r="AK1521" s="2">
        <v>557.255126953125</v>
      </c>
    </row>
    <row r="1522" spans="37:37" ht="15.75" customHeight="1" x14ac:dyDescent="0.15">
      <c r="AK1522" s="2">
        <v>555.4290771484375</v>
      </c>
    </row>
    <row r="1523" spans="37:37" ht="15.75" customHeight="1" x14ac:dyDescent="0.15">
      <c r="AK1523" s="2">
        <v>553.60296630859375</v>
      </c>
    </row>
    <row r="1524" spans="37:37" ht="15.75" customHeight="1" x14ac:dyDescent="0.15">
      <c r="AK1524" s="2">
        <v>551.7769775390625</v>
      </c>
    </row>
    <row r="1525" spans="37:37" ht="15.75" customHeight="1" x14ac:dyDescent="0.15">
      <c r="AK1525" s="2">
        <v>549.95086669921875</v>
      </c>
    </row>
    <row r="1526" spans="37:37" ht="15.75" customHeight="1" x14ac:dyDescent="0.15">
      <c r="AK1526" s="2">
        <v>537.5146484375</v>
      </c>
    </row>
    <row r="1527" spans="37:37" ht="15.75" customHeight="1" x14ac:dyDescent="0.15">
      <c r="AK1527" s="2">
        <v>537.38623046875</v>
      </c>
    </row>
    <row r="1528" spans="37:37" ht="15.75" customHeight="1" x14ac:dyDescent="0.15">
      <c r="AK1528" s="2">
        <v>537.2576904296875</v>
      </c>
    </row>
    <row r="1529" spans="37:37" ht="15.75" customHeight="1" x14ac:dyDescent="0.15">
      <c r="AK1529" s="2">
        <v>537.1292724609375</v>
      </c>
    </row>
    <row r="1530" spans="37:37" ht="15.75" customHeight="1" x14ac:dyDescent="0.15">
      <c r="AK1530" s="2">
        <v>537.0008544921875</v>
      </c>
    </row>
    <row r="1531" spans="37:37" ht="15.75" customHeight="1" x14ac:dyDescent="0.15">
      <c r="AK1531" s="2">
        <v>536.872314453125</v>
      </c>
    </row>
    <row r="1532" spans="37:37" ht="15.75" customHeight="1" x14ac:dyDescent="0.15">
      <c r="AK1532" s="2">
        <v>536.74383544921875</v>
      </c>
    </row>
    <row r="1533" spans="37:37" ht="15.75" customHeight="1" x14ac:dyDescent="0.15">
      <c r="AK1533" s="2">
        <v>536.6153564453125</v>
      </c>
    </row>
    <row r="1534" spans="37:37" ht="15.75" customHeight="1" x14ac:dyDescent="0.15">
      <c r="AK1534" s="2">
        <v>536.48699951171875</v>
      </c>
    </row>
    <row r="1535" spans="37:37" ht="15.75" customHeight="1" x14ac:dyDescent="0.15">
      <c r="AK1535" s="2">
        <v>536.35845947265625</v>
      </c>
    </row>
    <row r="1536" spans="37:37" ht="15.75" customHeight="1" x14ac:dyDescent="0.15">
      <c r="AK1536" s="2">
        <v>536.23004150390625</v>
      </c>
    </row>
    <row r="1537" spans="37:37" ht="15.75" customHeight="1" x14ac:dyDescent="0.15">
      <c r="AK1537" s="2">
        <v>536.10150146484375</v>
      </c>
    </row>
    <row r="1538" spans="37:37" ht="15.75" customHeight="1" x14ac:dyDescent="0.15">
      <c r="AK1538" s="2">
        <v>535.9730224609375</v>
      </c>
    </row>
    <row r="1539" spans="37:37" ht="15.75" customHeight="1" x14ac:dyDescent="0.15">
      <c r="AK1539" s="2">
        <v>535.84466552734375</v>
      </c>
    </row>
    <row r="1540" spans="37:37" ht="15.75" customHeight="1" x14ac:dyDescent="0.15">
      <c r="AK1540" s="2">
        <v>535.71612548828125</v>
      </c>
    </row>
    <row r="1541" spans="37:37" ht="15.75" customHeight="1" x14ac:dyDescent="0.15">
      <c r="AK1541" s="2">
        <v>535.58770751953125</v>
      </c>
    </row>
    <row r="1542" spans="37:37" ht="15.75" customHeight="1" x14ac:dyDescent="0.15">
      <c r="AK1542" s="2">
        <v>535.45916748046875</v>
      </c>
    </row>
    <row r="1543" spans="37:37" ht="15.75" customHeight="1" x14ac:dyDescent="0.15">
      <c r="AK1543" s="2">
        <v>535.33062744140625</v>
      </c>
    </row>
    <row r="1544" spans="37:37" ht="15.75" customHeight="1" x14ac:dyDescent="0.15">
      <c r="AK1544" s="2">
        <v>535.20233154296875</v>
      </c>
    </row>
    <row r="1545" spans="37:37" ht="15.75" customHeight="1" x14ac:dyDescent="0.15">
      <c r="AK1545" s="2">
        <v>535.0738525390625</v>
      </c>
    </row>
    <row r="1546" spans="37:37" ht="15.75" customHeight="1" x14ac:dyDescent="0.15">
      <c r="AK1546" s="2">
        <v>534.9453125</v>
      </c>
    </row>
    <row r="1547" spans="37:37" ht="15.75" customHeight="1" x14ac:dyDescent="0.15">
      <c r="AK1547" s="2">
        <v>534.81683349609375</v>
      </c>
    </row>
    <row r="1548" spans="37:37" ht="15.75" customHeight="1" x14ac:dyDescent="0.15">
      <c r="AK1548" s="2">
        <v>534.68829345703125</v>
      </c>
    </row>
    <row r="1549" spans="37:37" ht="15.75" customHeight="1" x14ac:dyDescent="0.15">
      <c r="AK1549" s="2">
        <v>534.55999755859375</v>
      </c>
    </row>
    <row r="1550" spans="37:37" ht="15.75" customHeight="1" x14ac:dyDescent="0.15">
      <c r="AK1550" s="2">
        <v>534.43145751953125</v>
      </c>
    </row>
    <row r="1551" spans="37:37" ht="15.75" customHeight="1" x14ac:dyDescent="0.15">
      <c r="AK1551" s="2">
        <v>534.302978515625</v>
      </c>
    </row>
    <row r="1552" spans="37:37" ht="15.75" customHeight="1" x14ac:dyDescent="0.15">
      <c r="AK1552" s="2">
        <v>534.17449951171875</v>
      </c>
    </row>
    <row r="1553" spans="37:37" ht="15.75" customHeight="1" x14ac:dyDescent="0.15">
      <c r="AK1553" s="2">
        <v>550.4783935546875</v>
      </c>
    </row>
    <row r="1554" spans="37:37" ht="15.75" customHeight="1" x14ac:dyDescent="0.15">
      <c r="AK1554" s="2">
        <v>553.80950927734375</v>
      </c>
    </row>
    <row r="1555" spans="37:37" ht="15.75" customHeight="1" x14ac:dyDescent="0.15">
      <c r="AK1555" s="2">
        <v>557.1405029296875</v>
      </c>
    </row>
    <row r="1556" spans="37:37" ht="15.75" customHeight="1" x14ac:dyDescent="0.15">
      <c r="AK1556" s="2">
        <v>560.471435546875</v>
      </c>
    </row>
    <row r="1557" spans="37:37" ht="15.75" customHeight="1" x14ac:dyDescent="0.15">
      <c r="AK1557" s="2">
        <v>563.80242919921875</v>
      </c>
    </row>
    <row r="1558" spans="37:37" ht="15.75" customHeight="1" x14ac:dyDescent="0.15">
      <c r="AK1558" s="2">
        <v>567.1334228515625</v>
      </c>
    </row>
    <row r="1559" spans="37:37" ht="15.75" customHeight="1" x14ac:dyDescent="0.15">
      <c r="AK1559" s="2">
        <v>570.4644775390625</v>
      </c>
    </row>
    <row r="1560" spans="37:37" ht="15.75" customHeight="1" x14ac:dyDescent="0.15">
      <c r="AK1560" s="2">
        <v>573.79541015625</v>
      </c>
    </row>
    <row r="1561" spans="37:37" ht="15.75" customHeight="1" x14ac:dyDescent="0.15">
      <c r="AK1561" s="2">
        <v>577.12640380859375</v>
      </c>
    </row>
    <row r="1562" spans="37:37" ht="15.75" customHeight="1" x14ac:dyDescent="0.15">
      <c r="AK1562" s="2">
        <v>580.4573974609375</v>
      </c>
    </row>
    <row r="1563" spans="37:37" ht="15.75" customHeight="1" x14ac:dyDescent="0.15">
      <c r="AK1563" s="2">
        <v>583.78839111328125</v>
      </c>
    </row>
    <row r="1564" spans="37:37" ht="15.75" customHeight="1" x14ac:dyDescent="0.15">
      <c r="AK1564" s="2">
        <v>587.11944580078125</v>
      </c>
    </row>
    <row r="1565" spans="37:37" ht="15.75" customHeight="1" x14ac:dyDescent="0.15">
      <c r="AK1565" s="2">
        <v>590.45037841796875</v>
      </c>
    </row>
    <row r="1566" spans="37:37" ht="15.75" customHeight="1" x14ac:dyDescent="0.15">
      <c r="AK1566" s="2">
        <v>593.7813720703125</v>
      </c>
    </row>
    <row r="1567" spans="37:37" ht="15.75" customHeight="1" x14ac:dyDescent="0.15">
      <c r="AK1567" s="2">
        <v>597.11236572265625</v>
      </c>
    </row>
    <row r="1568" spans="37:37" ht="15.75" customHeight="1" x14ac:dyDescent="0.15">
      <c r="AK1568" s="2">
        <v>600.44329833984375</v>
      </c>
    </row>
    <row r="1569" spans="37:37" ht="15.75" customHeight="1" x14ac:dyDescent="0.15">
      <c r="AK1569" s="2">
        <v>603.77435302734375</v>
      </c>
    </row>
    <row r="1570" spans="37:37" ht="15.75" customHeight="1" x14ac:dyDescent="0.15">
      <c r="AK1570" s="2">
        <v>607.1053466796875</v>
      </c>
    </row>
    <row r="1571" spans="37:37" ht="15.75" customHeight="1" x14ac:dyDescent="0.15">
      <c r="AK1571" s="2">
        <v>610.436279296875</v>
      </c>
    </row>
    <row r="1572" spans="37:37" ht="15.75" customHeight="1" x14ac:dyDescent="0.15">
      <c r="AK1572" s="2">
        <v>613.767333984375</v>
      </c>
    </row>
    <row r="1573" spans="37:37" ht="15.75" customHeight="1" x14ac:dyDescent="0.15">
      <c r="AK1573" s="2">
        <v>617.0982666015625</v>
      </c>
    </row>
    <row r="1574" spans="37:37" ht="15.75" customHeight="1" x14ac:dyDescent="0.15">
      <c r="AK1574" s="2">
        <v>620.42938232421875</v>
      </c>
    </row>
    <row r="1575" spans="37:37" ht="15.75" customHeight="1" x14ac:dyDescent="0.15">
      <c r="AK1575" s="2">
        <v>623.76025390625</v>
      </c>
    </row>
    <row r="1576" spans="37:37" ht="15.75" customHeight="1" x14ac:dyDescent="0.15">
      <c r="AK1576" s="2">
        <v>627.09130859375</v>
      </c>
    </row>
    <row r="1577" spans="37:37" ht="15.75" customHeight="1" x14ac:dyDescent="0.15">
      <c r="AK1577" s="2">
        <v>630.42230224609375</v>
      </c>
    </row>
    <row r="1578" spans="37:37" ht="15.75" customHeight="1" x14ac:dyDescent="0.15">
      <c r="AK1578" s="2">
        <v>650.18560791015625</v>
      </c>
    </row>
    <row r="1579" spans="37:37" ht="15.75" customHeight="1" x14ac:dyDescent="0.15">
      <c r="AK1579" s="2">
        <v>656.97613525390625</v>
      </c>
    </row>
    <row r="1580" spans="37:37" ht="15.75" customHeight="1" x14ac:dyDescent="0.15">
      <c r="AK1580" s="2">
        <v>663.7666015625</v>
      </c>
    </row>
    <row r="1581" spans="37:37" ht="15.75" customHeight="1" x14ac:dyDescent="0.15">
      <c r="AK1581" s="2">
        <v>670.5570068359375</v>
      </c>
    </row>
    <row r="1582" spans="37:37" ht="15.75" customHeight="1" x14ac:dyDescent="0.15">
      <c r="AK1582" s="2">
        <v>677.34747314453125</v>
      </c>
    </row>
    <row r="1583" spans="37:37" ht="15.75" customHeight="1" x14ac:dyDescent="0.15">
      <c r="AK1583" s="2">
        <v>684.137939453125</v>
      </c>
    </row>
    <row r="1584" spans="37:37" ht="15.75" customHeight="1" x14ac:dyDescent="0.15">
      <c r="AK1584" s="2">
        <v>690.9283447265625</v>
      </c>
    </row>
    <row r="1585" spans="37:37" ht="15.75" customHeight="1" x14ac:dyDescent="0.15">
      <c r="AK1585" s="2">
        <v>697.71881103515625</v>
      </c>
    </row>
    <row r="1586" spans="37:37" ht="15.75" customHeight="1" x14ac:dyDescent="0.15">
      <c r="AK1586" s="2">
        <v>704.50933837890625</v>
      </c>
    </row>
    <row r="1587" spans="37:37" ht="15.75" customHeight="1" x14ac:dyDescent="0.15">
      <c r="AK1587" s="2">
        <v>711.29974365234375</v>
      </c>
    </row>
    <row r="1588" spans="37:37" ht="15.75" customHeight="1" x14ac:dyDescent="0.15">
      <c r="AK1588" s="2">
        <v>718.0902099609375</v>
      </c>
    </row>
    <row r="1589" spans="37:37" ht="15.75" customHeight="1" x14ac:dyDescent="0.15">
      <c r="AK1589" s="2">
        <v>724.880615234375</v>
      </c>
    </row>
    <row r="1590" spans="37:37" ht="15.75" customHeight="1" x14ac:dyDescent="0.15">
      <c r="AK1590" s="2">
        <v>731.6710205078125</v>
      </c>
    </row>
    <row r="1591" spans="37:37" ht="15.75" customHeight="1" x14ac:dyDescent="0.15">
      <c r="AK1591" s="2">
        <v>738.46148681640625</v>
      </c>
    </row>
    <row r="1592" spans="37:37" ht="15.75" customHeight="1" x14ac:dyDescent="0.15">
      <c r="AK1592" s="2">
        <v>745.25201416015625</v>
      </c>
    </row>
    <row r="1593" spans="37:37" ht="15.75" customHeight="1" x14ac:dyDescent="0.15">
      <c r="AK1593" s="2">
        <v>752.04241943359375</v>
      </c>
    </row>
    <row r="1594" spans="37:37" ht="15.75" customHeight="1" x14ac:dyDescent="0.15">
      <c r="AK1594" s="2">
        <v>758.83282470703125</v>
      </c>
    </row>
    <row r="1595" spans="37:37" ht="15.75" customHeight="1" x14ac:dyDescent="0.15">
      <c r="AK1595" s="2">
        <v>765.62335205078125</v>
      </c>
    </row>
    <row r="1596" spans="37:37" ht="15.75" customHeight="1" x14ac:dyDescent="0.15">
      <c r="AK1596" s="2">
        <v>772.413818359375</v>
      </c>
    </row>
    <row r="1597" spans="37:37" ht="15.75" customHeight="1" x14ac:dyDescent="0.15">
      <c r="AK1597" s="2">
        <v>779.2042236328125</v>
      </c>
    </row>
    <row r="1598" spans="37:37" ht="15.75" customHeight="1" x14ac:dyDescent="0.15">
      <c r="AK1598" s="2">
        <v>785.99468994140625</v>
      </c>
    </row>
    <row r="1599" spans="37:37" ht="15.75" customHeight="1" x14ac:dyDescent="0.15">
      <c r="AK1599" s="2">
        <v>792.78515625</v>
      </c>
    </row>
    <row r="1600" spans="37:37" ht="15.75" customHeight="1" x14ac:dyDescent="0.15">
      <c r="AK1600" s="2">
        <v>799.5755615234375</v>
      </c>
    </row>
    <row r="1601" spans="37:37" ht="15.75" customHeight="1" x14ac:dyDescent="0.15">
      <c r="AK1601" s="2">
        <v>806.36602783203125</v>
      </c>
    </row>
    <row r="1602" spans="37:37" ht="15.75" customHeight="1" x14ac:dyDescent="0.15">
      <c r="AK1602" s="2">
        <v>813.15655517578125</v>
      </c>
    </row>
    <row r="1603" spans="37:37" ht="15.75" customHeight="1" x14ac:dyDescent="0.15">
      <c r="AK1603" s="2">
        <v>819.9468994140625</v>
      </c>
    </row>
    <row r="1604" spans="37:37" ht="15.75" customHeight="1" x14ac:dyDescent="0.15">
      <c r="AK1604" s="2">
        <v>826.73736572265625</v>
      </c>
    </row>
    <row r="1605" spans="37:37" ht="15.75" customHeight="1" x14ac:dyDescent="0.15">
      <c r="AK1605" s="2">
        <v>833.52783203125</v>
      </c>
    </row>
    <row r="1606" spans="37:37" ht="15.75" customHeight="1" x14ac:dyDescent="0.15">
      <c r="AK1606" s="2">
        <v>840.31829833984375</v>
      </c>
    </row>
    <row r="1607" spans="37:37" ht="15.75" customHeight="1" x14ac:dyDescent="0.15">
      <c r="AK1607" s="2">
        <v>847.1087646484375</v>
      </c>
    </row>
    <row r="1608" spans="37:37" ht="15.75" customHeight="1" x14ac:dyDescent="0.15">
      <c r="AK1608" s="2">
        <v>853.89923095703125</v>
      </c>
    </row>
    <row r="1609" spans="37:37" ht="15.75" customHeight="1" x14ac:dyDescent="0.15">
      <c r="AK1609" s="2">
        <v>860.689697265625</v>
      </c>
    </row>
    <row r="1610" spans="37:37" ht="15.75" customHeight="1" x14ac:dyDescent="0.15">
      <c r="AK1610" s="2">
        <v>867.48004150390625</v>
      </c>
    </row>
    <row r="1611" spans="37:37" ht="15.75" customHeight="1" x14ac:dyDescent="0.15">
      <c r="AK1611" s="2">
        <v>874.27056884765625</v>
      </c>
    </row>
    <row r="1612" spans="37:37" ht="15.75" customHeight="1" x14ac:dyDescent="0.15">
      <c r="AK1612" s="2">
        <v>881.06103515625</v>
      </c>
    </row>
    <row r="1613" spans="37:37" ht="15.75" customHeight="1" x14ac:dyDescent="0.15">
      <c r="AK1613" s="2">
        <v>887.8514404296875</v>
      </c>
    </row>
    <row r="1614" spans="37:37" ht="15.75" customHeight="1" x14ac:dyDescent="0.15">
      <c r="AK1614" s="2">
        <v>894.641845703125</v>
      </c>
    </row>
    <row r="1615" spans="37:37" ht="15.75" customHeight="1" x14ac:dyDescent="0.15">
      <c r="AK1615" s="2">
        <v>901.4322509765625</v>
      </c>
    </row>
    <row r="1616" spans="37:37" ht="15.75" customHeight="1" x14ac:dyDescent="0.15">
      <c r="AK1616" s="2">
        <v>908.2227783203125</v>
      </c>
    </row>
    <row r="1617" spans="37:37" ht="15.75" customHeight="1" x14ac:dyDescent="0.15">
      <c r="AK1617" s="2">
        <v>915.01324462890625</v>
      </c>
    </row>
    <row r="1618" spans="37:37" ht="15.75" customHeight="1" x14ac:dyDescent="0.15">
      <c r="AK1618" s="2">
        <v>921.8037109375</v>
      </c>
    </row>
    <row r="1619" spans="37:37" ht="15.75" customHeight="1" x14ac:dyDescent="0.15">
      <c r="AK1619" s="2">
        <v>928.59405517578125</v>
      </c>
    </row>
    <row r="1620" spans="37:37" ht="15.75" customHeight="1" x14ac:dyDescent="0.15">
      <c r="AK1620" s="2">
        <v>935.38458251953125</v>
      </c>
    </row>
    <row r="1621" spans="37:37" ht="15.75" customHeight="1" x14ac:dyDescent="0.15">
      <c r="AK1621" s="2">
        <v>942.175048828125</v>
      </c>
    </row>
    <row r="1622" spans="37:37" ht="15.75" customHeight="1" x14ac:dyDescent="0.15">
      <c r="AK1622" s="2">
        <v>948.965576171875</v>
      </c>
    </row>
    <row r="1623" spans="37:37" ht="15.75" customHeight="1" x14ac:dyDescent="0.15">
      <c r="AK1623" s="2">
        <v>955.7559814453125</v>
      </c>
    </row>
    <row r="1624" spans="37:37" ht="15.75" customHeight="1" x14ac:dyDescent="0.15">
      <c r="AK1624" s="2">
        <v>962.54638671875</v>
      </c>
    </row>
    <row r="1625" spans="37:37" ht="15.75" customHeight="1" x14ac:dyDescent="0.15">
      <c r="AK1625" s="2">
        <v>969.33685302734375</v>
      </c>
    </row>
    <row r="1626" spans="37:37" ht="15.75" customHeight="1" x14ac:dyDescent="0.15">
      <c r="AK1626" s="2">
        <v>976.12725830078125</v>
      </c>
    </row>
    <row r="1627" spans="37:37" ht="15.75" customHeight="1" x14ac:dyDescent="0.15">
      <c r="AK1627" s="2">
        <v>985.28070068359375</v>
      </c>
    </row>
    <row r="1628" spans="37:37" ht="15.75" customHeight="1" x14ac:dyDescent="0.15">
      <c r="AK1628" s="2">
        <v>986.91400146484375</v>
      </c>
    </row>
    <row r="1629" spans="37:37" ht="15.75" customHeight="1" x14ac:dyDescent="0.15">
      <c r="AK1629" s="2">
        <v>988.5474853515625</v>
      </c>
    </row>
    <row r="1630" spans="37:37" ht="15.75" customHeight="1" x14ac:dyDescent="0.15">
      <c r="AK1630" s="2">
        <v>990.1807861328125</v>
      </c>
    </row>
    <row r="1631" spans="37:37" ht="15.75" customHeight="1" x14ac:dyDescent="0.15">
      <c r="AK1631" s="2">
        <v>991.814208984375</v>
      </c>
    </row>
    <row r="1632" spans="37:37" ht="15.75" customHeight="1" x14ac:dyDescent="0.15">
      <c r="AK1632" s="2">
        <v>993.4476318359375</v>
      </c>
    </row>
    <row r="1633" spans="37:37" ht="15.75" customHeight="1" x14ac:dyDescent="0.15">
      <c r="AK1633" s="2">
        <v>995.0809326171875</v>
      </c>
    </row>
    <row r="1634" spans="37:37" ht="15.75" customHeight="1" x14ac:dyDescent="0.15">
      <c r="AK1634" s="2">
        <v>996.71435546875</v>
      </c>
    </row>
    <row r="1635" spans="37:37" ht="15.75" customHeight="1" x14ac:dyDescent="0.15">
      <c r="AK1635" s="2">
        <v>998.34765625</v>
      </c>
    </row>
    <row r="1636" spans="37:37" ht="15.75" customHeight="1" x14ac:dyDescent="0.15">
      <c r="AK1636" s="2">
        <v>999.9810791015625</v>
      </c>
    </row>
    <row r="1637" spans="37:37" ht="15.75" customHeight="1" x14ac:dyDescent="0.15">
      <c r="AK1637" s="2">
        <v>1001.614501953125</v>
      </c>
    </row>
    <row r="1638" spans="37:37" ht="15.75" customHeight="1" x14ac:dyDescent="0.15">
      <c r="AK1638" s="2">
        <v>1003.247802734375</v>
      </c>
    </row>
    <row r="1639" spans="37:37" ht="15.75" customHeight="1" x14ac:dyDescent="0.15">
      <c r="AK1639" s="2">
        <v>1004.8812255859375</v>
      </c>
    </row>
    <row r="1640" spans="37:37" ht="15.75" customHeight="1" x14ac:dyDescent="0.15">
      <c r="AK1640" s="2">
        <v>1006.5145263671875</v>
      </c>
    </row>
    <row r="1641" spans="37:37" ht="15.75" customHeight="1" x14ac:dyDescent="0.15">
      <c r="AK1641" s="2">
        <v>1008.14794921875</v>
      </c>
    </row>
    <row r="1642" spans="37:37" ht="15.75" customHeight="1" x14ac:dyDescent="0.15">
      <c r="AK1642" s="2">
        <v>1009.7813720703125</v>
      </c>
    </row>
    <row r="1643" spans="37:37" ht="15.75" customHeight="1" x14ac:dyDescent="0.15">
      <c r="AK1643" s="2">
        <v>1011.4146728515625</v>
      </c>
    </row>
    <row r="1644" spans="37:37" ht="15.75" customHeight="1" x14ac:dyDescent="0.15">
      <c r="AK1644" s="2">
        <v>1013.048095703125</v>
      </c>
    </row>
    <row r="1645" spans="37:37" ht="15.75" customHeight="1" x14ac:dyDescent="0.15">
      <c r="AK1645" s="2">
        <v>1014.6815185546875</v>
      </c>
    </row>
    <row r="1646" spans="37:37" ht="15.75" customHeight="1" x14ac:dyDescent="0.15">
      <c r="AK1646" s="2">
        <v>1016.3148193359375</v>
      </c>
    </row>
    <row r="1647" spans="37:37" ht="15.75" customHeight="1" x14ac:dyDescent="0.15">
      <c r="AK1647" s="2">
        <v>1017.9482421875</v>
      </c>
    </row>
    <row r="1648" spans="37:37" ht="15.75" customHeight="1" x14ac:dyDescent="0.15">
      <c r="AK1648" s="2">
        <v>1019.58154296875</v>
      </c>
    </row>
    <row r="1649" spans="37:37" ht="15.75" customHeight="1" x14ac:dyDescent="0.15">
      <c r="AK1649" s="2">
        <v>1021.2149658203125</v>
      </c>
    </row>
    <row r="1650" spans="37:37" ht="15.75" customHeight="1" x14ac:dyDescent="0.15">
      <c r="AK1650" s="2">
        <v>1022.848388671875</v>
      </c>
    </row>
    <row r="1651" spans="37:37" ht="15.75" customHeight="1" x14ac:dyDescent="0.15">
      <c r="AK1651" s="2">
        <v>1024.481689453125</v>
      </c>
    </row>
    <row r="1652" spans="37:37" ht="15.75" customHeight="1" x14ac:dyDescent="0.15">
      <c r="AK1652" s="2">
        <v>1028.47802734375</v>
      </c>
    </row>
    <row r="1653" spans="37:37" ht="15.75" customHeight="1" x14ac:dyDescent="0.15">
      <c r="AK1653" s="2">
        <v>1024.954345703125</v>
      </c>
    </row>
    <row r="1654" spans="37:37" ht="15.75" customHeight="1" x14ac:dyDescent="0.15">
      <c r="AK1654" s="2">
        <v>1021.4307250976563</v>
      </c>
    </row>
    <row r="1655" spans="37:37" ht="15.75" customHeight="1" x14ac:dyDescent="0.15">
      <c r="AK1655" s="2">
        <v>1017.906982421875</v>
      </c>
    </row>
    <row r="1656" spans="37:37" ht="15.75" customHeight="1" x14ac:dyDescent="0.15">
      <c r="AK1656" s="2">
        <v>1014.38330078125</v>
      </c>
    </row>
    <row r="1657" spans="37:37" ht="15.75" customHeight="1" x14ac:dyDescent="0.15">
      <c r="AK1657" s="2">
        <v>1010.8595581054688</v>
      </c>
    </row>
    <row r="1658" spans="37:37" ht="15.75" customHeight="1" x14ac:dyDescent="0.15">
      <c r="AK1658" s="2">
        <v>1007.3358154296875</v>
      </c>
    </row>
    <row r="1659" spans="37:37" ht="15.75" customHeight="1" x14ac:dyDescent="0.15">
      <c r="AK1659" s="2">
        <v>1003.812255859375</v>
      </c>
    </row>
    <row r="1660" spans="37:37" ht="15.75" customHeight="1" x14ac:dyDescent="0.15">
      <c r="AK1660" s="2">
        <v>1000.2885131835938</v>
      </c>
    </row>
    <row r="1661" spans="37:37" ht="15.75" customHeight="1" x14ac:dyDescent="0.15">
      <c r="AK1661" s="2">
        <v>996.76483154296875</v>
      </c>
    </row>
    <row r="1662" spans="37:37" ht="15.75" customHeight="1" x14ac:dyDescent="0.15">
      <c r="AK1662" s="2">
        <v>993.2410888671875</v>
      </c>
    </row>
    <row r="1663" spans="37:37" ht="15.75" customHeight="1" x14ac:dyDescent="0.15">
      <c r="AK1663" s="2">
        <v>989.7174072265625</v>
      </c>
    </row>
    <row r="1664" spans="37:37" ht="15.75" customHeight="1" x14ac:dyDescent="0.15">
      <c r="AK1664" s="2">
        <v>986.1937255859375</v>
      </c>
    </row>
    <row r="1665" spans="37:37" ht="15.75" customHeight="1" x14ac:dyDescent="0.15">
      <c r="AK1665" s="2">
        <v>982.6700439453125</v>
      </c>
    </row>
    <row r="1666" spans="37:37" ht="15.75" customHeight="1" x14ac:dyDescent="0.15">
      <c r="AK1666" s="2">
        <v>979.14630126953125</v>
      </c>
    </row>
    <row r="1667" spans="37:37" ht="15.75" customHeight="1" x14ac:dyDescent="0.15">
      <c r="AK1667" s="2">
        <v>975.62261962890625</v>
      </c>
    </row>
    <row r="1668" spans="37:37" ht="15.75" customHeight="1" x14ac:dyDescent="0.15">
      <c r="AK1668" s="2">
        <v>972.098876953125</v>
      </c>
    </row>
    <row r="1669" spans="37:37" ht="15.75" customHeight="1" x14ac:dyDescent="0.15">
      <c r="AK1669" s="2">
        <v>968.5753173828125</v>
      </c>
    </row>
    <row r="1670" spans="37:37" ht="15.75" customHeight="1" x14ac:dyDescent="0.15">
      <c r="AK1670" s="2">
        <v>965.0516357421875</v>
      </c>
    </row>
    <row r="1671" spans="37:37" ht="15.75" customHeight="1" x14ac:dyDescent="0.15">
      <c r="AK1671" s="2">
        <v>961.52783203125</v>
      </c>
    </row>
    <row r="1672" spans="37:37" ht="15.75" customHeight="1" x14ac:dyDescent="0.15">
      <c r="AK1672" s="2">
        <v>958.004150390625</v>
      </c>
    </row>
    <row r="1673" spans="37:37" ht="15.75" customHeight="1" x14ac:dyDescent="0.15">
      <c r="AK1673" s="2">
        <v>954.48046875</v>
      </c>
    </row>
    <row r="1674" spans="37:37" ht="15.75" customHeight="1" x14ac:dyDescent="0.15">
      <c r="AK1674" s="2">
        <v>950.956787109375</v>
      </c>
    </row>
    <row r="1675" spans="37:37" ht="15.75" customHeight="1" x14ac:dyDescent="0.15">
      <c r="AK1675" s="2">
        <v>947.43310546875</v>
      </c>
    </row>
    <row r="1676" spans="37:37" ht="15.75" customHeight="1" x14ac:dyDescent="0.15">
      <c r="AK1676" s="2">
        <v>933.29931640625</v>
      </c>
    </row>
    <row r="1677" spans="37:37" ht="15.75" customHeight="1" x14ac:dyDescent="0.15">
      <c r="AK1677" s="2">
        <v>931.4732666015625</v>
      </c>
    </row>
    <row r="1678" spans="37:37" ht="15.75" customHeight="1" x14ac:dyDescent="0.15">
      <c r="AK1678" s="2">
        <v>929.6470947265625</v>
      </c>
    </row>
    <row r="1679" spans="37:37" ht="15.75" customHeight="1" x14ac:dyDescent="0.15">
      <c r="AK1679" s="2">
        <v>927.8211669921875</v>
      </c>
    </row>
    <row r="1680" spans="37:37" ht="15.75" customHeight="1" x14ac:dyDescent="0.15">
      <c r="AK1680" s="2">
        <v>925.9949951171875</v>
      </c>
    </row>
    <row r="1681" spans="37:37" ht="15.75" customHeight="1" x14ac:dyDescent="0.15">
      <c r="AK1681" s="2">
        <v>924.1689453125</v>
      </c>
    </row>
    <row r="1682" spans="37:37" ht="15.75" customHeight="1" x14ac:dyDescent="0.15">
      <c r="AK1682" s="2">
        <v>922.3428955078125</v>
      </c>
    </row>
    <row r="1683" spans="37:37" ht="15.75" customHeight="1" x14ac:dyDescent="0.15">
      <c r="AK1683" s="2">
        <v>920.5167236328125</v>
      </c>
    </row>
    <row r="1684" spans="37:37" ht="15.75" customHeight="1" x14ac:dyDescent="0.15">
      <c r="AK1684" s="2">
        <v>918.69073486328125</v>
      </c>
    </row>
    <row r="1685" spans="37:37" ht="15.75" customHeight="1" x14ac:dyDescent="0.15">
      <c r="AK1685" s="2">
        <v>916.8646240234375</v>
      </c>
    </row>
    <row r="1686" spans="37:37" ht="15.75" customHeight="1" x14ac:dyDescent="0.15">
      <c r="AK1686" s="2">
        <v>915.03851318359375</v>
      </c>
    </row>
    <row r="1687" spans="37:37" ht="15.75" customHeight="1" x14ac:dyDescent="0.15">
      <c r="AK1687" s="2">
        <v>913.21240234375</v>
      </c>
    </row>
    <row r="1688" spans="37:37" ht="15.75" customHeight="1" x14ac:dyDescent="0.15">
      <c r="AK1688" s="2">
        <v>911.3863525390625</v>
      </c>
    </row>
    <row r="1689" spans="37:37" ht="15.75" customHeight="1" x14ac:dyDescent="0.15">
      <c r="AK1689" s="2">
        <v>909.56024169921875</v>
      </c>
    </row>
    <row r="1690" spans="37:37" ht="15.75" customHeight="1" x14ac:dyDescent="0.15">
      <c r="AK1690" s="2">
        <v>907.73419189453125</v>
      </c>
    </row>
    <row r="1691" spans="37:37" ht="15.75" customHeight="1" x14ac:dyDescent="0.15">
      <c r="AK1691" s="2">
        <v>905.90814208984375</v>
      </c>
    </row>
    <row r="1692" spans="37:37" ht="15.75" customHeight="1" x14ac:dyDescent="0.15">
      <c r="AK1692" s="2">
        <v>904.08197021484375</v>
      </c>
    </row>
    <row r="1693" spans="37:37" ht="15.75" customHeight="1" x14ac:dyDescent="0.15">
      <c r="AK1693" s="2">
        <v>902.25592041015625</v>
      </c>
    </row>
    <row r="1694" spans="37:37" ht="15.75" customHeight="1" x14ac:dyDescent="0.15">
      <c r="AK1694" s="2">
        <v>900.429931640625</v>
      </c>
    </row>
    <row r="1695" spans="37:37" ht="15.75" customHeight="1" x14ac:dyDescent="0.15">
      <c r="AK1695" s="2">
        <v>898.6038818359375</v>
      </c>
    </row>
    <row r="1696" spans="37:37" ht="15.75" customHeight="1" x14ac:dyDescent="0.15">
      <c r="AK1696" s="2">
        <v>896.7777099609375</v>
      </c>
    </row>
    <row r="1697" spans="37:37" ht="15.75" customHeight="1" x14ac:dyDescent="0.15">
      <c r="AK1697" s="2">
        <v>894.95166015625</v>
      </c>
    </row>
    <row r="1698" spans="37:37" ht="15.75" customHeight="1" x14ac:dyDescent="0.15">
      <c r="AK1698" s="2">
        <v>893.1256103515625</v>
      </c>
    </row>
    <row r="1699" spans="37:37" ht="15.75" customHeight="1" x14ac:dyDescent="0.15">
      <c r="AK1699" s="2">
        <v>891.2994384765625</v>
      </c>
    </row>
    <row r="1700" spans="37:37" ht="15.75" customHeight="1" x14ac:dyDescent="0.15">
      <c r="AK1700" s="2">
        <v>889.473388671875</v>
      </c>
    </row>
    <row r="1701" spans="37:37" ht="15.75" customHeight="1" x14ac:dyDescent="0.15">
      <c r="AK1701" s="2">
        <v>877.0372314453125</v>
      </c>
    </row>
    <row r="1702" spans="37:37" ht="15.75" customHeight="1" x14ac:dyDescent="0.15">
      <c r="AK1702" s="2">
        <v>879.2716064453125</v>
      </c>
    </row>
    <row r="1703" spans="37:37" ht="15.75" customHeight="1" x14ac:dyDescent="0.15">
      <c r="AK1703" s="2">
        <v>873.98602294921875</v>
      </c>
    </row>
    <row r="1704" spans="37:37" ht="15.75" customHeight="1" x14ac:dyDescent="0.15">
      <c r="AK1704" s="2">
        <v>868.70068359375</v>
      </c>
    </row>
    <row r="1705" spans="37:37" ht="15.75" customHeight="1" x14ac:dyDescent="0.15">
      <c r="AK1705" s="2">
        <v>863.4150390625</v>
      </c>
    </row>
    <row r="1706" spans="37:37" ht="15.75" customHeight="1" x14ac:dyDescent="0.15">
      <c r="AK1706" s="2">
        <v>858.1295166015625</v>
      </c>
    </row>
    <row r="1707" spans="37:37" ht="15.75" customHeight="1" x14ac:dyDescent="0.15">
      <c r="AK1707" s="2">
        <v>852.84393310546875</v>
      </c>
    </row>
    <row r="1708" spans="37:37" ht="15.75" customHeight="1" x14ac:dyDescent="0.15">
      <c r="AK1708" s="2">
        <v>847.558349609375</v>
      </c>
    </row>
    <row r="1709" spans="37:37" ht="15.75" customHeight="1" x14ac:dyDescent="0.15">
      <c r="AK1709" s="2">
        <v>842.27294921875</v>
      </c>
    </row>
    <row r="1710" spans="37:37" ht="15.75" customHeight="1" x14ac:dyDescent="0.15">
      <c r="AK1710" s="2">
        <v>836.98736572265625</v>
      </c>
    </row>
    <row r="1711" spans="37:37" ht="15.75" customHeight="1" x14ac:dyDescent="0.15">
      <c r="AK1711" s="2">
        <v>831.7017822265625</v>
      </c>
    </row>
    <row r="1712" spans="37:37" ht="15.75" customHeight="1" x14ac:dyDescent="0.15">
      <c r="AK1712" s="2">
        <v>826.41619873046875</v>
      </c>
    </row>
    <row r="1713" spans="37:37" ht="15.75" customHeight="1" x14ac:dyDescent="0.15">
      <c r="AK1713" s="2">
        <v>821.130615234375</v>
      </c>
    </row>
    <row r="1714" spans="37:37" ht="15.75" customHeight="1" x14ac:dyDescent="0.15">
      <c r="AK1714" s="2">
        <v>815.84527587890625</v>
      </c>
    </row>
    <row r="1715" spans="37:37" ht="15.75" customHeight="1" x14ac:dyDescent="0.15">
      <c r="AK1715" s="2">
        <v>810.5596923828125</v>
      </c>
    </row>
    <row r="1716" spans="37:37" ht="15.75" customHeight="1" x14ac:dyDescent="0.15">
      <c r="AK1716" s="2">
        <v>805.274169921875</v>
      </c>
    </row>
    <row r="1717" spans="37:37" ht="15.75" customHeight="1" x14ac:dyDescent="0.15">
      <c r="AK1717" s="2">
        <v>799.988525390625</v>
      </c>
    </row>
    <row r="1718" spans="37:37" ht="15.75" customHeight="1" x14ac:dyDescent="0.15">
      <c r="AK1718" s="2">
        <v>794.7030029296875</v>
      </c>
    </row>
    <row r="1719" spans="37:37" ht="15.75" customHeight="1" x14ac:dyDescent="0.15">
      <c r="AK1719" s="2">
        <v>789.41754150390625</v>
      </c>
    </row>
    <row r="1720" spans="37:37" ht="15.75" customHeight="1" x14ac:dyDescent="0.15">
      <c r="AK1720" s="2">
        <v>784.1319580078125</v>
      </c>
    </row>
    <row r="1721" spans="37:37" ht="15.75" customHeight="1" x14ac:dyDescent="0.15">
      <c r="AK1721" s="2">
        <v>778.846435546875</v>
      </c>
    </row>
    <row r="1722" spans="37:37" ht="15.75" customHeight="1" x14ac:dyDescent="0.15">
      <c r="AK1722" s="2">
        <v>773.560791015625</v>
      </c>
    </row>
    <row r="1723" spans="37:37" ht="15.75" customHeight="1" x14ac:dyDescent="0.15">
      <c r="AK1723" s="2">
        <v>768.2752685546875</v>
      </c>
    </row>
    <row r="1724" spans="37:37" ht="15.75" customHeight="1" x14ac:dyDescent="0.15">
      <c r="AK1724" s="2">
        <v>762.9898681640625</v>
      </c>
    </row>
    <row r="1725" spans="37:37" ht="15.75" customHeight="1" x14ac:dyDescent="0.15">
      <c r="AK1725" s="2">
        <v>757.70428466796875</v>
      </c>
    </row>
    <row r="1726" spans="37:37" ht="15.75" customHeight="1" x14ac:dyDescent="0.15">
      <c r="AK1726" s="2">
        <v>752.418701171875</v>
      </c>
    </row>
    <row r="1727" spans="37:37" ht="15.75" customHeight="1" x14ac:dyDescent="0.15">
      <c r="AK1727" s="2">
        <v>749.49603271484375</v>
      </c>
    </row>
    <row r="1728" spans="37:37" ht="15.75" customHeight="1" x14ac:dyDescent="0.15">
      <c r="AK1728" s="2">
        <v>755.48577880859375</v>
      </c>
    </row>
    <row r="1729" spans="37:37" ht="15.75" customHeight="1" x14ac:dyDescent="0.15">
      <c r="AK1729" s="2">
        <v>748.5028076171875</v>
      </c>
    </row>
    <row r="1730" spans="37:37" ht="15.75" customHeight="1" x14ac:dyDescent="0.15">
      <c r="AK1730" s="2">
        <v>741.51959228515625</v>
      </c>
    </row>
    <row r="1731" spans="37:37" ht="15.75" customHeight="1" x14ac:dyDescent="0.15">
      <c r="AK1731" s="2">
        <v>734.536376953125</v>
      </c>
    </row>
    <row r="1732" spans="37:37" ht="15.75" customHeight="1" x14ac:dyDescent="0.15">
      <c r="AK1732" s="2">
        <v>727.55322265625</v>
      </c>
    </row>
    <row r="1733" spans="37:37" ht="15.75" customHeight="1" x14ac:dyDescent="0.15">
      <c r="AK1733" s="2">
        <v>720.57000732421875</v>
      </c>
    </row>
    <row r="1734" spans="37:37" ht="15.75" customHeight="1" x14ac:dyDescent="0.15">
      <c r="AK1734" s="2">
        <v>713.5870361328125</v>
      </c>
    </row>
    <row r="1735" spans="37:37" ht="15.75" customHeight="1" x14ac:dyDescent="0.15">
      <c r="AK1735" s="2">
        <v>706.6038818359375</v>
      </c>
    </row>
    <row r="1736" spans="37:37" ht="15.75" customHeight="1" x14ac:dyDescent="0.15">
      <c r="AK1736" s="2">
        <v>699.62066650390625</v>
      </c>
    </row>
    <row r="1737" spans="37:37" ht="15.75" customHeight="1" x14ac:dyDescent="0.15">
      <c r="AK1737" s="2">
        <v>692.637451171875</v>
      </c>
    </row>
    <row r="1738" spans="37:37" ht="15.75" customHeight="1" x14ac:dyDescent="0.15">
      <c r="AK1738" s="2">
        <v>685.654296875</v>
      </c>
    </row>
    <row r="1739" spans="37:37" ht="15.75" customHeight="1" x14ac:dyDescent="0.15">
      <c r="AK1739" s="2">
        <v>678.6712646484375</v>
      </c>
    </row>
    <row r="1740" spans="37:37" ht="15.75" customHeight="1" x14ac:dyDescent="0.15">
      <c r="AK1740" s="2">
        <v>671.6881103515625</v>
      </c>
    </row>
    <row r="1741" spans="37:37" ht="15.75" customHeight="1" x14ac:dyDescent="0.15">
      <c r="AK1741" s="2">
        <v>664.70489501953125</v>
      </c>
    </row>
    <row r="1742" spans="37:37" ht="15.75" customHeight="1" x14ac:dyDescent="0.15">
      <c r="AK1742" s="2">
        <v>657.7216796875</v>
      </c>
    </row>
    <row r="1743" spans="37:37" ht="15.75" customHeight="1" x14ac:dyDescent="0.15">
      <c r="AK1743" s="2">
        <v>650.738525390625</v>
      </c>
    </row>
    <row r="1744" spans="37:37" ht="15.75" customHeight="1" x14ac:dyDescent="0.15">
      <c r="AK1744" s="2">
        <v>643.7554931640625</v>
      </c>
    </row>
    <row r="1745" spans="37:37" ht="15.75" customHeight="1" x14ac:dyDescent="0.15">
      <c r="AK1745" s="2">
        <v>636.7723388671875</v>
      </c>
    </row>
    <row r="1746" spans="37:37" ht="15.75" customHeight="1" x14ac:dyDescent="0.15">
      <c r="AK1746" s="2">
        <v>629.78912353515625</v>
      </c>
    </row>
    <row r="1747" spans="37:37" ht="15.75" customHeight="1" x14ac:dyDescent="0.15">
      <c r="AK1747" s="2">
        <v>622.805908203125</v>
      </c>
    </row>
    <row r="1748" spans="37:37" ht="15.75" customHeight="1" x14ac:dyDescent="0.15">
      <c r="AK1748" s="2">
        <v>615.82275390625</v>
      </c>
    </row>
    <row r="1749" spans="37:37" ht="15.75" customHeight="1" x14ac:dyDescent="0.15">
      <c r="AK1749" s="2">
        <v>608.8397216796875</v>
      </c>
    </row>
    <row r="1750" spans="37:37" ht="15.75" customHeight="1" x14ac:dyDescent="0.15">
      <c r="AK1750" s="2">
        <v>601.8565673828125</v>
      </c>
    </row>
    <row r="1751" spans="37:37" ht="15.75" customHeight="1" x14ac:dyDescent="0.15">
      <c r="AK1751" s="2">
        <v>584.26324462890625</v>
      </c>
    </row>
    <row r="1752" spans="37:37" ht="15.75" customHeight="1" x14ac:dyDescent="0.15">
      <c r="AK1752" s="2">
        <v>578.9776611328125</v>
      </c>
    </row>
    <row r="1753" spans="37:37" ht="15.75" customHeight="1" x14ac:dyDescent="0.15">
      <c r="AK1753" s="2">
        <v>590.12457275390625</v>
      </c>
    </row>
    <row r="1754" spans="37:37" ht="15.75" customHeight="1" x14ac:dyDescent="0.15">
      <c r="AK1754" s="2">
        <v>588.298583984375</v>
      </c>
    </row>
    <row r="1755" spans="37:37" ht="15.75" customHeight="1" x14ac:dyDescent="0.15">
      <c r="AK1755" s="2">
        <v>586.4725341796875</v>
      </c>
    </row>
    <row r="1756" spans="37:37" ht="15.75" customHeight="1" x14ac:dyDescent="0.15">
      <c r="AK1756" s="2">
        <v>584.6463623046875</v>
      </c>
    </row>
    <row r="1757" spans="37:37" ht="15.75" customHeight="1" x14ac:dyDescent="0.15">
      <c r="AK1757" s="2">
        <v>582.8203125</v>
      </c>
    </row>
    <row r="1758" spans="37:37" ht="15.75" customHeight="1" x14ac:dyDescent="0.15">
      <c r="AK1758" s="2">
        <v>580.994140625</v>
      </c>
    </row>
    <row r="1759" spans="37:37" ht="15.75" customHeight="1" x14ac:dyDescent="0.15">
      <c r="AK1759" s="2">
        <v>579.168212890625</v>
      </c>
    </row>
    <row r="1760" spans="37:37" ht="15.75" customHeight="1" x14ac:dyDescent="0.15">
      <c r="AK1760" s="2">
        <v>577.34210205078125</v>
      </c>
    </row>
    <row r="1761" spans="37:37" ht="15.75" customHeight="1" x14ac:dyDescent="0.15">
      <c r="AK1761" s="2">
        <v>575.5159912109375</v>
      </c>
    </row>
    <row r="1762" spans="37:37" ht="15.75" customHeight="1" x14ac:dyDescent="0.15">
      <c r="AK1762" s="2">
        <v>573.68988037109375</v>
      </c>
    </row>
    <row r="1763" spans="37:37" ht="15.75" customHeight="1" x14ac:dyDescent="0.15">
      <c r="AK1763" s="2">
        <v>571.86376953125</v>
      </c>
    </row>
    <row r="1764" spans="37:37" ht="15.75" customHeight="1" x14ac:dyDescent="0.15">
      <c r="AK1764" s="2">
        <v>570.03778076171875</v>
      </c>
    </row>
    <row r="1765" spans="37:37" ht="15.75" customHeight="1" x14ac:dyDescent="0.15">
      <c r="AK1765" s="2">
        <v>568.211669921875</v>
      </c>
    </row>
    <row r="1766" spans="37:37" ht="15.75" customHeight="1" x14ac:dyDescent="0.15">
      <c r="AK1766" s="2">
        <v>566.38555908203125</v>
      </c>
    </row>
    <row r="1767" spans="37:37" ht="15.75" customHeight="1" x14ac:dyDescent="0.15">
      <c r="AK1767" s="2">
        <v>564.5594482421875</v>
      </c>
    </row>
    <row r="1768" spans="37:37" ht="15.75" customHeight="1" x14ac:dyDescent="0.15">
      <c r="AK1768" s="2">
        <v>562.73333740234375</v>
      </c>
    </row>
    <row r="1769" spans="37:37" ht="15.75" customHeight="1" x14ac:dyDescent="0.15">
      <c r="AK1769" s="2">
        <v>560.90740966796875</v>
      </c>
    </row>
    <row r="1770" spans="37:37" ht="15.75" customHeight="1" x14ac:dyDescent="0.15">
      <c r="AK1770" s="2">
        <v>559.081298828125</v>
      </c>
    </row>
    <row r="1771" spans="37:37" ht="15.75" customHeight="1" x14ac:dyDescent="0.15">
      <c r="AK1771" s="2">
        <v>557.255126953125</v>
      </c>
    </row>
    <row r="1772" spans="37:37" ht="15.75" customHeight="1" x14ac:dyDescent="0.15">
      <c r="AK1772" s="2">
        <v>555.4290771484375</v>
      </c>
    </row>
    <row r="1773" spans="37:37" ht="15.75" customHeight="1" x14ac:dyDescent="0.15">
      <c r="AK1773" s="2">
        <v>553.60296630859375</v>
      </c>
    </row>
    <row r="1774" spans="37:37" ht="15.75" customHeight="1" x14ac:dyDescent="0.15">
      <c r="AK1774" s="2">
        <v>551.7769775390625</v>
      </c>
    </row>
    <row r="1775" spans="37:37" ht="15.75" customHeight="1" x14ac:dyDescent="0.15">
      <c r="AK1775" s="2">
        <v>549.95086669921875</v>
      </c>
    </row>
    <row r="1776" spans="37:37" ht="15.75" customHeight="1" x14ac:dyDescent="0.15">
      <c r="AK1776" s="2">
        <v>537.5146484375</v>
      </c>
    </row>
    <row r="1777" spans="37:37" ht="15.75" customHeight="1" x14ac:dyDescent="0.15">
      <c r="AK1777" s="2">
        <v>537.38623046875</v>
      </c>
    </row>
    <row r="1778" spans="37:37" ht="15.75" customHeight="1" x14ac:dyDescent="0.15">
      <c r="AK1778" s="2">
        <v>537.2576904296875</v>
      </c>
    </row>
    <row r="1779" spans="37:37" ht="15.75" customHeight="1" x14ac:dyDescent="0.15">
      <c r="AK1779" s="2">
        <v>537.1292724609375</v>
      </c>
    </row>
    <row r="1780" spans="37:37" ht="15.75" customHeight="1" x14ac:dyDescent="0.15">
      <c r="AK1780" s="2">
        <v>537.0008544921875</v>
      </c>
    </row>
    <row r="1781" spans="37:37" ht="15.75" customHeight="1" x14ac:dyDescent="0.15">
      <c r="AK1781" s="2">
        <v>536.872314453125</v>
      </c>
    </row>
    <row r="1782" spans="37:37" ht="15.75" customHeight="1" x14ac:dyDescent="0.15">
      <c r="AK1782" s="2">
        <v>536.74383544921875</v>
      </c>
    </row>
    <row r="1783" spans="37:37" ht="15.75" customHeight="1" x14ac:dyDescent="0.15">
      <c r="AK1783" s="2">
        <v>536.6153564453125</v>
      </c>
    </row>
    <row r="1784" spans="37:37" ht="15.75" customHeight="1" x14ac:dyDescent="0.15">
      <c r="AK1784" s="2">
        <v>536.48699951171875</v>
      </c>
    </row>
    <row r="1785" spans="37:37" ht="15.75" customHeight="1" x14ac:dyDescent="0.15">
      <c r="AK1785" s="2">
        <v>536.35845947265625</v>
      </c>
    </row>
    <row r="1786" spans="37:37" ht="15.75" customHeight="1" x14ac:dyDescent="0.15">
      <c r="AK1786" s="2">
        <v>536.23004150390625</v>
      </c>
    </row>
    <row r="1787" spans="37:37" ht="15.75" customHeight="1" x14ac:dyDescent="0.15">
      <c r="AK1787" s="2">
        <v>536.10150146484375</v>
      </c>
    </row>
    <row r="1788" spans="37:37" ht="15.75" customHeight="1" x14ac:dyDescent="0.15">
      <c r="AK1788" s="2">
        <v>535.9730224609375</v>
      </c>
    </row>
    <row r="1789" spans="37:37" ht="15.75" customHeight="1" x14ac:dyDescent="0.15">
      <c r="AK1789" s="2">
        <v>535.84466552734375</v>
      </c>
    </row>
    <row r="1790" spans="37:37" ht="15.75" customHeight="1" x14ac:dyDescent="0.15">
      <c r="AK1790" s="2">
        <v>535.71612548828125</v>
      </c>
    </row>
    <row r="1791" spans="37:37" ht="15.75" customHeight="1" x14ac:dyDescent="0.15">
      <c r="AK1791" s="2">
        <v>535.58770751953125</v>
      </c>
    </row>
    <row r="1792" spans="37:37" ht="15.75" customHeight="1" x14ac:dyDescent="0.15">
      <c r="AK1792" s="2">
        <v>535.45916748046875</v>
      </c>
    </row>
    <row r="1793" spans="37:37" ht="15.75" customHeight="1" x14ac:dyDescent="0.15">
      <c r="AK1793" s="2">
        <v>535.33062744140625</v>
      </c>
    </row>
    <row r="1794" spans="37:37" ht="15.75" customHeight="1" x14ac:dyDescent="0.15">
      <c r="AK1794" s="2">
        <v>535.20233154296875</v>
      </c>
    </row>
    <row r="1795" spans="37:37" ht="15.75" customHeight="1" x14ac:dyDescent="0.15">
      <c r="AK1795" s="2">
        <v>535.0738525390625</v>
      </c>
    </row>
    <row r="1796" spans="37:37" ht="15.75" customHeight="1" x14ac:dyDescent="0.15">
      <c r="AK1796" s="2">
        <v>534.9453125</v>
      </c>
    </row>
    <row r="1797" spans="37:37" ht="15.75" customHeight="1" x14ac:dyDescent="0.15">
      <c r="AK1797" s="2">
        <v>534.81683349609375</v>
      </c>
    </row>
    <row r="1798" spans="37:37" ht="15.75" customHeight="1" x14ac:dyDescent="0.15">
      <c r="AK1798" s="2">
        <v>534.68829345703125</v>
      </c>
    </row>
    <row r="1799" spans="37:37" ht="15.75" customHeight="1" x14ac:dyDescent="0.15">
      <c r="AK1799" s="2">
        <v>534.55999755859375</v>
      </c>
    </row>
    <row r="1800" spans="37:37" ht="15.75" customHeight="1" x14ac:dyDescent="0.15">
      <c r="AK1800" s="2">
        <v>534.43145751953125</v>
      </c>
    </row>
    <row r="1801" spans="37:37" ht="15.75" customHeight="1" x14ac:dyDescent="0.15">
      <c r="AK1801" s="2">
        <v>534.302978515625</v>
      </c>
    </row>
    <row r="1802" spans="37:37" ht="15.75" customHeight="1" x14ac:dyDescent="0.15">
      <c r="AK1802" s="2">
        <v>534.17449951171875</v>
      </c>
    </row>
    <row r="1803" spans="37:37" ht="15.75" customHeight="1" x14ac:dyDescent="0.15">
      <c r="AK1803" s="2">
        <v>550.4783935546875</v>
      </c>
    </row>
    <row r="1804" spans="37:37" ht="15.75" customHeight="1" x14ac:dyDescent="0.15">
      <c r="AK1804" s="2">
        <v>553.80950927734375</v>
      </c>
    </row>
    <row r="1805" spans="37:37" ht="15.75" customHeight="1" x14ac:dyDescent="0.15">
      <c r="AK1805" s="2">
        <v>557.1405029296875</v>
      </c>
    </row>
    <row r="1806" spans="37:37" ht="15.75" customHeight="1" x14ac:dyDescent="0.15">
      <c r="AK1806" s="2">
        <v>560.471435546875</v>
      </c>
    </row>
    <row r="1807" spans="37:37" ht="15.75" customHeight="1" x14ac:dyDescent="0.15">
      <c r="AK1807" s="2">
        <v>563.80242919921875</v>
      </c>
    </row>
    <row r="1808" spans="37:37" ht="15.75" customHeight="1" x14ac:dyDescent="0.15">
      <c r="AK1808" s="2">
        <v>567.1334228515625</v>
      </c>
    </row>
    <row r="1809" spans="37:37" ht="15.75" customHeight="1" x14ac:dyDescent="0.15">
      <c r="AK1809" s="2">
        <v>570.4644775390625</v>
      </c>
    </row>
    <row r="1810" spans="37:37" ht="15.75" customHeight="1" x14ac:dyDescent="0.15">
      <c r="AK1810" s="2">
        <v>573.79541015625</v>
      </c>
    </row>
    <row r="1811" spans="37:37" ht="15.75" customHeight="1" x14ac:dyDescent="0.15">
      <c r="AK1811" s="2">
        <v>577.12640380859375</v>
      </c>
    </row>
    <row r="1812" spans="37:37" ht="15.75" customHeight="1" x14ac:dyDescent="0.15">
      <c r="AK1812" s="2">
        <v>580.4573974609375</v>
      </c>
    </row>
    <row r="1813" spans="37:37" ht="15.75" customHeight="1" x14ac:dyDescent="0.15">
      <c r="AK1813" s="2">
        <v>583.78839111328125</v>
      </c>
    </row>
    <row r="1814" spans="37:37" ht="15.75" customHeight="1" x14ac:dyDescent="0.15">
      <c r="AK1814" s="2">
        <v>587.11944580078125</v>
      </c>
    </row>
    <row r="1815" spans="37:37" ht="15.75" customHeight="1" x14ac:dyDescent="0.15">
      <c r="AK1815" s="2">
        <v>590.45037841796875</v>
      </c>
    </row>
    <row r="1816" spans="37:37" ht="15.75" customHeight="1" x14ac:dyDescent="0.15">
      <c r="AK1816" s="2">
        <v>593.7813720703125</v>
      </c>
    </row>
    <row r="1817" spans="37:37" ht="15.75" customHeight="1" x14ac:dyDescent="0.15">
      <c r="AK1817" s="2">
        <v>597.11236572265625</v>
      </c>
    </row>
    <row r="1818" spans="37:37" ht="15.75" customHeight="1" x14ac:dyDescent="0.15">
      <c r="AK1818" s="2">
        <v>600.44329833984375</v>
      </c>
    </row>
    <row r="1819" spans="37:37" ht="15.75" customHeight="1" x14ac:dyDescent="0.15">
      <c r="AK1819" s="2">
        <v>603.77435302734375</v>
      </c>
    </row>
    <row r="1820" spans="37:37" ht="15.75" customHeight="1" x14ac:dyDescent="0.15">
      <c r="AK1820" s="2">
        <v>607.1053466796875</v>
      </c>
    </row>
    <row r="1821" spans="37:37" ht="15.75" customHeight="1" x14ac:dyDescent="0.15">
      <c r="AK1821" s="2">
        <v>610.436279296875</v>
      </c>
    </row>
    <row r="1822" spans="37:37" ht="15.75" customHeight="1" x14ac:dyDescent="0.15">
      <c r="AK1822" s="2">
        <v>613.767333984375</v>
      </c>
    </row>
    <row r="1823" spans="37:37" ht="15.75" customHeight="1" x14ac:dyDescent="0.15">
      <c r="AK1823" s="2">
        <v>617.0982666015625</v>
      </c>
    </row>
    <row r="1824" spans="37:37" ht="15.75" customHeight="1" x14ac:dyDescent="0.15">
      <c r="AK1824" s="2">
        <v>620.42938232421875</v>
      </c>
    </row>
    <row r="1825" spans="37:37" ht="15.75" customHeight="1" x14ac:dyDescent="0.15">
      <c r="AK1825" s="2">
        <v>623.76025390625</v>
      </c>
    </row>
    <row r="1826" spans="37:37" ht="15.75" customHeight="1" x14ac:dyDescent="0.15">
      <c r="AK1826" s="2">
        <v>627.09130859375</v>
      </c>
    </row>
    <row r="1827" spans="37:37" ht="15.75" customHeight="1" x14ac:dyDescent="0.15">
      <c r="AK1827" s="2">
        <v>630.42230224609375</v>
      </c>
    </row>
    <row r="1828" spans="37:37" ht="15.75" customHeight="1" x14ac:dyDescent="0.15">
      <c r="AK1828" s="2">
        <v>650.18560791015625</v>
      </c>
    </row>
    <row r="1829" spans="37:37" ht="15.75" customHeight="1" x14ac:dyDescent="0.15">
      <c r="AK1829" s="2">
        <v>656.97613525390625</v>
      </c>
    </row>
    <row r="1830" spans="37:37" ht="15.75" customHeight="1" x14ac:dyDescent="0.15">
      <c r="AK1830" s="2">
        <v>663.7666015625</v>
      </c>
    </row>
    <row r="1831" spans="37:37" ht="15.75" customHeight="1" x14ac:dyDescent="0.15">
      <c r="AK1831" s="2">
        <v>670.5570068359375</v>
      </c>
    </row>
    <row r="1832" spans="37:37" ht="15.75" customHeight="1" x14ac:dyDescent="0.15">
      <c r="AK1832" s="2">
        <v>677.34747314453125</v>
      </c>
    </row>
    <row r="1833" spans="37:37" ht="15.75" customHeight="1" x14ac:dyDescent="0.15">
      <c r="AK1833" s="2">
        <v>684.137939453125</v>
      </c>
    </row>
    <row r="1834" spans="37:37" ht="15.75" customHeight="1" x14ac:dyDescent="0.15">
      <c r="AK1834" s="2">
        <v>690.9283447265625</v>
      </c>
    </row>
    <row r="1835" spans="37:37" ht="15.75" customHeight="1" x14ac:dyDescent="0.15">
      <c r="AK1835" s="2">
        <v>697.71881103515625</v>
      </c>
    </row>
    <row r="1836" spans="37:37" ht="15.75" customHeight="1" x14ac:dyDescent="0.15">
      <c r="AK1836" s="2">
        <v>704.50933837890625</v>
      </c>
    </row>
    <row r="1837" spans="37:37" ht="15.75" customHeight="1" x14ac:dyDescent="0.15">
      <c r="AK1837" s="2">
        <v>711.29974365234375</v>
      </c>
    </row>
    <row r="1838" spans="37:37" ht="15.75" customHeight="1" x14ac:dyDescent="0.15">
      <c r="AK1838" s="2">
        <v>718.0902099609375</v>
      </c>
    </row>
    <row r="1839" spans="37:37" ht="15.75" customHeight="1" x14ac:dyDescent="0.15">
      <c r="AK1839" s="2">
        <v>724.880615234375</v>
      </c>
    </row>
    <row r="1840" spans="37:37" ht="15.75" customHeight="1" x14ac:dyDescent="0.15">
      <c r="AK1840" s="2">
        <v>731.6710205078125</v>
      </c>
    </row>
    <row r="1841" spans="37:37" ht="15.75" customHeight="1" x14ac:dyDescent="0.15">
      <c r="AK1841" s="2">
        <v>738.46148681640625</v>
      </c>
    </row>
    <row r="1842" spans="37:37" ht="15.75" customHeight="1" x14ac:dyDescent="0.15">
      <c r="AK1842" s="2">
        <v>745.25201416015625</v>
      </c>
    </row>
    <row r="1843" spans="37:37" ht="15.75" customHeight="1" x14ac:dyDescent="0.15">
      <c r="AK1843" s="2">
        <v>752.04241943359375</v>
      </c>
    </row>
    <row r="1844" spans="37:37" ht="15.75" customHeight="1" x14ac:dyDescent="0.15">
      <c r="AK1844" s="2">
        <v>758.83282470703125</v>
      </c>
    </row>
    <row r="1845" spans="37:37" ht="15.75" customHeight="1" x14ac:dyDescent="0.15">
      <c r="AK1845" s="2">
        <v>765.62335205078125</v>
      </c>
    </row>
    <row r="1846" spans="37:37" ht="15.75" customHeight="1" x14ac:dyDescent="0.15">
      <c r="AK1846" s="2">
        <v>772.413818359375</v>
      </c>
    </row>
    <row r="1847" spans="37:37" ht="15.75" customHeight="1" x14ac:dyDescent="0.15">
      <c r="AK1847" s="2">
        <v>779.2042236328125</v>
      </c>
    </row>
    <row r="1848" spans="37:37" ht="15.75" customHeight="1" x14ac:dyDescent="0.15">
      <c r="AK1848" s="2">
        <v>785.99468994140625</v>
      </c>
    </row>
    <row r="1849" spans="37:37" ht="15.75" customHeight="1" x14ac:dyDescent="0.15">
      <c r="AK1849" s="2">
        <v>792.78515625</v>
      </c>
    </row>
    <row r="1850" spans="37:37" ht="15.75" customHeight="1" x14ac:dyDescent="0.15">
      <c r="AK1850" s="2">
        <v>799.5755615234375</v>
      </c>
    </row>
    <row r="1851" spans="37:37" ht="15.75" customHeight="1" x14ac:dyDescent="0.15">
      <c r="AK1851" s="2">
        <v>806.36602783203125</v>
      </c>
    </row>
    <row r="1852" spans="37:37" ht="15.75" customHeight="1" x14ac:dyDescent="0.15">
      <c r="AK1852" s="2">
        <v>813.15655517578125</v>
      </c>
    </row>
    <row r="1853" spans="37:37" ht="15.75" customHeight="1" x14ac:dyDescent="0.15">
      <c r="AK1853" s="2">
        <v>819.9468994140625</v>
      </c>
    </row>
    <row r="1854" spans="37:37" ht="15.75" customHeight="1" x14ac:dyDescent="0.15">
      <c r="AK1854" s="2">
        <v>826.73736572265625</v>
      </c>
    </row>
    <row r="1855" spans="37:37" ht="15.75" customHeight="1" x14ac:dyDescent="0.15">
      <c r="AK1855" s="2">
        <v>833.52783203125</v>
      </c>
    </row>
    <row r="1856" spans="37:37" ht="15.75" customHeight="1" x14ac:dyDescent="0.15">
      <c r="AK1856" s="2">
        <v>840.31829833984375</v>
      </c>
    </row>
    <row r="1857" spans="37:37" ht="15.75" customHeight="1" x14ac:dyDescent="0.15">
      <c r="AK1857" s="2">
        <v>847.1087646484375</v>
      </c>
    </row>
    <row r="1858" spans="37:37" ht="15.75" customHeight="1" x14ac:dyDescent="0.15">
      <c r="AK1858" s="2">
        <v>853.89923095703125</v>
      </c>
    </row>
    <row r="1859" spans="37:37" ht="15.75" customHeight="1" x14ac:dyDescent="0.15">
      <c r="AK1859" s="2">
        <v>860.689697265625</v>
      </c>
    </row>
    <row r="1860" spans="37:37" ht="15.75" customHeight="1" x14ac:dyDescent="0.15">
      <c r="AK1860" s="2">
        <v>867.48004150390625</v>
      </c>
    </row>
    <row r="1861" spans="37:37" ht="15.75" customHeight="1" x14ac:dyDescent="0.15">
      <c r="AK1861" s="2">
        <v>874.27056884765625</v>
      </c>
    </row>
    <row r="1862" spans="37:37" ht="15.75" customHeight="1" x14ac:dyDescent="0.15">
      <c r="AK1862" s="2">
        <v>881.06103515625</v>
      </c>
    </row>
    <row r="1863" spans="37:37" ht="15.75" customHeight="1" x14ac:dyDescent="0.15">
      <c r="AK1863" s="2">
        <v>887.8514404296875</v>
      </c>
    </row>
    <row r="1864" spans="37:37" ht="15.75" customHeight="1" x14ac:dyDescent="0.15">
      <c r="AK1864" s="2">
        <v>894.641845703125</v>
      </c>
    </row>
    <row r="1865" spans="37:37" ht="15.75" customHeight="1" x14ac:dyDescent="0.15">
      <c r="AK1865" s="2">
        <v>901.4322509765625</v>
      </c>
    </row>
    <row r="1866" spans="37:37" ht="15.75" customHeight="1" x14ac:dyDescent="0.15">
      <c r="AK1866" s="2">
        <v>908.2227783203125</v>
      </c>
    </row>
    <row r="1867" spans="37:37" ht="15.75" customHeight="1" x14ac:dyDescent="0.15">
      <c r="AK1867" s="2">
        <v>915.01324462890625</v>
      </c>
    </row>
    <row r="1868" spans="37:37" ht="15.75" customHeight="1" x14ac:dyDescent="0.15">
      <c r="AK1868" s="2">
        <v>921.8037109375</v>
      </c>
    </row>
    <row r="1869" spans="37:37" ht="15.75" customHeight="1" x14ac:dyDescent="0.15">
      <c r="AK1869" s="2">
        <v>928.59405517578125</v>
      </c>
    </row>
    <row r="1870" spans="37:37" ht="15.75" customHeight="1" x14ac:dyDescent="0.15">
      <c r="AK1870" s="2">
        <v>935.38458251953125</v>
      </c>
    </row>
    <row r="1871" spans="37:37" ht="15.75" customHeight="1" x14ac:dyDescent="0.15">
      <c r="AK1871" s="2">
        <v>942.175048828125</v>
      </c>
    </row>
    <row r="1872" spans="37:37" ht="15.75" customHeight="1" x14ac:dyDescent="0.15">
      <c r="AK1872" s="2">
        <v>948.965576171875</v>
      </c>
    </row>
    <row r="1873" spans="37:37" ht="15.75" customHeight="1" x14ac:dyDescent="0.15">
      <c r="AK1873" s="2">
        <v>955.7559814453125</v>
      </c>
    </row>
    <row r="1874" spans="37:37" ht="15.75" customHeight="1" x14ac:dyDescent="0.15">
      <c r="AK1874" s="2">
        <v>962.54638671875</v>
      </c>
    </row>
    <row r="1875" spans="37:37" ht="15.75" customHeight="1" x14ac:dyDescent="0.15">
      <c r="AK1875" s="2">
        <v>969.33685302734375</v>
      </c>
    </row>
    <row r="1876" spans="37:37" ht="15.75" customHeight="1" x14ac:dyDescent="0.15">
      <c r="AK1876" s="2">
        <v>976.12725830078125</v>
      </c>
    </row>
    <row r="1877" spans="37:37" ht="15.75" customHeight="1" x14ac:dyDescent="0.15">
      <c r="AK1877" s="2">
        <v>985.28070068359375</v>
      </c>
    </row>
    <row r="1878" spans="37:37" ht="15.75" customHeight="1" x14ac:dyDescent="0.15">
      <c r="AK1878" s="2">
        <v>986.91400146484375</v>
      </c>
    </row>
    <row r="1879" spans="37:37" ht="15.75" customHeight="1" x14ac:dyDescent="0.15">
      <c r="AK1879" s="2">
        <v>988.5474853515625</v>
      </c>
    </row>
    <row r="1880" spans="37:37" ht="15.75" customHeight="1" x14ac:dyDescent="0.15">
      <c r="AK1880" s="2">
        <v>990.1807861328125</v>
      </c>
    </row>
    <row r="1881" spans="37:37" ht="15.75" customHeight="1" x14ac:dyDescent="0.15">
      <c r="AK1881" s="2">
        <v>991.814208984375</v>
      </c>
    </row>
    <row r="1882" spans="37:37" ht="15.75" customHeight="1" x14ac:dyDescent="0.15">
      <c r="AK1882" s="2">
        <v>993.4476318359375</v>
      </c>
    </row>
    <row r="1883" spans="37:37" ht="15.75" customHeight="1" x14ac:dyDescent="0.15">
      <c r="AK1883" s="2">
        <v>995.0809326171875</v>
      </c>
    </row>
    <row r="1884" spans="37:37" ht="15.75" customHeight="1" x14ac:dyDescent="0.15">
      <c r="AK1884" s="2">
        <v>996.71435546875</v>
      </c>
    </row>
    <row r="1885" spans="37:37" ht="15.75" customHeight="1" x14ac:dyDescent="0.15">
      <c r="AK1885" s="2">
        <v>998.34765625</v>
      </c>
    </row>
    <row r="1886" spans="37:37" ht="15.75" customHeight="1" x14ac:dyDescent="0.15">
      <c r="AK1886" s="2">
        <v>999.9810791015625</v>
      </c>
    </row>
    <row r="1887" spans="37:37" ht="15.75" customHeight="1" x14ac:dyDescent="0.15">
      <c r="AK1887" s="2">
        <v>1001.614501953125</v>
      </c>
    </row>
    <row r="1888" spans="37:37" ht="15.75" customHeight="1" x14ac:dyDescent="0.15">
      <c r="AK1888" s="2">
        <v>1003.247802734375</v>
      </c>
    </row>
    <row r="1889" spans="37:37" ht="15.75" customHeight="1" x14ac:dyDescent="0.15">
      <c r="AK1889" s="2">
        <v>1004.8812255859375</v>
      </c>
    </row>
    <row r="1890" spans="37:37" ht="15.75" customHeight="1" x14ac:dyDescent="0.15">
      <c r="AK1890" s="2">
        <v>1006.5145263671875</v>
      </c>
    </row>
    <row r="1891" spans="37:37" ht="15.75" customHeight="1" x14ac:dyDescent="0.15">
      <c r="AK1891" s="2">
        <v>1008.14794921875</v>
      </c>
    </row>
    <row r="1892" spans="37:37" ht="15.75" customHeight="1" x14ac:dyDescent="0.15">
      <c r="AK1892" s="2">
        <v>1009.7813720703125</v>
      </c>
    </row>
    <row r="1893" spans="37:37" ht="15.75" customHeight="1" x14ac:dyDescent="0.15">
      <c r="AK1893" s="2">
        <v>1011.4146728515625</v>
      </c>
    </row>
    <row r="1894" spans="37:37" ht="15.75" customHeight="1" x14ac:dyDescent="0.15">
      <c r="AK1894" s="2">
        <v>1013.048095703125</v>
      </c>
    </row>
    <row r="1895" spans="37:37" ht="15.75" customHeight="1" x14ac:dyDescent="0.15">
      <c r="AK1895" s="2">
        <v>1014.6815185546875</v>
      </c>
    </row>
    <row r="1896" spans="37:37" ht="15.75" customHeight="1" x14ac:dyDescent="0.15">
      <c r="AK1896" s="2">
        <v>1016.3148193359375</v>
      </c>
    </row>
    <row r="1897" spans="37:37" ht="15.75" customHeight="1" x14ac:dyDescent="0.15">
      <c r="AK1897" s="2">
        <v>1017.9482421875</v>
      </c>
    </row>
    <row r="1898" spans="37:37" ht="15.75" customHeight="1" x14ac:dyDescent="0.15">
      <c r="AK1898" s="2">
        <v>1019.58154296875</v>
      </c>
    </row>
    <row r="1899" spans="37:37" ht="15.75" customHeight="1" x14ac:dyDescent="0.15">
      <c r="AK1899" s="2">
        <v>1021.2149658203125</v>
      </c>
    </row>
    <row r="1900" spans="37:37" ht="15.75" customHeight="1" x14ac:dyDescent="0.15">
      <c r="AK1900" s="2">
        <v>1022.848388671875</v>
      </c>
    </row>
    <row r="1901" spans="37:37" ht="15.75" customHeight="1" x14ac:dyDescent="0.15">
      <c r="AK1901" s="2">
        <v>1024.481689453125</v>
      </c>
    </row>
    <row r="1902" spans="37:37" ht="15.75" customHeight="1" x14ac:dyDescent="0.15">
      <c r="AK1902" s="2">
        <v>1028.47802734375</v>
      </c>
    </row>
    <row r="1903" spans="37:37" ht="15.75" customHeight="1" x14ac:dyDescent="0.15">
      <c r="AK1903" s="2">
        <v>1024.954345703125</v>
      </c>
    </row>
    <row r="1904" spans="37:37" ht="15.75" customHeight="1" x14ac:dyDescent="0.15">
      <c r="AK1904" s="2">
        <v>1021.4307250976563</v>
      </c>
    </row>
    <row r="1905" spans="37:37" ht="15.75" customHeight="1" x14ac:dyDescent="0.15">
      <c r="AK1905" s="2">
        <v>1017.906982421875</v>
      </c>
    </row>
    <row r="1906" spans="37:37" ht="15.75" customHeight="1" x14ac:dyDescent="0.15">
      <c r="AK1906" s="2">
        <v>1014.38330078125</v>
      </c>
    </row>
    <row r="1907" spans="37:37" ht="15.75" customHeight="1" x14ac:dyDescent="0.15">
      <c r="AK1907" s="2">
        <v>1010.8595581054688</v>
      </c>
    </row>
    <row r="1908" spans="37:37" ht="15.75" customHeight="1" x14ac:dyDescent="0.15">
      <c r="AK1908" s="2">
        <v>1007.3358154296875</v>
      </c>
    </row>
    <row r="1909" spans="37:37" ht="15.75" customHeight="1" x14ac:dyDescent="0.15">
      <c r="AK1909" s="2">
        <v>1003.812255859375</v>
      </c>
    </row>
    <row r="1910" spans="37:37" ht="15.75" customHeight="1" x14ac:dyDescent="0.15">
      <c r="AK1910" s="2">
        <v>1000.2885131835938</v>
      </c>
    </row>
    <row r="1911" spans="37:37" ht="15.75" customHeight="1" x14ac:dyDescent="0.15">
      <c r="AK1911" s="2">
        <v>996.76483154296875</v>
      </c>
    </row>
    <row r="1912" spans="37:37" ht="15.75" customHeight="1" x14ac:dyDescent="0.15">
      <c r="AK1912" s="2">
        <v>993.2410888671875</v>
      </c>
    </row>
    <row r="1913" spans="37:37" ht="15.75" customHeight="1" x14ac:dyDescent="0.15">
      <c r="AK1913" s="2">
        <v>989.7174072265625</v>
      </c>
    </row>
    <row r="1914" spans="37:37" ht="15.75" customHeight="1" x14ac:dyDescent="0.15">
      <c r="AK1914" s="2">
        <v>986.1937255859375</v>
      </c>
    </row>
    <row r="1915" spans="37:37" ht="15.75" customHeight="1" x14ac:dyDescent="0.15">
      <c r="AK1915" s="2">
        <v>982.6700439453125</v>
      </c>
    </row>
    <row r="1916" spans="37:37" ht="15.75" customHeight="1" x14ac:dyDescent="0.15">
      <c r="AK1916" s="2">
        <v>979.14630126953125</v>
      </c>
    </row>
    <row r="1917" spans="37:37" ht="15.75" customHeight="1" x14ac:dyDescent="0.15">
      <c r="AK1917" s="2">
        <v>975.62261962890625</v>
      </c>
    </row>
    <row r="1918" spans="37:37" ht="15.75" customHeight="1" x14ac:dyDescent="0.15">
      <c r="AK1918" s="2">
        <v>972.098876953125</v>
      </c>
    </row>
    <row r="1919" spans="37:37" ht="15.75" customHeight="1" x14ac:dyDescent="0.15">
      <c r="AK1919" s="2">
        <v>968.5753173828125</v>
      </c>
    </row>
    <row r="1920" spans="37:37" ht="15.75" customHeight="1" x14ac:dyDescent="0.15">
      <c r="AK1920" s="2">
        <v>965.0516357421875</v>
      </c>
    </row>
    <row r="1921" spans="37:37" ht="15.75" customHeight="1" x14ac:dyDescent="0.15">
      <c r="AK1921" s="2">
        <v>961.52783203125</v>
      </c>
    </row>
    <row r="1922" spans="37:37" ht="15.75" customHeight="1" x14ac:dyDescent="0.15">
      <c r="AK1922" s="2">
        <v>958.004150390625</v>
      </c>
    </row>
    <row r="1923" spans="37:37" ht="15.75" customHeight="1" x14ac:dyDescent="0.15">
      <c r="AK1923" s="2">
        <v>954.48046875</v>
      </c>
    </row>
    <row r="1924" spans="37:37" ht="15.75" customHeight="1" x14ac:dyDescent="0.15">
      <c r="AK1924" s="2">
        <v>950.956787109375</v>
      </c>
    </row>
    <row r="1925" spans="37:37" ht="15.75" customHeight="1" x14ac:dyDescent="0.15">
      <c r="AK1925" s="2">
        <v>947.43310546875</v>
      </c>
    </row>
    <row r="1926" spans="37:37" ht="15.75" customHeight="1" x14ac:dyDescent="0.15">
      <c r="AK1926" s="2">
        <v>933.29931640625</v>
      </c>
    </row>
    <row r="1927" spans="37:37" ht="15.75" customHeight="1" x14ac:dyDescent="0.15">
      <c r="AK1927" s="2">
        <v>931.4732666015625</v>
      </c>
    </row>
    <row r="1928" spans="37:37" ht="15.75" customHeight="1" x14ac:dyDescent="0.15">
      <c r="AK1928" s="2">
        <v>929.6470947265625</v>
      </c>
    </row>
    <row r="1929" spans="37:37" ht="15.75" customHeight="1" x14ac:dyDescent="0.15">
      <c r="AK1929" s="2">
        <v>927.8211669921875</v>
      </c>
    </row>
    <row r="1930" spans="37:37" ht="15.75" customHeight="1" x14ac:dyDescent="0.15">
      <c r="AK1930" s="2">
        <v>925.9949951171875</v>
      </c>
    </row>
    <row r="1931" spans="37:37" ht="15.75" customHeight="1" x14ac:dyDescent="0.15">
      <c r="AK1931" s="2">
        <v>924.1689453125</v>
      </c>
    </row>
    <row r="1932" spans="37:37" ht="15.75" customHeight="1" x14ac:dyDescent="0.15">
      <c r="AK1932" s="2">
        <v>922.3428955078125</v>
      </c>
    </row>
    <row r="1933" spans="37:37" ht="15.75" customHeight="1" x14ac:dyDescent="0.15">
      <c r="AK1933" s="2">
        <v>920.5167236328125</v>
      </c>
    </row>
    <row r="1934" spans="37:37" ht="15.75" customHeight="1" x14ac:dyDescent="0.15">
      <c r="AK1934" s="2">
        <v>918.69073486328125</v>
      </c>
    </row>
    <row r="1935" spans="37:37" ht="15.75" customHeight="1" x14ac:dyDescent="0.15">
      <c r="AK1935" s="2">
        <v>916.8646240234375</v>
      </c>
    </row>
    <row r="1936" spans="37:37" ht="15.75" customHeight="1" x14ac:dyDescent="0.15">
      <c r="AK1936" s="2">
        <v>915.03851318359375</v>
      </c>
    </row>
    <row r="1937" spans="37:37" ht="15.75" customHeight="1" x14ac:dyDescent="0.15">
      <c r="AK1937" s="2">
        <v>913.21240234375</v>
      </c>
    </row>
    <row r="1938" spans="37:37" ht="15.75" customHeight="1" x14ac:dyDescent="0.15">
      <c r="AK1938" s="2">
        <v>911.3863525390625</v>
      </c>
    </row>
    <row r="1939" spans="37:37" ht="15.75" customHeight="1" x14ac:dyDescent="0.15">
      <c r="AK1939" s="2">
        <v>909.56024169921875</v>
      </c>
    </row>
    <row r="1940" spans="37:37" ht="15.75" customHeight="1" x14ac:dyDescent="0.15">
      <c r="AK1940" s="2">
        <v>907.73419189453125</v>
      </c>
    </row>
    <row r="1941" spans="37:37" ht="15.75" customHeight="1" x14ac:dyDescent="0.15">
      <c r="AK1941" s="2">
        <v>905.90814208984375</v>
      </c>
    </row>
    <row r="1942" spans="37:37" ht="15.75" customHeight="1" x14ac:dyDescent="0.15">
      <c r="AK1942" s="2">
        <v>904.08197021484375</v>
      </c>
    </row>
    <row r="1943" spans="37:37" ht="15.75" customHeight="1" x14ac:dyDescent="0.15">
      <c r="AK1943" s="2">
        <v>902.25592041015625</v>
      </c>
    </row>
    <row r="1944" spans="37:37" ht="15.75" customHeight="1" x14ac:dyDescent="0.15">
      <c r="AK1944" s="2">
        <v>900.429931640625</v>
      </c>
    </row>
    <row r="1945" spans="37:37" ht="15.75" customHeight="1" x14ac:dyDescent="0.15">
      <c r="AK1945" s="2">
        <v>898.6038818359375</v>
      </c>
    </row>
    <row r="1946" spans="37:37" ht="15.75" customHeight="1" x14ac:dyDescent="0.15">
      <c r="AK1946" s="2">
        <v>896.7777099609375</v>
      </c>
    </row>
    <row r="1947" spans="37:37" ht="15.75" customHeight="1" x14ac:dyDescent="0.15">
      <c r="AK1947" s="2">
        <v>894.95166015625</v>
      </c>
    </row>
    <row r="1948" spans="37:37" ht="15.75" customHeight="1" x14ac:dyDescent="0.15">
      <c r="AK1948" s="2">
        <v>893.1256103515625</v>
      </c>
    </row>
    <row r="1949" spans="37:37" ht="15.75" customHeight="1" x14ac:dyDescent="0.15">
      <c r="AK1949" s="2">
        <v>891.2994384765625</v>
      </c>
    </row>
    <row r="1950" spans="37:37" ht="15.75" customHeight="1" x14ac:dyDescent="0.15">
      <c r="AK1950" s="2">
        <v>889.473388671875</v>
      </c>
    </row>
    <row r="1951" spans="37:37" ht="15.75" customHeight="1" x14ac:dyDescent="0.15">
      <c r="AK1951" s="2">
        <v>877.0372314453125</v>
      </c>
    </row>
    <row r="1952" spans="37:37" ht="15.75" customHeight="1" x14ac:dyDescent="0.15">
      <c r="AK1952" s="2">
        <v>879.2716064453125</v>
      </c>
    </row>
    <row r="1953" spans="37:37" ht="15.75" customHeight="1" x14ac:dyDescent="0.15">
      <c r="AK1953" s="2">
        <v>873.98602294921875</v>
      </c>
    </row>
    <row r="1954" spans="37:37" ht="15.75" customHeight="1" x14ac:dyDescent="0.15">
      <c r="AK1954" s="2">
        <v>868.70068359375</v>
      </c>
    </row>
    <row r="1955" spans="37:37" ht="15.75" customHeight="1" x14ac:dyDescent="0.15">
      <c r="AK1955" s="2">
        <v>863.4150390625</v>
      </c>
    </row>
    <row r="1956" spans="37:37" ht="15.75" customHeight="1" x14ac:dyDescent="0.15">
      <c r="AK1956" s="2">
        <v>858.1295166015625</v>
      </c>
    </row>
    <row r="1957" spans="37:37" ht="15.75" customHeight="1" x14ac:dyDescent="0.15">
      <c r="AK1957" s="2">
        <v>852.84393310546875</v>
      </c>
    </row>
    <row r="1958" spans="37:37" ht="15.75" customHeight="1" x14ac:dyDescent="0.15">
      <c r="AK1958" s="2">
        <v>847.558349609375</v>
      </c>
    </row>
    <row r="1959" spans="37:37" ht="15.75" customHeight="1" x14ac:dyDescent="0.15">
      <c r="AK1959" s="2">
        <v>842.27294921875</v>
      </c>
    </row>
    <row r="1960" spans="37:37" ht="15.75" customHeight="1" x14ac:dyDescent="0.15">
      <c r="AK1960" s="2">
        <v>836.98736572265625</v>
      </c>
    </row>
    <row r="1961" spans="37:37" ht="15.75" customHeight="1" x14ac:dyDescent="0.15">
      <c r="AK1961" s="2">
        <v>831.7017822265625</v>
      </c>
    </row>
    <row r="1962" spans="37:37" ht="15.75" customHeight="1" x14ac:dyDescent="0.15">
      <c r="AK1962" s="2">
        <v>826.41619873046875</v>
      </c>
    </row>
    <row r="1963" spans="37:37" ht="15.75" customHeight="1" x14ac:dyDescent="0.15">
      <c r="AK1963" s="2">
        <v>821.130615234375</v>
      </c>
    </row>
    <row r="1964" spans="37:37" ht="15.75" customHeight="1" x14ac:dyDescent="0.15">
      <c r="AK1964" s="2">
        <v>815.84527587890625</v>
      </c>
    </row>
    <row r="1965" spans="37:37" ht="15.75" customHeight="1" x14ac:dyDescent="0.15">
      <c r="AK1965" s="2">
        <v>810.5596923828125</v>
      </c>
    </row>
    <row r="1966" spans="37:37" ht="15.75" customHeight="1" x14ac:dyDescent="0.15">
      <c r="AK1966" s="2">
        <v>805.274169921875</v>
      </c>
    </row>
    <row r="1967" spans="37:37" ht="15.75" customHeight="1" x14ac:dyDescent="0.15">
      <c r="AK1967" s="2">
        <v>799.988525390625</v>
      </c>
    </row>
    <row r="1968" spans="37:37" ht="15.75" customHeight="1" x14ac:dyDescent="0.15">
      <c r="AK1968" s="2">
        <v>794.7030029296875</v>
      </c>
    </row>
    <row r="1969" spans="37:37" ht="15.75" customHeight="1" x14ac:dyDescent="0.15">
      <c r="AK1969" s="2">
        <v>789.41754150390625</v>
      </c>
    </row>
    <row r="1970" spans="37:37" ht="15.75" customHeight="1" x14ac:dyDescent="0.15">
      <c r="AK1970" s="2">
        <v>784.1319580078125</v>
      </c>
    </row>
    <row r="1971" spans="37:37" ht="15.75" customHeight="1" x14ac:dyDescent="0.15">
      <c r="AK1971" s="2">
        <v>778.846435546875</v>
      </c>
    </row>
    <row r="1972" spans="37:37" ht="15.75" customHeight="1" x14ac:dyDescent="0.15">
      <c r="AK1972" s="2">
        <v>773.560791015625</v>
      </c>
    </row>
    <row r="1973" spans="37:37" ht="15.75" customHeight="1" x14ac:dyDescent="0.15">
      <c r="AK1973" s="2">
        <v>768.2752685546875</v>
      </c>
    </row>
    <row r="1974" spans="37:37" ht="15.75" customHeight="1" x14ac:dyDescent="0.15">
      <c r="AK1974" s="2">
        <v>762.9898681640625</v>
      </c>
    </row>
    <row r="1975" spans="37:37" ht="15.75" customHeight="1" x14ac:dyDescent="0.15">
      <c r="AK1975" s="2">
        <v>757.70428466796875</v>
      </c>
    </row>
    <row r="1976" spans="37:37" ht="15.75" customHeight="1" x14ac:dyDescent="0.15">
      <c r="AK1976" s="2">
        <v>752.418701171875</v>
      </c>
    </row>
    <row r="1977" spans="37:37" ht="15.75" customHeight="1" x14ac:dyDescent="0.15">
      <c r="AK1977" s="2">
        <v>749.49603271484375</v>
      </c>
    </row>
    <row r="1978" spans="37:37" ht="15.75" customHeight="1" x14ac:dyDescent="0.15">
      <c r="AK1978" s="2">
        <v>755.48577880859375</v>
      </c>
    </row>
    <row r="1979" spans="37:37" ht="15.75" customHeight="1" x14ac:dyDescent="0.15">
      <c r="AK1979" s="2">
        <v>748.5028076171875</v>
      </c>
    </row>
    <row r="1980" spans="37:37" ht="15.75" customHeight="1" x14ac:dyDescent="0.15">
      <c r="AK1980" s="2">
        <v>741.51959228515625</v>
      </c>
    </row>
    <row r="1981" spans="37:37" ht="15.75" customHeight="1" x14ac:dyDescent="0.15">
      <c r="AK1981" s="2">
        <v>734.536376953125</v>
      </c>
    </row>
    <row r="1982" spans="37:37" ht="15.75" customHeight="1" x14ac:dyDescent="0.15">
      <c r="AK1982" s="2">
        <v>727.55322265625</v>
      </c>
    </row>
    <row r="1983" spans="37:37" ht="15.75" customHeight="1" x14ac:dyDescent="0.15">
      <c r="AK1983" s="2">
        <v>720.57000732421875</v>
      </c>
    </row>
    <row r="1984" spans="37:37" ht="15.75" customHeight="1" x14ac:dyDescent="0.15">
      <c r="AK1984" s="2">
        <v>713.5870361328125</v>
      </c>
    </row>
    <row r="1985" spans="37:37" ht="15.75" customHeight="1" x14ac:dyDescent="0.15">
      <c r="AK1985" s="2">
        <v>706.6038818359375</v>
      </c>
    </row>
    <row r="1986" spans="37:37" ht="15.75" customHeight="1" x14ac:dyDescent="0.15">
      <c r="AK1986" s="2">
        <v>699.62066650390625</v>
      </c>
    </row>
    <row r="1987" spans="37:37" ht="15.75" customHeight="1" x14ac:dyDescent="0.15">
      <c r="AK1987" s="2">
        <v>692.637451171875</v>
      </c>
    </row>
    <row r="1988" spans="37:37" ht="15.75" customHeight="1" x14ac:dyDescent="0.15">
      <c r="AK1988" s="2">
        <v>685.654296875</v>
      </c>
    </row>
    <row r="1989" spans="37:37" ht="15.75" customHeight="1" x14ac:dyDescent="0.15">
      <c r="AK1989" s="2">
        <v>678.6712646484375</v>
      </c>
    </row>
    <row r="1990" spans="37:37" ht="15.75" customHeight="1" x14ac:dyDescent="0.15">
      <c r="AK1990" s="2">
        <v>671.6881103515625</v>
      </c>
    </row>
    <row r="1991" spans="37:37" ht="15.75" customHeight="1" x14ac:dyDescent="0.15">
      <c r="AK1991" s="2">
        <v>664.70489501953125</v>
      </c>
    </row>
    <row r="1992" spans="37:37" ht="15.75" customHeight="1" x14ac:dyDescent="0.15">
      <c r="AK1992" s="2">
        <v>657.7216796875</v>
      </c>
    </row>
    <row r="1993" spans="37:37" ht="15.75" customHeight="1" x14ac:dyDescent="0.15">
      <c r="AK1993" s="2">
        <v>650.738525390625</v>
      </c>
    </row>
    <row r="1994" spans="37:37" ht="15.75" customHeight="1" x14ac:dyDescent="0.15">
      <c r="AK1994" s="2">
        <v>643.7554931640625</v>
      </c>
    </row>
    <row r="1995" spans="37:37" ht="15.75" customHeight="1" x14ac:dyDescent="0.15">
      <c r="AK1995" s="2">
        <v>636.7723388671875</v>
      </c>
    </row>
    <row r="1996" spans="37:37" ht="15.75" customHeight="1" x14ac:dyDescent="0.15">
      <c r="AK1996" s="2">
        <v>629.78912353515625</v>
      </c>
    </row>
    <row r="1997" spans="37:37" ht="15.75" customHeight="1" x14ac:dyDescent="0.15">
      <c r="AK1997" s="2">
        <v>622.805908203125</v>
      </c>
    </row>
    <row r="1998" spans="37:37" ht="15.75" customHeight="1" x14ac:dyDescent="0.15">
      <c r="AK1998" s="2">
        <v>615.82275390625</v>
      </c>
    </row>
    <row r="1999" spans="37:37" ht="15.75" customHeight="1" x14ac:dyDescent="0.15">
      <c r="AK1999" s="2">
        <v>608.8397216796875</v>
      </c>
    </row>
    <row r="2000" spans="37:37" ht="15.75" customHeight="1" x14ac:dyDescent="0.15">
      <c r="AK2000" s="2">
        <v>601.8565673828125</v>
      </c>
    </row>
    <row r="2001" spans="37:37" ht="15.75" customHeight="1" x14ac:dyDescent="0.15">
      <c r="AK2001" s="2">
        <v>584.26324462890625</v>
      </c>
    </row>
    <row r="2002" spans="37:37" ht="15.75" customHeight="1" x14ac:dyDescent="0.15">
      <c r="AK2002" s="2">
        <v>578.9776611328125</v>
      </c>
    </row>
    <row r="2003" spans="37:37" ht="15.75" customHeight="1" x14ac:dyDescent="0.15">
      <c r="AK2003" s="2">
        <v>590.12457275390625</v>
      </c>
    </row>
    <row r="2004" spans="37:37" ht="15.75" customHeight="1" x14ac:dyDescent="0.15">
      <c r="AK2004" s="2">
        <v>588.298583984375</v>
      </c>
    </row>
    <row r="2005" spans="37:37" ht="15.75" customHeight="1" x14ac:dyDescent="0.15">
      <c r="AK2005" s="2">
        <v>586.4725341796875</v>
      </c>
    </row>
    <row r="2006" spans="37:37" ht="15.75" customHeight="1" x14ac:dyDescent="0.15">
      <c r="AK2006" s="2">
        <v>584.6463623046875</v>
      </c>
    </row>
    <row r="2007" spans="37:37" ht="15.75" customHeight="1" x14ac:dyDescent="0.15">
      <c r="AK2007" s="2">
        <v>582.8203125</v>
      </c>
    </row>
    <row r="2008" spans="37:37" ht="15.75" customHeight="1" x14ac:dyDescent="0.15">
      <c r="AK2008" s="2">
        <v>580.994140625</v>
      </c>
    </row>
    <row r="2009" spans="37:37" ht="15.75" customHeight="1" x14ac:dyDescent="0.15">
      <c r="AK2009" s="2">
        <v>579.168212890625</v>
      </c>
    </row>
    <row r="2010" spans="37:37" ht="15.75" customHeight="1" x14ac:dyDescent="0.15">
      <c r="AK2010" s="2">
        <v>577.34210205078125</v>
      </c>
    </row>
    <row r="2011" spans="37:37" ht="15.75" customHeight="1" x14ac:dyDescent="0.15">
      <c r="AK2011" s="2">
        <v>575.5159912109375</v>
      </c>
    </row>
    <row r="2012" spans="37:37" ht="15.75" customHeight="1" x14ac:dyDescent="0.15">
      <c r="AK2012" s="2">
        <v>573.68988037109375</v>
      </c>
    </row>
    <row r="2013" spans="37:37" ht="15.75" customHeight="1" x14ac:dyDescent="0.15">
      <c r="AK2013" s="2">
        <v>571.86376953125</v>
      </c>
    </row>
    <row r="2014" spans="37:37" ht="15.75" customHeight="1" x14ac:dyDescent="0.15">
      <c r="AK2014" s="2">
        <v>570.03778076171875</v>
      </c>
    </row>
    <row r="2015" spans="37:37" ht="15.75" customHeight="1" x14ac:dyDescent="0.15">
      <c r="AK2015" s="2">
        <v>568.211669921875</v>
      </c>
    </row>
    <row r="2016" spans="37:37" ht="15.75" customHeight="1" x14ac:dyDescent="0.15">
      <c r="AK2016" s="2">
        <v>566.38555908203125</v>
      </c>
    </row>
    <row r="2017" spans="37:37" ht="15.75" customHeight="1" x14ac:dyDescent="0.15">
      <c r="AK2017" s="2">
        <v>564.5594482421875</v>
      </c>
    </row>
    <row r="2018" spans="37:37" ht="15.75" customHeight="1" x14ac:dyDescent="0.15">
      <c r="AK2018" s="2">
        <v>562.73333740234375</v>
      </c>
    </row>
    <row r="2019" spans="37:37" ht="15.75" customHeight="1" x14ac:dyDescent="0.15">
      <c r="AK2019" s="2">
        <v>560.90740966796875</v>
      </c>
    </row>
    <row r="2020" spans="37:37" ht="15.75" customHeight="1" x14ac:dyDescent="0.15">
      <c r="AK2020" s="2">
        <v>559.081298828125</v>
      </c>
    </row>
    <row r="2021" spans="37:37" ht="15.75" customHeight="1" x14ac:dyDescent="0.15">
      <c r="AK2021" s="2">
        <v>557.255126953125</v>
      </c>
    </row>
    <row r="2022" spans="37:37" ht="15.75" customHeight="1" x14ac:dyDescent="0.15">
      <c r="AK2022" s="2">
        <v>555.4290771484375</v>
      </c>
    </row>
    <row r="2023" spans="37:37" ht="15.75" customHeight="1" x14ac:dyDescent="0.15">
      <c r="AK2023" s="2">
        <v>553.60296630859375</v>
      </c>
    </row>
    <row r="2024" spans="37:37" ht="15.75" customHeight="1" x14ac:dyDescent="0.15">
      <c r="AK2024" s="2">
        <v>551.7769775390625</v>
      </c>
    </row>
    <row r="2025" spans="37:37" ht="15.75" customHeight="1" x14ac:dyDescent="0.15">
      <c r="AK2025" s="2">
        <v>549.95086669921875</v>
      </c>
    </row>
    <row r="2026" spans="37:37" ht="15.75" customHeight="1" x14ac:dyDescent="0.15">
      <c r="AK2026" s="2">
        <v>537.5146484375</v>
      </c>
    </row>
    <row r="2027" spans="37:37" ht="15.75" customHeight="1" x14ac:dyDescent="0.15">
      <c r="AK2027" s="2">
        <v>537.38623046875</v>
      </c>
    </row>
    <row r="2028" spans="37:37" ht="15.75" customHeight="1" x14ac:dyDescent="0.15">
      <c r="AK2028" s="2">
        <v>537.2576904296875</v>
      </c>
    </row>
    <row r="2029" spans="37:37" ht="15.75" customHeight="1" x14ac:dyDescent="0.15">
      <c r="AK2029" s="2">
        <v>537.1292724609375</v>
      </c>
    </row>
    <row r="2030" spans="37:37" ht="15.75" customHeight="1" x14ac:dyDescent="0.15">
      <c r="AK2030" s="2">
        <v>537.0008544921875</v>
      </c>
    </row>
    <row r="2031" spans="37:37" ht="15.75" customHeight="1" x14ac:dyDescent="0.15">
      <c r="AK2031" s="2">
        <v>536.872314453125</v>
      </c>
    </row>
    <row r="2032" spans="37:37" ht="15.75" customHeight="1" x14ac:dyDescent="0.15">
      <c r="AK2032" s="2">
        <v>536.74383544921875</v>
      </c>
    </row>
    <row r="2033" spans="37:37" ht="15.75" customHeight="1" x14ac:dyDescent="0.15">
      <c r="AK2033" s="2">
        <v>536.6153564453125</v>
      </c>
    </row>
    <row r="2034" spans="37:37" ht="15.75" customHeight="1" x14ac:dyDescent="0.15">
      <c r="AK2034" s="2">
        <v>536.48699951171875</v>
      </c>
    </row>
    <row r="2035" spans="37:37" ht="15.75" customHeight="1" x14ac:dyDescent="0.15">
      <c r="AK2035" s="2">
        <v>536.35845947265625</v>
      </c>
    </row>
    <row r="2036" spans="37:37" ht="15.75" customHeight="1" x14ac:dyDescent="0.15">
      <c r="AK2036" s="2">
        <v>536.23004150390625</v>
      </c>
    </row>
    <row r="2037" spans="37:37" ht="15.75" customHeight="1" x14ac:dyDescent="0.15">
      <c r="AK2037" s="2">
        <v>536.10150146484375</v>
      </c>
    </row>
    <row r="2038" spans="37:37" ht="15.75" customHeight="1" x14ac:dyDescent="0.15">
      <c r="AK2038" s="2">
        <v>535.9730224609375</v>
      </c>
    </row>
    <row r="2039" spans="37:37" ht="15.75" customHeight="1" x14ac:dyDescent="0.15">
      <c r="AK2039" s="2">
        <v>535.84466552734375</v>
      </c>
    </row>
    <row r="2040" spans="37:37" ht="15.75" customHeight="1" x14ac:dyDescent="0.15">
      <c r="AK2040" s="2">
        <v>535.71612548828125</v>
      </c>
    </row>
    <row r="2041" spans="37:37" ht="15.75" customHeight="1" x14ac:dyDescent="0.15">
      <c r="AK2041" s="2">
        <v>535.58770751953125</v>
      </c>
    </row>
    <row r="2042" spans="37:37" ht="15.75" customHeight="1" x14ac:dyDescent="0.15">
      <c r="AK2042" s="2">
        <v>535.45916748046875</v>
      </c>
    </row>
    <row r="2043" spans="37:37" ht="15.75" customHeight="1" x14ac:dyDescent="0.15">
      <c r="AK2043" s="2">
        <v>535.33062744140625</v>
      </c>
    </row>
    <row r="2044" spans="37:37" ht="15.75" customHeight="1" x14ac:dyDescent="0.15">
      <c r="AK2044" s="2">
        <v>535.20233154296875</v>
      </c>
    </row>
    <row r="2045" spans="37:37" ht="15.75" customHeight="1" x14ac:dyDescent="0.15">
      <c r="AK2045" s="2">
        <v>535.0738525390625</v>
      </c>
    </row>
    <row r="2046" spans="37:37" ht="15.75" customHeight="1" x14ac:dyDescent="0.15">
      <c r="AK2046" s="2">
        <v>534.9453125</v>
      </c>
    </row>
    <row r="2047" spans="37:37" ht="15.75" customHeight="1" x14ac:dyDescent="0.15">
      <c r="AK2047" s="2">
        <v>534.81683349609375</v>
      </c>
    </row>
    <row r="2048" spans="37:37" ht="15.75" customHeight="1" x14ac:dyDescent="0.15">
      <c r="AK2048" s="2">
        <v>534.68829345703125</v>
      </c>
    </row>
    <row r="2049" spans="37:37" ht="15.75" customHeight="1" x14ac:dyDescent="0.15">
      <c r="AK2049" s="2">
        <v>534.55999755859375</v>
      </c>
    </row>
    <row r="2050" spans="37:37" ht="15.75" customHeight="1" x14ac:dyDescent="0.15">
      <c r="AK2050" s="2">
        <v>534.43145751953125</v>
      </c>
    </row>
    <row r="2051" spans="37:37" ht="15.75" customHeight="1" x14ac:dyDescent="0.15">
      <c r="AK2051" s="2">
        <v>534.302978515625</v>
      </c>
    </row>
    <row r="2052" spans="37:37" ht="15.75" customHeight="1" x14ac:dyDescent="0.15">
      <c r="AK2052" s="2">
        <v>534.17449951171875</v>
      </c>
    </row>
    <row r="2053" spans="37:37" ht="15.75" customHeight="1" x14ac:dyDescent="0.15">
      <c r="AK2053" s="2">
        <v>550.4783935546875</v>
      </c>
    </row>
    <row r="2054" spans="37:37" ht="15.75" customHeight="1" x14ac:dyDescent="0.15">
      <c r="AK2054" s="2">
        <v>553.80950927734375</v>
      </c>
    </row>
    <row r="2055" spans="37:37" ht="15.75" customHeight="1" x14ac:dyDescent="0.15">
      <c r="AK2055" s="2">
        <v>557.1405029296875</v>
      </c>
    </row>
    <row r="2056" spans="37:37" ht="15.75" customHeight="1" x14ac:dyDescent="0.15">
      <c r="AK2056" s="2">
        <v>560.471435546875</v>
      </c>
    </row>
    <row r="2057" spans="37:37" ht="15.75" customHeight="1" x14ac:dyDescent="0.15">
      <c r="AK2057" s="2">
        <v>563.80242919921875</v>
      </c>
    </row>
    <row r="2058" spans="37:37" ht="15.75" customHeight="1" x14ac:dyDescent="0.15">
      <c r="AK2058" s="2">
        <v>567.1334228515625</v>
      </c>
    </row>
    <row r="2059" spans="37:37" ht="15.75" customHeight="1" x14ac:dyDescent="0.15">
      <c r="AK2059" s="2">
        <v>570.4644775390625</v>
      </c>
    </row>
    <row r="2060" spans="37:37" ht="15.75" customHeight="1" x14ac:dyDescent="0.15">
      <c r="AK2060" s="2">
        <v>573.79541015625</v>
      </c>
    </row>
    <row r="2061" spans="37:37" ht="15.75" customHeight="1" x14ac:dyDescent="0.15">
      <c r="AK2061" s="2">
        <v>577.12640380859375</v>
      </c>
    </row>
    <row r="2062" spans="37:37" ht="15.75" customHeight="1" x14ac:dyDescent="0.15">
      <c r="AK2062" s="2">
        <v>580.4573974609375</v>
      </c>
    </row>
    <row r="2063" spans="37:37" ht="15.75" customHeight="1" x14ac:dyDescent="0.15">
      <c r="AK2063" s="2">
        <v>583.78839111328125</v>
      </c>
    </row>
    <row r="2064" spans="37:37" ht="15.75" customHeight="1" x14ac:dyDescent="0.15">
      <c r="AK2064" s="2">
        <v>587.11944580078125</v>
      </c>
    </row>
    <row r="2065" spans="37:37" ht="15.75" customHeight="1" x14ac:dyDescent="0.15">
      <c r="AK2065" s="2">
        <v>590.45037841796875</v>
      </c>
    </row>
    <row r="2066" spans="37:37" ht="15.75" customHeight="1" x14ac:dyDescent="0.15">
      <c r="AK2066" s="2">
        <v>593.7813720703125</v>
      </c>
    </row>
    <row r="2067" spans="37:37" ht="15.75" customHeight="1" x14ac:dyDescent="0.15">
      <c r="AK2067" s="2">
        <v>597.11236572265625</v>
      </c>
    </row>
    <row r="2068" spans="37:37" ht="15.75" customHeight="1" x14ac:dyDescent="0.15">
      <c r="AK2068" s="2">
        <v>600.44329833984375</v>
      </c>
    </row>
    <row r="2069" spans="37:37" ht="15.75" customHeight="1" x14ac:dyDescent="0.15">
      <c r="AK2069" s="2">
        <v>603.77435302734375</v>
      </c>
    </row>
    <row r="2070" spans="37:37" ht="15.75" customHeight="1" x14ac:dyDescent="0.15">
      <c r="AK2070" s="2">
        <v>607.1053466796875</v>
      </c>
    </row>
    <row r="2071" spans="37:37" ht="15.75" customHeight="1" x14ac:dyDescent="0.15">
      <c r="AK2071" s="2">
        <v>610.436279296875</v>
      </c>
    </row>
    <row r="2072" spans="37:37" ht="15.75" customHeight="1" x14ac:dyDescent="0.15">
      <c r="AK2072" s="2">
        <v>613.767333984375</v>
      </c>
    </row>
    <row r="2073" spans="37:37" ht="15.75" customHeight="1" x14ac:dyDescent="0.15">
      <c r="AK2073" s="2">
        <v>617.0982666015625</v>
      </c>
    </row>
    <row r="2074" spans="37:37" ht="15.75" customHeight="1" x14ac:dyDescent="0.15">
      <c r="AK2074" s="2">
        <v>620.42938232421875</v>
      </c>
    </row>
    <row r="2075" spans="37:37" ht="15.75" customHeight="1" x14ac:dyDescent="0.15">
      <c r="AK2075" s="2">
        <v>623.76025390625</v>
      </c>
    </row>
    <row r="2076" spans="37:37" ht="15.75" customHeight="1" x14ac:dyDescent="0.15">
      <c r="AK2076" s="2">
        <v>627.09130859375</v>
      </c>
    </row>
    <row r="2077" spans="37:37" ht="15.75" customHeight="1" x14ac:dyDescent="0.15">
      <c r="AK2077" s="2">
        <v>630.42230224609375</v>
      </c>
    </row>
    <row r="2078" spans="37:37" ht="15.75" customHeight="1" x14ac:dyDescent="0.15">
      <c r="AK2078" s="2">
        <v>650.18560791015625</v>
      </c>
    </row>
    <row r="2079" spans="37:37" ht="15.75" customHeight="1" x14ac:dyDescent="0.15">
      <c r="AK2079" s="2">
        <v>656.97613525390625</v>
      </c>
    </row>
    <row r="2080" spans="37:37" ht="15.75" customHeight="1" x14ac:dyDescent="0.15">
      <c r="AK2080" s="2">
        <v>663.7666015625</v>
      </c>
    </row>
    <row r="2081" spans="37:37" ht="15.75" customHeight="1" x14ac:dyDescent="0.15">
      <c r="AK2081" s="2">
        <v>670.5570068359375</v>
      </c>
    </row>
    <row r="2082" spans="37:37" ht="15.75" customHeight="1" x14ac:dyDescent="0.15">
      <c r="AK2082" s="2">
        <v>677.34747314453125</v>
      </c>
    </row>
    <row r="2083" spans="37:37" ht="15.75" customHeight="1" x14ac:dyDescent="0.15">
      <c r="AK2083" s="2">
        <v>684.137939453125</v>
      </c>
    </row>
    <row r="2084" spans="37:37" ht="15.75" customHeight="1" x14ac:dyDescent="0.15">
      <c r="AK2084" s="2">
        <v>690.9283447265625</v>
      </c>
    </row>
    <row r="2085" spans="37:37" ht="15.75" customHeight="1" x14ac:dyDescent="0.15">
      <c r="AK2085" s="2">
        <v>697.71881103515625</v>
      </c>
    </row>
    <row r="2086" spans="37:37" ht="15.75" customHeight="1" x14ac:dyDescent="0.15">
      <c r="AK2086" s="2">
        <v>704.50933837890625</v>
      </c>
    </row>
    <row r="2087" spans="37:37" ht="15.75" customHeight="1" x14ac:dyDescent="0.15">
      <c r="AK2087" s="2">
        <v>711.29974365234375</v>
      </c>
    </row>
    <row r="2088" spans="37:37" ht="15.75" customHeight="1" x14ac:dyDescent="0.15">
      <c r="AK2088" s="2">
        <v>718.0902099609375</v>
      </c>
    </row>
    <row r="2089" spans="37:37" ht="15.75" customHeight="1" x14ac:dyDescent="0.15">
      <c r="AK2089" s="2">
        <v>724.880615234375</v>
      </c>
    </row>
    <row r="2090" spans="37:37" ht="15.75" customHeight="1" x14ac:dyDescent="0.15">
      <c r="AK2090" s="2">
        <v>731.6710205078125</v>
      </c>
    </row>
    <row r="2091" spans="37:37" ht="15.75" customHeight="1" x14ac:dyDescent="0.15">
      <c r="AK2091" s="2">
        <v>738.46148681640625</v>
      </c>
    </row>
    <row r="2092" spans="37:37" ht="15.75" customHeight="1" x14ac:dyDescent="0.15">
      <c r="AK2092" s="2">
        <v>745.25201416015625</v>
      </c>
    </row>
    <row r="2093" spans="37:37" ht="15.75" customHeight="1" x14ac:dyDescent="0.15">
      <c r="AK2093" s="2">
        <v>752.04241943359375</v>
      </c>
    </row>
    <row r="2094" spans="37:37" ht="15.75" customHeight="1" x14ac:dyDescent="0.15">
      <c r="AK2094" s="2">
        <v>758.83282470703125</v>
      </c>
    </row>
    <row r="2095" spans="37:37" ht="15.75" customHeight="1" x14ac:dyDescent="0.15">
      <c r="AK2095" s="2">
        <v>765.62335205078125</v>
      </c>
    </row>
    <row r="2096" spans="37:37" ht="15.75" customHeight="1" x14ac:dyDescent="0.15">
      <c r="AK2096" s="2">
        <v>772.413818359375</v>
      </c>
    </row>
    <row r="2097" spans="37:37" ht="15.75" customHeight="1" x14ac:dyDescent="0.15">
      <c r="AK2097" s="2">
        <v>779.2042236328125</v>
      </c>
    </row>
    <row r="2098" spans="37:37" ht="15.75" customHeight="1" x14ac:dyDescent="0.15">
      <c r="AK2098" s="2">
        <v>785.99468994140625</v>
      </c>
    </row>
    <row r="2099" spans="37:37" ht="15.75" customHeight="1" x14ac:dyDescent="0.15">
      <c r="AK2099" s="2">
        <v>792.78515625</v>
      </c>
    </row>
    <row r="2100" spans="37:37" ht="15.75" customHeight="1" x14ac:dyDescent="0.15">
      <c r="AK2100" s="2">
        <v>799.5755615234375</v>
      </c>
    </row>
    <row r="2101" spans="37:37" ht="15.75" customHeight="1" x14ac:dyDescent="0.15">
      <c r="AK2101" s="2">
        <v>806.36602783203125</v>
      </c>
    </row>
    <row r="2102" spans="37:37" ht="15.75" customHeight="1" x14ac:dyDescent="0.15">
      <c r="AK2102" s="2">
        <v>813.15655517578125</v>
      </c>
    </row>
    <row r="2103" spans="37:37" ht="15.75" customHeight="1" x14ac:dyDescent="0.15">
      <c r="AK2103" s="2">
        <v>819.9468994140625</v>
      </c>
    </row>
    <row r="2104" spans="37:37" ht="15.75" customHeight="1" x14ac:dyDescent="0.15">
      <c r="AK2104" s="2">
        <v>826.73736572265625</v>
      </c>
    </row>
    <row r="2105" spans="37:37" ht="15.75" customHeight="1" x14ac:dyDescent="0.15">
      <c r="AK2105" s="2">
        <v>833.52783203125</v>
      </c>
    </row>
    <row r="2106" spans="37:37" ht="15.75" customHeight="1" x14ac:dyDescent="0.15">
      <c r="AK2106" s="2">
        <v>840.31829833984375</v>
      </c>
    </row>
    <row r="2107" spans="37:37" ht="15.75" customHeight="1" x14ac:dyDescent="0.15">
      <c r="AK2107" s="2">
        <v>847.1087646484375</v>
      </c>
    </row>
    <row r="2108" spans="37:37" ht="15.75" customHeight="1" x14ac:dyDescent="0.15">
      <c r="AK2108" s="2">
        <v>853.89923095703125</v>
      </c>
    </row>
    <row r="2109" spans="37:37" ht="15.75" customHeight="1" x14ac:dyDescent="0.15">
      <c r="AK2109" s="2">
        <v>860.689697265625</v>
      </c>
    </row>
    <row r="2110" spans="37:37" ht="15.75" customHeight="1" x14ac:dyDescent="0.15">
      <c r="AK2110" s="2">
        <v>867.48004150390625</v>
      </c>
    </row>
    <row r="2111" spans="37:37" ht="15.75" customHeight="1" x14ac:dyDescent="0.15">
      <c r="AK2111" s="2">
        <v>874.27056884765625</v>
      </c>
    </row>
    <row r="2112" spans="37:37" ht="15.75" customHeight="1" x14ac:dyDescent="0.15">
      <c r="AK2112" s="2">
        <v>881.06103515625</v>
      </c>
    </row>
    <row r="2113" spans="37:37" ht="15.75" customHeight="1" x14ac:dyDescent="0.15">
      <c r="AK2113" s="2">
        <v>887.8514404296875</v>
      </c>
    </row>
    <row r="2114" spans="37:37" ht="15.75" customHeight="1" x14ac:dyDescent="0.15">
      <c r="AK2114" s="2">
        <v>894.641845703125</v>
      </c>
    </row>
    <row r="2115" spans="37:37" ht="15.75" customHeight="1" x14ac:dyDescent="0.15">
      <c r="AK2115" s="2">
        <v>901.4322509765625</v>
      </c>
    </row>
    <row r="2116" spans="37:37" ht="15.75" customHeight="1" x14ac:dyDescent="0.15">
      <c r="AK2116" s="2">
        <v>908.2227783203125</v>
      </c>
    </row>
    <row r="2117" spans="37:37" ht="15.75" customHeight="1" x14ac:dyDescent="0.15">
      <c r="AK2117" s="2">
        <v>915.01324462890625</v>
      </c>
    </row>
    <row r="2118" spans="37:37" ht="15.75" customHeight="1" x14ac:dyDescent="0.15">
      <c r="AK2118" s="2">
        <v>921.8037109375</v>
      </c>
    </row>
    <row r="2119" spans="37:37" ht="15.75" customHeight="1" x14ac:dyDescent="0.15">
      <c r="AK2119" s="2">
        <v>928.59405517578125</v>
      </c>
    </row>
    <row r="2120" spans="37:37" ht="15.75" customHeight="1" x14ac:dyDescent="0.15">
      <c r="AK2120" s="2">
        <v>935.38458251953125</v>
      </c>
    </row>
    <row r="2121" spans="37:37" ht="15.75" customHeight="1" x14ac:dyDescent="0.15">
      <c r="AK2121" s="2">
        <v>942.175048828125</v>
      </c>
    </row>
    <row r="2122" spans="37:37" ht="15.75" customHeight="1" x14ac:dyDescent="0.15">
      <c r="AK2122" s="2">
        <v>948.965576171875</v>
      </c>
    </row>
    <row r="2123" spans="37:37" ht="15.75" customHeight="1" x14ac:dyDescent="0.15">
      <c r="AK2123" s="2">
        <v>955.7559814453125</v>
      </c>
    </row>
    <row r="2124" spans="37:37" ht="15.75" customHeight="1" x14ac:dyDescent="0.15">
      <c r="AK2124" s="2">
        <v>962.54638671875</v>
      </c>
    </row>
    <row r="2125" spans="37:37" ht="15.75" customHeight="1" x14ac:dyDescent="0.15">
      <c r="AK2125" s="2">
        <v>969.33685302734375</v>
      </c>
    </row>
    <row r="2126" spans="37:37" ht="15.75" customHeight="1" x14ac:dyDescent="0.15">
      <c r="AK2126" s="2">
        <v>976.12725830078125</v>
      </c>
    </row>
    <row r="2127" spans="37:37" ht="15.75" customHeight="1" x14ac:dyDescent="0.15">
      <c r="AK2127" s="2">
        <v>985.28070068359375</v>
      </c>
    </row>
    <row r="2128" spans="37:37" ht="15.75" customHeight="1" x14ac:dyDescent="0.15">
      <c r="AK2128" s="2">
        <v>986.91400146484375</v>
      </c>
    </row>
    <row r="2129" spans="37:37" ht="15.75" customHeight="1" x14ac:dyDescent="0.15">
      <c r="AK2129" s="2">
        <v>988.5474853515625</v>
      </c>
    </row>
    <row r="2130" spans="37:37" ht="15.75" customHeight="1" x14ac:dyDescent="0.15">
      <c r="AK2130" s="2">
        <v>990.1807861328125</v>
      </c>
    </row>
    <row r="2131" spans="37:37" ht="15.75" customHeight="1" x14ac:dyDescent="0.15">
      <c r="AK2131" s="2">
        <v>991.814208984375</v>
      </c>
    </row>
    <row r="2132" spans="37:37" ht="15.75" customHeight="1" x14ac:dyDescent="0.15">
      <c r="AK2132" s="2">
        <v>993.4476318359375</v>
      </c>
    </row>
    <row r="2133" spans="37:37" ht="15.75" customHeight="1" x14ac:dyDescent="0.15">
      <c r="AK2133" s="2">
        <v>995.0809326171875</v>
      </c>
    </row>
    <row r="2134" spans="37:37" ht="15.75" customHeight="1" x14ac:dyDescent="0.15">
      <c r="AK2134" s="2">
        <v>996.71435546875</v>
      </c>
    </row>
    <row r="2135" spans="37:37" ht="15.75" customHeight="1" x14ac:dyDescent="0.15">
      <c r="AK2135" s="2">
        <v>998.34765625</v>
      </c>
    </row>
    <row r="2136" spans="37:37" ht="15.75" customHeight="1" x14ac:dyDescent="0.15">
      <c r="AK2136" s="2">
        <v>999.9810791015625</v>
      </c>
    </row>
    <row r="2137" spans="37:37" ht="15.75" customHeight="1" x14ac:dyDescent="0.15">
      <c r="AK2137" s="2">
        <v>1001.614501953125</v>
      </c>
    </row>
    <row r="2138" spans="37:37" ht="15.75" customHeight="1" x14ac:dyDescent="0.15">
      <c r="AK2138" s="2">
        <v>1003.247802734375</v>
      </c>
    </row>
    <row r="2139" spans="37:37" ht="15.75" customHeight="1" x14ac:dyDescent="0.15">
      <c r="AK2139" s="2">
        <v>1004.8812255859375</v>
      </c>
    </row>
    <row r="2140" spans="37:37" ht="15.75" customHeight="1" x14ac:dyDescent="0.15">
      <c r="AK2140" s="2">
        <v>1006.5145263671875</v>
      </c>
    </row>
    <row r="2141" spans="37:37" ht="15.75" customHeight="1" x14ac:dyDescent="0.15">
      <c r="AK2141" s="2">
        <v>1008.14794921875</v>
      </c>
    </row>
    <row r="2142" spans="37:37" ht="15.75" customHeight="1" x14ac:dyDescent="0.15">
      <c r="AK2142" s="2">
        <v>1009.7813720703125</v>
      </c>
    </row>
    <row r="2143" spans="37:37" ht="15.75" customHeight="1" x14ac:dyDescent="0.15">
      <c r="AK2143" s="2">
        <v>1011.4146728515625</v>
      </c>
    </row>
    <row r="2144" spans="37:37" ht="15.75" customHeight="1" x14ac:dyDescent="0.15">
      <c r="AK2144" s="2">
        <v>1013.048095703125</v>
      </c>
    </row>
    <row r="2145" spans="37:37" ht="15.75" customHeight="1" x14ac:dyDescent="0.15">
      <c r="AK2145" s="2">
        <v>1014.6815185546875</v>
      </c>
    </row>
    <row r="2146" spans="37:37" ht="15.75" customHeight="1" x14ac:dyDescent="0.15">
      <c r="AK2146" s="2">
        <v>1016.3148193359375</v>
      </c>
    </row>
    <row r="2147" spans="37:37" ht="15.75" customHeight="1" x14ac:dyDescent="0.15">
      <c r="AK2147" s="2">
        <v>1017.9482421875</v>
      </c>
    </row>
    <row r="2148" spans="37:37" ht="15.75" customHeight="1" x14ac:dyDescent="0.15">
      <c r="AK2148" s="2">
        <v>1019.58154296875</v>
      </c>
    </row>
    <row r="2149" spans="37:37" ht="15.75" customHeight="1" x14ac:dyDescent="0.15">
      <c r="AK2149" s="2">
        <v>1021.2149658203125</v>
      </c>
    </row>
    <row r="2150" spans="37:37" ht="15.75" customHeight="1" x14ac:dyDescent="0.15">
      <c r="AK2150" s="2">
        <v>1022.848388671875</v>
      </c>
    </row>
    <row r="2151" spans="37:37" ht="15.75" customHeight="1" x14ac:dyDescent="0.15">
      <c r="AK2151" s="2">
        <v>1024.481689453125</v>
      </c>
    </row>
    <row r="2152" spans="37:37" ht="15.75" customHeight="1" x14ac:dyDescent="0.15">
      <c r="AK2152" s="2">
        <v>1028.47802734375</v>
      </c>
    </row>
    <row r="2153" spans="37:37" ht="15.75" customHeight="1" x14ac:dyDescent="0.15">
      <c r="AK2153" s="2">
        <v>1024.954345703125</v>
      </c>
    </row>
    <row r="2154" spans="37:37" ht="15.75" customHeight="1" x14ac:dyDescent="0.15">
      <c r="AK2154" s="2">
        <v>1021.4307250976563</v>
      </c>
    </row>
    <row r="2155" spans="37:37" ht="15.75" customHeight="1" x14ac:dyDescent="0.15">
      <c r="AK2155" s="2">
        <v>1017.906982421875</v>
      </c>
    </row>
    <row r="2156" spans="37:37" ht="15.75" customHeight="1" x14ac:dyDescent="0.15">
      <c r="AK2156" s="2">
        <v>1014.38330078125</v>
      </c>
    </row>
    <row r="2157" spans="37:37" ht="15.75" customHeight="1" x14ac:dyDescent="0.15">
      <c r="AK2157" s="2">
        <v>1010.8595581054688</v>
      </c>
    </row>
    <row r="2158" spans="37:37" ht="15.75" customHeight="1" x14ac:dyDescent="0.15">
      <c r="AK2158" s="2">
        <v>1007.3358154296875</v>
      </c>
    </row>
    <row r="2159" spans="37:37" ht="15.75" customHeight="1" x14ac:dyDescent="0.15">
      <c r="AK2159" s="2">
        <v>1003.812255859375</v>
      </c>
    </row>
    <row r="2160" spans="37:37" ht="15.75" customHeight="1" x14ac:dyDescent="0.15">
      <c r="AK2160" s="2">
        <v>1000.2885131835938</v>
      </c>
    </row>
    <row r="2161" spans="37:37" ht="15.75" customHeight="1" x14ac:dyDescent="0.15">
      <c r="AK2161" s="2">
        <v>996.76483154296875</v>
      </c>
    </row>
    <row r="2162" spans="37:37" ht="15.75" customHeight="1" x14ac:dyDescent="0.15">
      <c r="AK2162" s="2">
        <v>993.2410888671875</v>
      </c>
    </row>
    <row r="2163" spans="37:37" ht="15.75" customHeight="1" x14ac:dyDescent="0.15">
      <c r="AK2163" s="2">
        <v>989.7174072265625</v>
      </c>
    </row>
    <row r="2164" spans="37:37" ht="15.75" customHeight="1" x14ac:dyDescent="0.15">
      <c r="AK2164" s="2">
        <v>986.1937255859375</v>
      </c>
    </row>
    <row r="2165" spans="37:37" ht="15.75" customHeight="1" x14ac:dyDescent="0.15">
      <c r="AK2165" s="2">
        <v>982.6700439453125</v>
      </c>
    </row>
    <row r="2166" spans="37:37" ht="15.75" customHeight="1" x14ac:dyDescent="0.15">
      <c r="AK2166" s="2">
        <v>979.14630126953125</v>
      </c>
    </row>
    <row r="2167" spans="37:37" ht="15.75" customHeight="1" x14ac:dyDescent="0.15">
      <c r="AK2167" s="2">
        <v>975.62261962890625</v>
      </c>
    </row>
    <row r="2168" spans="37:37" ht="15.75" customHeight="1" x14ac:dyDescent="0.15">
      <c r="AK2168" s="2">
        <v>972.098876953125</v>
      </c>
    </row>
    <row r="2169" spans="37:37" ht="15.75" customHeight="1" x14ac:dyDescent="0.15">
      <c r="AK2169" s="2">
        <v>968.5753173828125</v>
      </c>
    </row>
    <row r="2170" spans="37:37" ht="15.75" customHeight="1" x14ac:dyDescent="0.15">
      <c r="AK2170" s="2">
        <v>965.0516357421875</v>
      </c>
    </row>
    <row r="2171" spans="37:37" ht="15.75" customHeight="1" x14ac:dyDescent="0.15">
      <c r="AK2171" s="2">
        <v>961.52783203125</v>
      </c>
    </row>
    <row r="2172" spans="37:37" ht="15.75" customHeight="1" x14ac:dyDescent="0.15">
      <c r="AK2172" s="2">
        <v>958.004150390625</v>
      </c>
    </row>
    <row r="2173" spans="37:37" ht="15.75" customHeight="1" x14ac:dyDescent="0.15">
      <c r="AK2173" s="2">
        <v>954.48046875</v>
      </c>
    </row>
    <row r="2174" spans="37:37" ht="15.75" customHeight="1" x14ac:dyDescent="0.15">
      <c r="AK2174" s="2">
        <v>950.956787109375</v>
      </c>
    </row>
    <row r="2175" spans="37:37" ht="15.75" customHeight="1" x14ac:dyDescent="0.15">
      <c r="AK2175" s="2">
        <v>947.43310546875</v>
      </c>
    </row>
    <row r="2176" spans="37:37" ht="15.75" customHeight="1" x14ac:dyDescent="0.15">
      <c r="AK2176" s="2">
        <v>933.29931640625</v>
      </c>
    </row>
    <row r="2177" spans="37:37" ht="15.75" customHeight="1" x14ac:dyDescent="0.15">
      <c r="AK2177" s="2">
        <v>931.4732666015625</v>
      </c>
    </row>
    <row r="2178" spans="37:37" ht="15.75" customHeight="1" x14ac:dyDescent="0.15">
      <c r="AK2178" s="2">
        <v>929.6470947265625</v>
      </c>
    </row>
    <row r="2179" spans="37:37" ht="15.75" customHeight="1" x14ac:dyDescent="0.15">
      <c r="AK2179" s="2">
        <v>927.8211669921875</v>
      </c>
    </row>
    <row r="2180" spans="37:37" ht="15.75" customHeight="1" x14ac:dyDescent="0.15">
      <c r="AK2180" s="2">
        <v>925.9949951171875</v>
      </c>
    </row>
    <row r="2181" spans="37:37" ht="15.75" customHeight="1" x14ac:dyDescent="0.15">
      <c r="AK2181" s="2">
        <v>924.1689453125</v>
      </c>
    </row>
    <row r="2182" spans="37:37" ht="15.75" customHeight="1" x14ac:dyDescent="0.15">
      <c r="AK2182" s="2">
        <v>922.3428955078125</v>
      </c>
    </row>
    <row r="2183" spans="37:37" ht="15.75" customHeight="1" x14ac:dyDescent="0.15">
      <c r="AK2183" s="2">
        <v>920.5167236328125</v>
      </c>
    </row>
    <row r="2184" spans="37:37" ht="15.75" customHeight="1" x14ac:dyDescent="0.15">
      <c r="AK2184" s="2">
        <v>918.69073486328125</v>
      </c>
    </row>
    <row r="2185" spans="37:37" ht="15.75" customHeight="1" x14ac:dyDescent="0.15">
      <c r="AK2185" s="2">
        <v>916.8646240234375</v>
      </c>
    </row>
    <row r="2186" spans="37:37" ht="15.75" customHeight="1" x14ac:dyDescent="0.15">
      <c r="AK2186" s="2">
        <v>915.03851318359375</v>
      </c>
    </row>
    <row r="2187" spans="37:37" ht="15.75" customHeight="1" x14ac:dyDescent="0.15">
      <c r="AK2187" s="2">
        <v>913.21240234375</v>
      </c>
    </row>
    <row r="2188" spans="37:37" ht="15.75" customHeight="1" x14ac:dyDescent="0.15">
      <c r="AK2188" s="2">
        <v>911.3863525390625</v>
      </c>
    </row>
    <row r="2189" spans="37:37" ht="15.75" customHeight="1" x14ac:dyDescent="0.15">
      <c r="AK2189" s="2">
        <v>909.56024169921875</v>
      </c>
    </row>
    <row r="2190" spans="37:37" ht="15.75" customHeight="1" x14ac:dyDescent="0.15">
      <c r="AK2190" s="2">
        <v>907.73419189453125</v>
      </c>
    </row>
    <row r="2191" spans="37:37" ht="15.75" customHeight="1" x14ac:dyDescent="0.15">
      <c r="AK2191" s="2">
        <v>905.90814208984375</v>
      </c>
    </row>
    <row r="2192" spans="37:37" ht="15.75" customHeight="1" x14ac:dyDescent="0.15">
      <c r="AK2192" s="2">
        <v>904.08197021484375</v>
      </c>
    </row>
    <row r="2193" spans="37:37" ht="15.75" customHeight="1" x14ac:dyDescent="0.15">
      <c r="AK2193" s="2">
        <v>902.25592041015625</v>
      </c>
    </row>
    <row r="2194" spans="37:37" ht="15.75" customHeight="1" x14ac:dyDescent="0.15">
      <c r="AK2194" s="2">
        <v>900.429931640625</v>
      </c>
    </row>
    <row r="2195" spans="37:37" ht="15.75" customHeight="1" x14ac:dyDescent="0.15">
      <c r="AK2195" s="2">
        <v>898.6038818359375</v>
      </c>
    </row>
    <row r="2196" spans="37:37" ht="15.75" customHeight="1" x14ac:dyDescent="0.15">
      <c r="AK2196" s="2">
        <v>896.7777099609375</v>
      </c>
    </row>
    <row r="2197" spans="37:37" ht="15.75" customHeight="1" x14ac:dyDescent="0.15">
      <c r="AK2197" s="2">
        <v>894.95166015625</v>
      </c>
    </row>
    <row r="2198" spans="37:37" ht="15.75" customHeight="1" x14ac:dyDescent="0.15">
      <c r="AK2198" s="2">
        <v>893.1256103515625</v>
      </c>
    </row>
    <row r="2199" spans="37:37" ht="15.75" customHeight="1" x14ac:dyDescent="0.15">
      <c r="AK2199" s="2">
        <v>891.2994384765625</v>
      </c>
    </row>
    <row r="2200" spans="37:37" ht="15.75" customHeight="1" x14ac:dyDescent="0.15">
      <c r="AK2200" s="2">
        <v>889.473388671875</v>
      </c>
    </row>
    <row r="2201" spans="37:37" ht="15.75" customHeight="1" x14ac:dyDescent="0.15">
      <c r="AK2201" s="2">
        <v>877.0372314453125</v>
      </c>
    </row>
    <row r="2202" spans="37:37" ht="15.75" customHeight="1" x14ac:dyDescent="0.15">
      <c r="AK2202" s="2">
        <v>879.2716064453125</v>
      </c>
    </row>
    <row r="2203" spans="37:37" ht="15.75" customHeight="1" x14ac:dyDescent="0.15">
      <c r="AK2203" s="2">
        <v>873.98602294921875</v>
      </c>
    </row>
    <row r="2204" spans="37:37" ht="15.75" customHeight="1" x14ac:dyDescent="0.15">
      <c r="AK2204" s="2">
        <v>868.70068359375</v>
      </c>
    </row>
    <row r="2205" spans="37:37" ht="15.75" customHeight="1" x14ac:dyDescent="0.15">
      <c r="AK2205" s="2">
        <v>863.4150390625</v>
      </c>
    </row>
    <row r="2206" spans="37:37" ht="15.75" customHeight="1" x14ac:dyDescent="0.15">
      <c r="AK2206" s="2">
        <v>858.1295166015625</v>
      </c>
    </row>
    <row r="2207" spans="37:37" ht="15.75" customHeight="1" x14ac:dyDescent="0.15">
      <c r="AK2207" s="2">
        <v>852.84393310546875</v>
      </c>
    </row>
    <row r="2208" spans="37:37" ht="15.75" customHeight="1" x14ac:dyDescent="0.15">
      <c r="AK2208" s="2">
        <v>847.558349609375</v>
      </c>
    </row>
    <row r="2209" spans="37:37" ht="15.75" customHeight="1" x14ac:dyDescent="0.15">
      <c r="AK2209" s="2">
        <v>842.27294921875</v>
      </c>
    </row>
    <row r="2210" spans="37:37" ht="15.75" customHeight="1" x14ac:dyDescent="0.15">
      <c r="AK2210" s="2">
        <v>836.98736572265625</v>
      </c>
    </row>
    <row r="2211" spans="37:37" ht="15.75" customHeight="1" x14ac:dyDescent="0.15">
      <c r="AK2211" s="2">
        <v>831.7017822265625</v>
      </c>
    </row>
    <row r="2212" spans="37:37" ht="15.75" customHeight="1" x14ac:dyDescent="0.15">
      <c r="AK2212" s="2">
        <v>826.41619873046875</v>
      </c>
    </row>
    <row r="2213" spans="37:37" ht="15.75" customHeight="1" x14ac:dyDescent="0.15">
      <c r="AK2213" s="2">
        <v>821.130615234375</v>
      </c>
    </row>
    <row r="2214" spans="37:37" ht="15.75" customHeight="1" x14ac:dyDescent="0.15">
      <c r="AK2214" s="2">
        <v>815.84527587890625</v>
      </c>
    </row>
    <row r="2215" spans="37:37" ht="15.75" customHeight="1" x14ac:dyDescent="0.15">
      <c r="AK2215" s="2">
        <v>810.5596923828125</v>
      </c>
    </row>
    <row r="2216" spans="37:37" ht="15.75" customHeight="1" x14ac:dyDescent="0.15">
      <c r="AK2216" s="2">
        <v>805.274169921875</v>
      </c>
    </row>
    <row r="2217" spans="37:37" ht="15.75" customHeight="1" x14ac:dyDescent="0.15">
      <c r="AK2217" s="2">
        <v>799.988525390625</v>
      </c>
    </row>
    <row r="2218" spans="37:37" ht="15.75" customHeight="1" x14ac:dyDescent="0.15">
      <c r="AK2218" s="2">
        <v>794.7030029296875</v>
      </c>
    </row>
    <row r="2219" spans="37:37" ht="15.75" customHeight="1" x14ac:dyDescent="0.15">
      <c r="AK2219" s="2">
        <v>789.41754150390625</v>
      </c>
    </row>
    <row r="2220" spans="37:37" ht="15.75" customHeight="1" x14ac:dyDescent="0.15">
      <c r="AK2220" s="2">
        <v>784.1319580078125</v>
      </c>
    </row>
    <row r="2221" spans="37:37" ht="15.75" customHeight="1" x14ac:dyDescent="0.15">
      <c r="AK2221" s="2">
        <v>778.846435546875</v>
      </c>
    </row>
    <row r="2222" spans="37:37" ht="15.75" customHeight="1" x14ac:dyDescent="0.15">
      <c r="AK2222" s="2">
        <v>773.560791015625</v>
      </c>
    </row>
    <row r="2223" spans="37:37" ht="15.75" customHeight="1" x14ac:dyDescent="0.15">
      <c r="AK2223" s="2">
        <v>768.2752685546875</v>
      </c>
    </row>
    <row r="2224" spans="37:37" ht="15.75" customHeight="1" x14ac:dyDescent="0.15">
      <c r="AK2224" s="2">
        <v>762.9898681640625</v>
      </c>
    </row>
    <row r="2225" spans="37:37" ht="15.75" customHeight="1" x14ac:dyDescent="0.15">
      <c r="AK2225" s="2">
        <v>757.70428466796875</v>
      </c>
    </row>
    <row r="2226" spans="37:37" ht="15.75" customHeight="1" x14ac:dyDescent="0.15">
      <c r="AK2226" s="2">
        <v>752.418701171875</v>
      </c>
    </row>
    <row r="2227" spans="37:37" ht="15.75" customHeight="1" x14ac:dyDescent="0.15">
      <c r="AK2227" s="2">
        <v>749.49603271484375</v>
      </c>
    </row>
    <row r="2228" spans="37:37" ht="15.75" customHeight="1" x14ac:dyDescent="0.15">
      <c r="AK2228" s="2">
        <v>755.48577880859375</v>
      </c>
    </row>
    <row r="2229" spans="37:37" ht="15.75" customHeight="1" x14ac:dyDescent="0.15">
      <c r="AK2229" s="2">
        <v>748.5028076171875</v>
      </c>
    </row>
    <row r="2230" spans="37:37" ht="15.75" customHeight="1" x14ac:dyDescent="0.15">
      <c r="AK2230" s="2">
        <v>741.51959228515625</v>
      </c>
    </row>
    <row r="2231" spans="37:37" ht="15.75" customHeight="1" x14ac:dyDescent="0.15">
      <c r="AK2231" s="2">
        <v>734.536376953125</v>
      </c>
    </row>
    <row r="2232" spans="37:37" ht="15.75" customHeight="1" x14ac:dyDescent="0.15">
      <c r="AK2232" s="2">
        <v>727.55322265625</v>
      </c>
    </row>
    <row r="2233" spans="37:37" ht="15.75" customHeight="1" x14ac:dyDescent="0.15">
      <c r="AK2233" s="2">
        <v>720.57000732421875</v>
      </c>
    </row>
    <row r="2234" spans="37:37" ht="15.75" customHeight="1" x14ac:dyDescent="0.15">
      <c r="AK2234" s="2">
        <v>713.5870361328125</v>
      </c>
    </row>
    <row r="2235" spans="37:37" ht="15.75" customHeight="1" x14ac:dyDescent="0.15">
      <c r="AK2235" s="2">
        <v>706.6038818359375</v>
      </c>
    </row>
    <row r="2236" spans="37:37" ht="15.75" customHeight="1" x14ac:dyDescent="0.15">
      <c r="AK2236" s="2">
        <v>699.62066650390625</v>
      </c>
    </row>
    <row r="2237" spans="37:37" ht="15.75" customHeight="1" x14ac:dyDescent="0.15">
      <c r="AK2237" s="2">
        <v>692.637451171875</v>
      </c>
    </row>
    <row r="2238" spans="37:37" ht="15.75" customHeight="1" x14ac:dyDescent="0.15">
      <c r="AK2238" s="2">
        <v>685.654296875</v>
      </c>
    </row>
    <row r="2239" spans="37:37" ht="15.75" customHeight="1" x14ac:dyDescent="0.15">
      <c r="AK2239" s="2">
        <v>678.6712646484375</v>
      </c>
    </row>
    <row r="2240" spans="37:37" ht="15.75" customHeight="1" x14ac:dyDescent="0.15">
      <c r="AK2240" s="2">
        <v>671.6881103515625</v>
      </c>
    </row>
    <row r="2241" spans="37:37" ht="15.75" customHeight="1" x14ac:dyDescent="0.15">
      <c r="AK2241" s="2">
        <v>664.70489501953125</v>
      </c>
    </row>
    <row r="2242" spans="37:37" ht="15.75" customHeight="1" x14ac:dyDescent="0.15">
      <c r="AK2242" s="2">
        <v>657.7216796875</v>
      </c>
    </row>
    <row r="2243" spans="37:37" ht="15.75" customHeight="1" x14ac:dyDescent="0.15">
      <c r="AK2243" s="2">
        <v>650.738525390625</v>
      </c>
    </row>
    <row r="2244" spans="37:37" ht="15.75" customHeight="1" x14ac:dyDescent="0.15">
      <c r="AK2244" s="2">
        <v>643.7554931640625</v>
      </c>
    </row>
    <row r="2245" spans="37:37" ht="15.75" customHeight="1" x14ac:dyDescent="0.15">
      <c r="AK2245" s="2">
        <v>636.7723388671875</v>
      </c>
    </row>
    <row r="2246" spans="37:37" ht="15.75" customHeight="1" x14ac:dyDescent="0.15">
      <c r="AK2246" s="2">
        <v>629.78912353515625</v>
      </c>
    </row>
    <row r="2247" spans="37:37" ht="15.75" customHeight="1" x14ac:dyDescent="0.15">
      <c r="AK2247" s="2">
        <v>622.805908203125</v>
      </c>
    </row>
    <row r="2248" spans="37:37" ht="15.75" customHeight="1" x14ac:dyDescent="0.15">
      <c r="AK2248" s="2">
        <v>615.82275390625</v>
      </c>
    </row>
    <row r="2249" spans="37:37" ht="15.75" customHeight="1" x14ac:dyDescent="0.15">
      <c r="AK2249" s="2">
        <v>608.8397216796875</v>
      </c>
    </row>
    <row r="2250" spans="37:37" ht="15.75" customHeight="1" x14ac:dyDescent="0.15">
      <c r="AK2250" s="2">
        <v>601.8565673828125</v>
      </c>
    </row>
    <row r="2251" spans="37:37" ht="15.75" customHeight="1" x14ac:dyDescent="0.15">
      <c r="AK2251" s="2">
        <v>584.26324462890625</v>
      </c>
    </row>
    <row r="2252" spans="37:37" ht="15.75" customHeight="1" x14ac:dyDescent="0.15">
      <c r="AK2252" s="2">
        <v>578.9776611328125</v>
      </c>
    </row>
    <row r="2253" spans="37:37" ht="15.75" customHeight="1" x14ac:dyDescent="0.15">
      <c r="AK2253" s="2">
        <v>590.12457275390625</v>
      </c>
    </row>
    <row r="2254" spans="37:37" ht="15.75" customHeight="1" x14ac:dyDescent="0.15">
      <c r="AK2254" s="2">
        <v>588.298583984375</v>
      </c>
    </row>
    <row r="2255" spans="37:37" ht="15.75" customHeight="1" x14ac:dyDescent="0.15">
      <c r="AK2255" s="2">
        <v>586.4725341796875</v>
      </c>
    </row>
    <row r="2256" spans="37:37" ht="15.75" customHeight="1" x14ac:dyDescent="0.15">
      <c r="AK2256" s="2">
        <v>584.6463623046875</v>
      </c>
    </row>
    <row r="2257" spans="37:37" ht="15.75" customHeight="1" x14ac:dyDescent="0.15">
      <c r="AK2257" s="2">
        <v>582.8203125</v>
      </c>
    </row>
    <row r="2258" spans="37:37" ht="15.75" customHeight="1" x14ac:dyDescent="0.15">
      <c r="AK2258" s="2">
        <v>580.994140625</v>
      </c>
    </row>
    <row r="2259" spans="37:37" ht="15.75" customHeight="1" x14ac:dyDescent="0.15">
      <c r="AK2259" s="2">
        <v>579.168212890625</v>
      </c>
    </row>
    <row r="2260" spans="37:37" ht="15.75" customHeight="1" x14ac:dyDescent="0.15">
      <c r="AK2260" s="2">
        <v>577.34210205078125</v>
      </c>
    </row>
    <row r="2261" spans="37:37" ht="15.75" customHeight="1" x14ac:dyDescent="0.15">
      <c r="AK2261" s="2">
        <v>575.5159912109375</v>
      </c>
    </row>
    <row r="2262" spans="37:37" ht="15.75" customHeight="1" x14ac:dyDescent="0.15">
      <c r="AK2262" s="2">
        <v>573.68988037109375</v>
      </c>
    </row>
    <row r="2263" spans="37:37" ht="15.75" customHeight="1" x14ac:dyDescent="0.15">
      <c r="AK2263" s="2">
        <v>571.86376953125</v>
      </c>
    </row>
    <row r="2264" spans="37:37" ht="15.75" customHeight="1" x14ac:dyDescent="0.15">
      <c r="AK2264" s="2">
        <v>570.03778076171875</v>
      </c>
    </row>
    <row r="2265" spans="37:37" ht="15.75" customHeight="1" x14ac:dyDescent="0.15">
      <c r="AK2265" s="2">
        <v>568.211669921875</v>
      </c>
    </row>
    <row r="2266" spans="37:37" ht="15.75" customHeight="1" x14ac:dyDescent="0.15">
      <c r="AK2266" s="2">
        <v>566.38555908203125</v>
      </c>
    </row>
    <row r="2267" spans="37:37" ht="15.75" customHeight="1" x14ac:dyDescent="0.15">
      <c r="AK2267" s="2">
        <v>564.5594482421875</v>
      </c>
    </row>
    <row r="2268" spans="37:37" ht="15.75" customHeight="1" x14ac:dyDescent="0.15">
      <c r="AK2268" s="2">
        <v>562.73333740234375</v>
      </c>
    </row>
    <row r="2269" spans="37:37" ht="15.75" customHeight="1" x14ac:dyDescent="0.15">
      <c r="AK2269" s="2">
        <v>560.90740966796875</v>
      </c>
    </row>
    <row r="2270" spans="37:37" ht="15.75" customHeight="1" x14ac:dyDescent="0.15">
      <c r="AK2270" s="2">
        <v>559.081298828125</v>
      </c>
    </row>
    <row r="2271" spans="37:37" ht="15.75" customHeight="1" x14ac:dyDescent="0.15">
      <c r="AK2271" s="2">
        <v>557.255126953125</v>
      </c>
    </row>
    <row r="2272" spans="37:37" ht="15.75" customHeight="1" x14ac:dyDescent="0.15">
      <c r="AK2272" s="2">
        <v>555.4290771484375</v>
      </c>
    </row>
    <row r="2273" spans="37:37" ht="15.75" customHeight="1" x14ac:dyDescent="0.15">
      <c r="AK2273" s="2">
        <v>553.60296630859375</v>
      </c>
    </row>
    <row r="2274" spans="37:37" ht="15.75" customHeight="1" x14ac:dyDescent="0.15">
      <c r="AK2274" s="2">
        <v>551.7769775390625</v>
      </c>
    </row>
    <row r="2275" spans="37:37" ht="15.75" customHeight="1" x14ac:dyDescent="0.15">
      <c r="AK2275" s="2">
        <v>549.95086669921875</v>
      </c>
    </row>
    <row r="2276" spans="37:37" ht="15.75" customHeight="1" x14ac:dyDescent="0.15">
      <c r="AK2276" s="2">
        <v>537.5146484375</v>
      </c>
    </row>
    <row r="2277" spans="37:37" ht="15.75" customHeight="1" x14ac:dyDescent="0.15">
      <c r="AK2277" s="2">
        <v>537.38623046875</v>
      </c>
    </row>
    <row r="2278" spans="37:37" ht="15.75" customHeight="1" x14ac:dyDescent="0.15">
      <c r="AK2278" s="2">
        <v>537.2576904296875</v>
      </c>
    </row>
    <row r="2279" spans="37:37" ht="15.75" customHeight="1" x14ac:dyDescent="0.15">
      <c r="AK2279" s="2">
        <v>537.1292724609375</v>
      </c>
    </row>
    <row r="2280" spans="37:37" ht="15.75" customHeight="1" x14ac:dyDescent="0.15">
      <c r="AK2280" s="2">
        <v>537.0008544921875</v>
      </c>
    </row>
    <row r="2281" spans="37:37" ht="15.75" customHeight="1" x14ac:dyDescent="0.15">
      <c r="AK2281" s="2">
        <v>536.872314453125</v>
      </c>
    </row>
    <row r="2282" spans="37:37" ht="15.75" customHeight="1" x14ac:dyDescent="0.15">
      <c r="AK2282" s="2">
        <v>536.74383544921875</v>
      </c>
    </row>
    <row r="2283" spans="37:37" ht="15.75" customHeight="1" x14ac:dyDescent="0.15">
      <c r="AK2283" s="2">
        <v>536.6153564453125</v>
      </c>
    </row>
    <row r="2284" spans="37:37" ht="15.75" customHeight="1" x14ac:dyDescent="0.15">
      <c r="AK2284" s="2">
        <v>536.48699951171875</v>
      </c>
    </row>
    <row r="2285" spans="37:37" ht="15.75" customHeight="1" x14ac:dyDescent="0.15">
      <c r="AK2285" s="2">
        <v>536.35845947265625</v>
      </c>
    </row>
    <row r="2286" spans="37:37" ht="15.75" customHeight="1" x14ac:dyDescent="0.15">
      <c r="AK2286" s="2">
        <v>536.23004150390625</v>
      </c>
    </row>
    <row r="2287" spans="37:37" ht="15.75" customHeight="1" x14ac:dyDescent="0.15">
      <c r="AK2287" s="2">
        <v>536.10150146484375</v>
      </c>
    </row>
    <row r="2288" spans="37:37" ht="15.75" customHeight="1" x14ac:dyDescent="0.15">
      <c r="AK2288" s="2">
        <v>535.9730224609375</v>
      </c>
    </row>
    <row r="2289" spans="37:37" ht="15.75" customHeight="1" x14ac:dyDescent="0.15">
      <c r="AK2289" s="2">
        <v>535.84466552734375</v>
      </c>
    </row>
    <row r="2290" spans="37:37" ht="15.75" customHeight="1" x14ac:dyDescent="0.15">
      <c r="AK2290" s="2">
        <v>535.71612548828125</v>
      </c>
    </row>
    <row r="2291" spans="37:37" ht="15.75" customHeight="1" x14ac:dyDescent="0.15">
      <c r="AK2291" s="2">
        <v>535.58770751953125</v>
      </c>
    </row>
    <row r="2292" spans="37:37" ht="15.75" customHeight="1" x14ac:dyDescent="0.15">
      <c r="AK2292" s="2">
        <v>535.45916748046875</v>
      </c>
    </row>
    <row r="2293" spans="37:37" ht="15.75" customHeight="1" x14ac:dyDescent="0.15">
      <c r="AK2293" s="2">
        <v>535.33062744140625</v>
      </c>
    </row>
    <row r="2294" spans="37:37" ht="15.75" customHeight="1" x14ac:dyDescent="0.15">
      <c r="AK2294" s="2">
        <v>535.20233154296875</v>
      </c>
    </row>
    <row r="2295" spans="37:37" ht="15.75" customHeight="1" x14ac:dyDescent="0.15">
      <c r="AK2295" s="2">
        <v>535.0738525390625</v>
      </c>
    </row>
    <row r="2296" spans="37:37" ht="15.75" customHeight="1" x14ac:dyDescent="0.15">
      <c r="AK2296" s="2">
        <v>534.9453125</v>
      </c>
    </row>
    <row r="2297" spans="37:37" ht="15.75" customHeight="1" x14ac:dyDescent="0.15">
      <c r="AK2297" s="2">
        <v>534.81683349609375</v>
      </c>
    </row>
    <row r="2298" spans="37:37" ht="15.75" customHeight="1" x14ac:dyDescent="0.15">
      <c r="AK2298" s="2">
        <v>534.68829345703125</v>
      </c>
    </row>
    <row r="2299" spans="37:37" ht="15.75" customHeight="1" x14ac:dyDescent="0.15">
      <c r="AK2299" s="2">
        <v>534.55999755859375</v>
      </c>
    </row>
    <row r="2300" spans="37:37" ht="15.75" customHeight="1" x14ac:dyDescent="0.15">
      <c r="AK2300" s="2">
        <v>534.43145751953125</v>
      </c>
    </row>
    <row r="2301" spans="37:37" ht="15.75" customHeight="1" x14ac:dyDescent="0.15">
      <c r="AK2301" s="2">
        <v>534.302978515625</v>
      </c>
    </row>
    <row r="2302" spans="37:37" ht="15.75" customHeight="1" x14ac:dyDescent="0.15">
      <c r="AK2302" s="2">
        <v>534.17449951171875</v>
      </c>
    </row>
    <row r="2303" spans="37:37" ht="15.75" customHeight="1" x14ac:dyDescent="0.15">
      <c r="AK2303" s="2">
        <v>550.4783935546875</v>
      </c>
    </row>
    <row r="2304" spans="37:37" ht="15.75" customHeight="1" x14ac:dyDescent="0.15">
      <c r="AK2304" s="2">
        <v>553.80950927734375</v>
      </c>
    </row>
    <row r="2305" spans="37:37" ht="15.75" customHeight="1" x14ac:dyDescent="0.15">
      <c r="AK2305" s="2">
        <v>557.1405029296875</v>
      </c>
    </row>
    <row r="2306" spans="37:37" ht="15.75" customHeight="1" x14ac:dyDescent="0.15">
      <c r="AK2306" s="2">
        <v>560.471435546875</v>
      </c>
    </row>
    <row r="2307" spans="37:37" ht="15.75" customHeight="1" x14ac:dyDescent="0.15">
      <c r="AK2307" s="2">
        <v>563.80242919921875</v>
      </c>
    </row>
    <row r="2308" spans="37:37" ht="15.75" customHeight="1" x14ac:dyDescent="0.15">
      <c r="AK2308" s="2">
        <v>567.1334228515625</v>
      </c>
    </row>
    <row r="2309" spans="37:37" ht="15.75" customHeight="1" x14ac:dyDescent="0.15">
      <c r="AK2309" s="2">
        <v>570.4644775390625</v>
      </c>
    </row>
    <row r="2310" spans="37:37" ht="15.75" customHeight="1" x14ac:dyDescent="0.15">
      <c r="AK2310" s="2">
        <v>573.79541015625</v>
      </c>
    </row>
    <row r="2311" spans="37:37" ht="15.75" customHeight="1" x14ac:dyDescent="0.15">
      <c r="AK2311" s="2">
        <v>577.12640380859375</v>
      </c>
    </row>
    <row r="2312" spans="37:37" ht="15.75" customHeight="1" x14ac:dyDescent="0.15">
      <c r="AK2312" s="2">
        <v>580.4573974609375</v>
      </c>
    </row>
    <row r="2313" spans="37:37" ht="15.75" customHeight="1" x14ac:dyDescent="0.15">
      <c r="AK2313" s="2">
        <v>583.78839111328125</v>
      </c>
    </row>
    <row r="2314" spans="37:37" ht="15.75" customHeight="1" x14ac:dyDescent="0.15">
      <c r="AK2314" s="2">
        <v>587.11944580078125</v>
      </c>
    </row>
    <row r="2315" spans="37:37" ht="15.75" customHeight="1" x14ac:dyDescent="0.15">
      <c r="AK2315" s="2">
        <v>590.45037841796875</v>
      </c>
    </row>
    <row r="2316" spans="37:37" ht="15.75" customHeight="1" x14ac:dyDescent="0.15">
      <c r="AK2316" s="2">
        <v>593.7813720703125</v>
      </c>
    </row>
    <row r="2317" spans="37:37" ht="15.75" customHeight="1" x14ac:dyDescent="0.15">
      <c r="AK2317" s="2">
        <v>597.11236572265625</v>
      </c>
    </row>
    <row r="2318" spans="37:37" ht="15.75" customHeight="1" x14ac:dyDescent="0.15">
      <c r="AK2318" s="2">
        <v>600.44329833984375</v>
      </c>
    </row>
    <row r="2319" spans="37:37" ht="15.75" customHeight="1" x14ac:dyDescent="0.15">
      <c r="AK2319" s="2">
        <v>603.77435302734375</v>
      </c>
    </row>
    <row r="2320" spans="37:37" ht="15.75" customHeight="1" x14ac:dyDescent="0.15">
      <c r="AK2320" s="2">
        <v>607.1053466796875</v>
      </c>
    </row>
    <row r="2321" spans="37:37" ht="15.75" customHeight="1" x14ac:dyDescent="0.15">
      <c r="AK2321" s="2">
        <v>610.436279296875</v>
      </c>
    </row>
    <row r="2322" spans="37:37" ht="15.75" customHeight="1" x14ac:dyDescent="0.15">
      <c r="AK2322" s="2">
        <v>613.767333984375</v>
      </c>
    </row>
    <row r="2323" spans="37:37" ht="15.75" customHeight="1" x14ac:dyDescent="0.15">
      <c r="AK2323" s="2">
        <v>617.0982666015625</v>
      </c>
    </row>
    <row r="2324" spans="37:37" ht="15.75" customHeight="1" x14ac:dyDescent="0.15">
      <c r="AK2324" s="2">
        <v>620.42938232421875</v>
      </c>
    </row>
    <row r="2325" spans="37:37" ht="15.75" customHeight="1" x14ac:dyDescent="0.15">
      <c r="AK2325" s="2">
        <v>623.76025390625</v>
      </c>
    </row>
    <row r="2326" spans="37:37" ht="15.75" customHeight="1" x14ac:dyDescent="0.15">
      <c r="AK2326" s="2">
        <v>627.09130859375</v>
      </c>
    </row>
    <row r="2327" spans="37:37" ht="15.75" customHeight="1" x14ac:dyDescent="0.15">
      <c r="AK2327" s="2">
        <v>630.42230224609375</v>
      </c>
    </row>
    <row r="2328" spans="37:37" ht="15.75" customHeight="1" x14ac:dyDescent="0.15">
      <c r="AK2328" s="2">
        <v>650.18560791015625</v>
      </c>
    </row>
    <row r="2329" spans="37:37" ht="15.75" customHeight="1" x14ac:dyDescent="0.15">
      <c r="AK2329" s="2">
        <v>656.97613525390625</v>
      </c>
    </row>
    <row r="2330" spans="37:37" ht="15.75" customHeight="1" x14ac:dyDescent="0.15">
      <c r="AK2330" s="2">
        <v>663.7666015625</v>
      </c>
    </row>
    <row r="2331" spans="37:37" ht="15.75" customHeight="1" x14ac:dyDescent="0.15">
      <c r="AK2331" s="2">
        <v>670.5570068359375</v>
      </c>
    </row>
    <row r="2332" spans="37:37" ht="15.75" customHeight="1" x14ac:dyDescent="0.15">
      <c r="AK2332" s="2">
        <v>677.34747314453125</v>
      </c>
    </row>
    <row r="2333" spans="37:37" ht="15.75" customHeight="1" x14ac:dyDescent="0.15">
      <c r="AK2333" s="2">
        <v>684.137939453125</v>
      </c>
    </row>
    <row r="2334" spans="37:37" ht="15.75" customHeight="1" x14ac:dyDescent="0.15">
      <c r="AK2334" s="2">
        <v>690.9283447265625</v>
      </c>
    </row>
    <row r="2335" spans="37:37" ht="15.75" customHeight="1" x14ac:dyDescent="0.15">
      <c r="AK2335" s="2">
        <v>697.71881103515625</v>
      </c>
    </row>
    <row r="2336" spans="37:37" ht="15.75" customHeight="1" x14ac:dyDescent="0.15">
      <c r="AK2336" s="2">
        <v>704.50933837890625</v>
      </c>
    </row>
    <row r="2337" spans="37:37" ht="15.75" customHeight="1" x14ac:dyDescent="0.15">
      <c r="AK2337" s="2">
        <v>711.29974365234375</v>
      </c>
    </row>
    <row r="2338" spans="37:37" ht="15.75" customHeight="1" x14ac:dyDescent="0.15">
      <c r="AK2338" s="2">
        <v>718.0902099609375</v>
      </c>
    </row>
    <row r="2339" spans="37:37" ht="15.75" customHeight="1" x14ac:dyDescent="0.15">
      <c r="AK2339" s="2">
        <v>724.880615234375</v>
      </c>
    </row>
    <row r="2340" spans="37:37" ht="15.75" customHeight="1" x14ac:dyDescent="0.15">
      <c r="AK2340" s="2">
        <v>731.6710205078125</v>
      </c>
    </row>
    <row r="2341" spans="37:37" ht="15.75" customHeight="1" x14ac:dyDescent="0.15">
      <c r="AK2341" s="2">
        <v>738.46148681640625</v>
      </c>
    </row>
    <row r="2342" spans="37:37" ht="15.75" customHeight="1" x14ac:dyDescent="0.15">
      <c r="AK2342" s="2">
        <v>745.25201416015625</v>
      </c>
    </row>
    <row r="2343" spans="37:37" ht="15.75" customHeight="1" x14ac:dyDescent="0.15">
      <c r="AK2343" s="2">
        <v>752.04241943359375</v>
      </c>
    </row>
    <row r="2344" spans="37:37" ht="15.75" customHeight="1" x14ac:dyDescent="0.15">
      <c r="AK2344" s="2">
        <v>758.83282470703125</v>
      </c>
    </row>
    <row r="2345" spans="37:37" ht="15.75" customHeight="1" x14ac:dyDescent="0.15">
      <c r="AK2345" s="2">
        <v>765.62335205078125</v>
      </c>
    </row>
    <row r="2346" spans="37:37" ht="15.75" customHeight="1" x14ac:dyDescent="0.15">
      <c r="AK2346" s="2">
        <v>772.413818359375</v>
      </c>
    </row>
    <row r="2347" spans="37:37" ht="15.75" customHeight="1" x14ac:dyDescent="0.15">
      <c r="AK2347" s="2">
        <v>779.2042236328125</v>
      </c>
    </row>
    <row r="2348" spans="37:37" ht="15.75" customHeight="1" x14ac:dyDescent="0.15">
      <c r="AK2348" s="2">
        <v>785.99468994140625</v>
      </c>
    </row>
    <row r="2349" spans="37:37" ht="15.75" customHeight="1" x14ac:dyDescent="0.15">
      <c r="AK2349" s="2">
        <v>792.78515625</v>
      </c>
    </row>
    <row r="2350" spans="37:37" ht="15.75" customHeight="1" x14ac:dyDescent="0.15">
      <c r="AK2350" s="2">
        <v>799.5755615234375</v>
      </c>
    </row>
    <row r="2351" spans="37:37" ht="15.75" customHeight="1" x14ac:dyDescent="0.15">
      <c r="AK2351" s="2">
        <v>806.36602783203125</v>
      </c>
    </row>
    <row r="2352" spans="37:37" ht="15.75" customHeight="1" x14ac:dyDescent="0.15">
      <c r="AK2352" s="2">
        <v>813.15655517578125</v>
      </c>
    </row>
    <row r="2353" spans="37:37" ht="15.75" customHeight="1" x14ac:dyDescent="0.15">
      <c r="AK2353" s="2">
        <v>819.9468994140625</v>
      </c>
    </row>
    <row r="2354" spans="37:37" ht="15.75" customHeight="1" x14ac:dyDescent="0.15">
      <c r="AK2354" s="2">
        <v>826.73736572265625</v>
      </c>
    </row>
    <row r="2355" spans="37:37" ht="15.75" customHeight="1" x14ac:dyDescent="0.15">
      <c r="AK2355" s="2">
        <v>833.52783203125</v>
      </c>
    </row>
    <row r="2356" spans="37:37" ht="15.75" customHeight="1" x14ac:dyDescent="0.15">
      <c r="AK2356" s="2">
        <v>840.31829833984375</v>
      </c>
    </row>
    <row r="2357" spans="37:37" ht="15.75" customHeight="1" x14ac:dyDescent="0.15">
      <c r="AK2357" s="2">
        <v>847.1087646484375</v>
      </c>
    </row>
    <row r="2358" spans="37:37" ht="15.75" customHeight="1" x14ac:dyDescent="0.15">
      <c r="AK2358" s="2">
        <v>853.89923095703125</v>
      </c>
    </row>
    <row r="2359" spans="37:37" ht="15.75" customHeight="1" x14ac:dyDescent="0.15">
      <c r="AK2359" s="2">
        <v>860.689697265625</v>
      </c>
    </row>
    <row r="2360" spans="37:37" ht="15.75" customHeight="1" x14ac:dyDescent="0.15">
      <c r="AK2360" s="2">
        <v>867.48004150390625</v>
      </c>
    </row>
    <row r="2361" spans="37:37" ht="15.75" customHeight="1" x14ac:dyDescent="0.15">
      <c r="AK2361" s="2">
        <v>874.27056884765625</v>
      </c>
    </row>
    <row r="2362" spans="37:37" ht="15.75" customHeight="1" x14ac:dyDescent="0.15">
      <c r="AK2362" s="2">
        <v>881.06103515625</v>
      </c>
    </row>
    <row r="2363" spans="37:37" ht="15.75" customHeight="1" x14ac:dyDescent="0.15">
      <c r="AK2363" s="2">
        <v>887.8514404296875</v>
      </c>
    </row>
    <row r="2364" spans="37:37" ht="15.75" customHeight="1" x14ac:dyDescent="0.15">
      <c r="AK2364" s="2">
        <v>894.641845703125</v>
      </c>
    </row>
    <row r="2365" spans="37:37" ht="15.75" customHeight="1" x14ac:dyDescent="0.15">
      <c r="AK2365" s="2">
        <v>901.4322509765625</v>
      </c>
    </row>
    <row r="2366" spans="37:37" ht="15.75" customHeight="1" x14ac:dyDescent="0.15">
      <c r="AK2366" s="2">
        <v>908.2227783203125</v>
      </c>
    </row>
    <row r="2367" spans="37:37" ht="15.75" customHeight="1" x14ac:dyDescent="0.15">
      <c r="AK2367" s="2">
        <v>915.01324462890625</v>
      </c>
    </row>
    <row r="2368" spans="37:37" ht="15.75" customHeight="1" x14ac:dyDescent="0.15">
      <c r="AK2368" s="2">
        <v>921.8037109375</v>
      </c>
    </row>
    <row r="2369" spans="37:37" ht="15.75" customHeight="1" x14ac:dyDescent="0.15">
      <c r="AK2369" s="2">
        <v>928.59405517578125</v>
      </c>
    </row>
    <row r="2370" spans="37:37" ht="15.75" customHeight="1" x14ac:dyDescent="0.15">
      <c r="AK2370" s="2">
        <v>935.38458251953125</v>
      </c>
    </row>
    <row r="2371" spans="37:37" ht="15.75" customHeight="1" x14ac:dyDescent="0.15">
      <c r="AK2371" s="2">
        <v>942.175048828125</v>
      </c>
    </row>
    <row r="2372" spans="37:37" ht="15.75" customHeight="1" x14ac:dyDescent="0.15">
      <c r="AK2372" s="2">
        <v>948.965576171875</v>
      </c>
    </row>
    <row r="2373" spans="37:37" ht="15.75" customHeight="1" x14ac:dyDescent="0.15">
      <c r="AK2373" s="2">
        <v>955.7559814453125</v>
      </c>
    </row>
    <row r="2374" spans="37:37" ht="15.75" customHeight="1" x14ac:dyDescent="0.15">
      <c r="AK2374" s="2">
        <v>962.54638671875</v>
      </c>
    </row>
    <row r="2375" spans="37:37" ht="15.75" customHeight="1" x14ac:dyDescent="0.15">
      <c r="AK2375" s="2">
        <v>969.33685302734375</v>
      </c>
    </row>
    <row r="2376" spans="37:37" ht="15.75" customHeight="1" x14ac:dyDescent="0.15">
      <c r="AK2376" s="2">
        <v>976.12725830078125</v>
      </c>
    </row>
    <row r="2377" spans="37:37" ht="15.75" customHeight="1" x14ac:dyDescent="0.15">
      <c r="AK2377" s="2">
        <v>985.28070068359375</v>
      </c>
    </row>
    <row r="2378" spans="37:37" ht="15.75" customHeight="1" x14ac:dyDescent="0.15">
      <c r="AK2378" s="2">
        <v>986.91400146484375</v>
      </c>
    </row>
    <row r="2379" spans="37:37" ht="15.75" customHeight="1" x14ac:dyDescent="0.15">
      <c r="AK2379" s="2">
        <v>988.5474853515625</v>
      </c>
    </row>
    <row r="2380" spans="37:37" ht="15.75" customHeight="1" x14ac:dyDescent="0.15">
      <c r="AK2380" s="2">
        <v>990.1807861328125</v>
      </c>
    </row>
    <row r="2381" spans="37:37" ht="15.75" customHeight="1" x14ac:dyDescent="0.15">
      <c r="AK2381" s="2">
        <v>991.814208984375</v>
      </c>
    </row>
    <row r="2382" spans="37:37" ht="15.75" customHeight="1" x14ac:dyDescent="0.15">
      <c r="AK2382" s="2">
        <v>993.4476318359375</v>
      </c>
    </row>
    <row r="2383" spans="37:37" ht="15.75" customHeight="1" x14ac:dyDescent="0.15">
      <c r="AK2383" s="2">
        <v>995.0809326171875</v>
      </c>
    </row>
    <row r="2384" spans="37:37" ht="15.75" customHeight="1" x14ac:dyDescent="0.15">
      <c r="AK2384" s="2">
        <v>996.71435546875</v>
      </c>
    </row>
    <row r="2385" spans="37:37" ht="15.75" customHeight="1" x14ac:dyDescent="0.15">
      <c r="AK2385" s="2">
        <v>998.34765625</v>
      </c>
    </row>
    <row r="2386" spans="37:37" ht="15.75" customHeight="1" x14ac:dyDescent="0.15">
      <c r="AK2386" s="2">
        <v>999.9810791015625</v>
      </c>
    </row>
    <row r="2387" spans="37:37" ht="15.75" customHeight="1" x14ac:dyDescent="0.15">
      <c r="AK2387" s="2">
        <v>1001.614501953125</v>
      </c>
    </row>
    <row r="2388" spans="37:37" ht="15.75" customHeight="1" x14ac:dyDescent="0.15">
      <c r="AK2388" s="2">
        <v>1003.247802734375</v>
      </c>
    </row>
    <row r="2389" spans="37:37" ht="15.75" customHeight="1" x14ac:dyDescent="0.15">
      <c r="AK2389" s="2">
        <v>1004.8812255859375</v>
      </c>
    </row>
    <row r="2390" spans="37:37" ht="15.75" customHeight="1" x14ac:dyDescent="0.15">
      <c r="AK2390" s="2">
        <v>1006.5145263671875</v>
      </c>
    </row>
    <row r="2391" spans="37:37" ht="15.75" customHeight="1" x14ac:dyDescent="0.15">
      <c r="AK2391" s="2">
        <v>1008.14794921875</v>
      </c>
    </row>
    <row r="2392" spans="37:37" ht="15.75" customHeight="1" x14ac:dyDescent="0.15">
      <c r="AK2392" s="2">
        <v>1009.7813720703125</v>
      </c>
    </row>
    <row r="2393" spans="37:37" ht="15.75" customHeight="1" x14ac:dyDescent="0.15">
      <c r="AK2393" s="2">
        <v>1011.4146728515625</v>
      </c>
    </row>
    <row r="2394" spans="37:37" ht="15.75" customHeight="1" x14ac:dyDescent="0.15">
      <c r="AK2394" s="2">
        <v>1013.048095703125</v>
      </c>
    </row>
    <row r="2395" spans="37:37" ht="15.75" customHeight="1" x14ac:dyDescent="0.15">
      <c r="AK2395" s="2">
        <v>1014.6815185546875</v>
      </c>
    </row>
    <row r="2396" spans="37:37" ht="15.75" customHeight="1" x14ac:dyDescent="0.15">
      <c r="AK2396" s="2">
        <v>1016.3148193359375</v>
      </c>
    </row>
    <row r="2397" spans="37:37" ht="15.75" customHeight="1" x14ac:dyDescent="0.15">
      <c r="AK2397" s="2">
        <v>1017.9482421875</v>
      </c>
    </row>
    <row r="2398" spans="37:37" ht="15.75" customHeight="1" x14ac:dyDescent="0.15">
      <c r="AK2398" s="2">
        <v>1019.58154296875</v>
      </c>
    </row>
    <row r="2399" spans="37:37" ht="15.75" customHeight="1" x14ac:dyDescent="0.15">
      <c r="AK2399" s="2">
        <v>1021.2149658203125</v>
      </c>
    </row>
    <row r="2400" spans="37:37" ht="15.75" customHeight="1" x14ac:dyDescent="0.15">
      <c r="AK2400" s="2">
        <v>1022.848388671875</v>
      </c>
    </row>
    <row r="2401" spans="37:37" ht="15.75" customHeight="1" x14ac:dyDescent="0.15">
      <c r="AK2401" s="2">
        <v>1024.481689453125</v>
      </c>
    </row>
    <row r="2402" spans="37:37" ht="15.75" customHeight="1" x14ac:dyDescent="0.15">
      <c r="AK2402" s="2">
        <v>1028.47802734375</v>
      </c>
    </row>
    <row r="2403" spans="37:37" ht="15.75" customHeight="1" x14ac:dyDescent="0.15">
      <c r="AK2403" s="2">
        <v>1024.954345703125</v>
      </c>
    </row>
    <row r="2404" spans="37:37" ht="15.75" customHeight="1" x14ac:dyDescent="0.15">
      <c r="AK2404" s="2">
        <v>1021.4307250976563</v>
      </c>
    </row>
    <row r="2405" spans="37:37" ht="15.75" customHeight="1" x14ac:dyDescent="0.15">
      <c r="AK2405" s="2">
        <v>1017.906982421875</v>
      </c>
    </row>
    <row r="2406" spans="37:37" ht="15.75" customHeight="1" x14ac:dyDescent="0.15">
      <c r="AK2406" s="2">
        <v>1014.38330078125</v>
      </c>
    </row>
    <row r="2407" spans="37:37" ht="15.75" customHeight="1" x14ac:dyDescent="0.15">
      <c r="AK2407" s="2">
        <v>1010.8595581054688</v>
      </c>
    </row>
    <row r="2408" spans="37:37" ht="15.75" customHeight="1" x14ac:dyDescent="0.15">
      <c r="AK2408" s="2">
        <v>1007.3358154296875</v>
      </c>
    </row>
    <row r="2409" spans="37:37" ht="15.75" customHeight="1" x14ac:dyDescent="0.15">
      <c r="AK2409" s="2">
        <v>1003.812255859375</v>
      </c>
    </row>
    <row r="2410" spans="37:37" ht="15.75" customHeight="1" x14ac:dyDescent="0.15">
      <c r="AK2410" s="2">
        <v>1000.2885131835938</v>
      </c>
    </row>
    <row r="2411" spans="37:37" ht="15.75" customHeight="1" x14ac:dyDescent="0.15">
      <c r="AK2411" s="2">
        <v>996.76483154296875</v>
      </c>
    </row>
    <row r="2412" spans="37:37" ht="15.75" customHeight="1" x14ac:dyDescent="0.15">
      <c r="AK2412" s="2">
        <v>993.2410888671875</v>
      </c>
    </row>
    <row r="2413" spans="37:37" ht="15.75" customHeight="1" x14ac:dyDescent="0.15">
      <c r="AK2413" s="2">
        <v>989.7174072265625</v>
      </c>
    </row>
    <row r="2414" spans="37:37" ht="15.75" customHeight="1" x14ac:dyDescent="0.15">
      <c r="AK2414" s="2">
        <v>986.1937255859375</v>
      </c>
    </row>
    <row r="2415" spans="37:37" ht="15.75" customHeight="1" x14ac:dyDescent="0.15">
      <c r="AK2415" s="2">
        <v>982.6700439453125</v>
      </c>
    </row>
    <row r="2416" spans="37:37" ht="15.75" customHeight="1" x14ac:dyDescent="0.15">
      <c r="AK2416" s="2">
        <v>979.14630126953125</v>
      </c>
    </row>
    <row r="2417" spans="37:37" ht="15.75" customHeight="1" x14ac:dyDescent="0.15">
      <c r="AK2417" s="2">
        <v>975.62261962890625</v>
      </c>
    </row>
    <row r="2418" spans="37:37" ht="15.75" customHeight="1" x14ac:dyDescent="0.15">
      <c r="AK2418" s="2">
        <v>972.098876953125</v>
      </c>
    </row>
    <row r="2419" spans="37:37" ht="15.75" customHeight="1" x14ac:dyDescent="0.15">
      <c r="AK2419" s="2">
        <v>968.5753173828125</v>
      </c>
    </row>
    <row r="2420" spans="37:37" ht="15.75" customHeight="1" x14ac:dyDescent="0.15">
      <c r="AK2420" s="2">
        <v>965.0516357421875</v>
      </c>
    </row>
    <row r="2421" spans="37:37" ht="15.75" customHeight="1" x14ac:dyDescent="0.15">
      <c r="AK2421" s="2">
        <v>961.52783203125</v>
      </c>
    </row>
    <row r="2422" spans="37:37" ht="15.75" customHeight="1" x14ac:dyDescent="0.15">
      <c r="AK2422" s="2">
        <v>958.004150390625</v>
      </c>
    </row>
    <row r="2423" spans="37:37" ht="15.75" customHeight="1" x14ac:dyDescent="0.15">
      <c r="AK2423" s="2">
        <v>954.48046875</v>
      </c>
    </row>
    <row r="2424" spans="37:37" ht="15.75" customHeight="1" x14ac:dyDescent="0.15">
      <c r="AK2424" s="2">
        <v>950.956787109375</v>
      </c>
    </row>
    <row r="2425" spans="37:37" ht="15.75" customHeight="1" x14ac:dyDescent="0.15">
      <c r="AK2425" s="2">
        <v>947.43310546875</v>
      </c>
    </row>
    <row r="2426" spans="37:37" ht="15.75" customHeight="1" x14ac:dyDescent="0.15">
      <c r="AK2426" s="2">
        <v>933.29931640625</v>
      </c>
    </row>
    <row r="2427" spans="37:37" ht="15.75" customHeight="1" x14ac:dyDescent="0.15">
      <c r="AK2427" s="2">
        <v>931.4732666015625</v>
      </c>
    </row>
    <row r="2428" spans="37:37" ht="15.75" customHeight="1" x14ac:dyDescent="0.15">
      <c r="AK2428" s="2">
        <v>929.6470947265625</v>
      </c>
    </row>
    <row r="2429" spans="37:37" ht="15.75" customHeight="1" x14ac:dyDescent="0.15">
      <c r="AK2429" s="2">
        <v>927.8211669921875</v>
      </c>
    </row>
    <row r="2430" spans="37:37" ht="15.75" customHeight="1" x14ac:dyDescent="0.15">
      <c r="AK2430" s="2">
        <v>925.9949951171875</v>
      </c>
    </row>
    <row r="2431" spans="37:37" ht="15.75" customHeight="1" x14ac:dyDescent="0.15">
      <c r="AK2431" s="2">
        <v>924.1689453125</v>
      </c>
    </row>
    <row r="2432" spans="37:37" ht="15.75" customHeight="1" x14ac:dyDescent="0.15">
      <c r="AK2432" s="2">
        <v>922.3428955078125</v>
      </c>
    </row>
    <row r="2433" spans="37:37" ht="15.75" customHeight="1" x14ac:dyDescent="0.15">
      <c r="AK2433" s="2">
        <v>920.5167236328125</v>
      </c>
    </row>
    <row r="2434" spans="37:37" ht="15.75" customHeight="1" x14ac:dyDescent="0.15">
      <c r="AK2434" s="2">
        <v>918.69073486328125</v>
      </c>
    </row>
    <row r="2435" spans="37:37" ht="15.75" customHeight="1" x14ac:dyDescent="0.15">
      <c r="AK2435" s="2">
        <v>916.8646240234375</v>
      </c>
    </row>
    <row r="2436" spans="37:37" ht="15.75" customHeight="1" x14ac:dyDescent="0.15">
      <c r="AK2436" s="2">
        <v>915.03851318359375</v>
      </c>
    </row>
    <row r="2437" spans="37:37" ht="15.75" customHeight="1" x14ac:dyDescent="0.15">
      <c r="AK2437" s="2">
        <v>913.21240234375</v>
      </c>
    </row>
    <row r="2438" spans="37:37" ht="15.75" customHeight="1" x14ac:dyDescent="0.15">
      <c r="AK2438" s="2">
        <v>911.3863525390625</v>
      </c>
    </row>
    <row r="2439" spans="37:37" ht="15.75" customHeight="1" x14ac:dyDescent="0.15">
      <c r="AK2439" s="2">
        <v>909.56024169921875</v>
      </c>
    </row>
    <row r="2440" spans="37:37" ht="15.75" customHeight="1" x14ac:dyDescent="0.15">
      <c r="AK2440" s="2">
        <v>907.73419189453125</v>
      </c>
    </row>
    <row r="2441" spans="37:37" ht="15.75" customHeight="1" x14ac:dyDescent="0.15">
      <c r="AK2441" s="2">
        <v>905.90814208984375</v>
      </c>
    </row>
    <row r="2442" spans="37:37" ht="15.75" customHeight="1" x14ac:dyDescent="0.15">
      <c r="AK2442" s="2">
        <v>904.08197021484375</v>
      </c>
    </row>
    <row r="2443" spans="37:37" ht="15.75" customHeight="1" x14ac:dyDescent="0.15">
      <c r="AK2443" s="2">
        <v>902.25592041015625</v>
      </c>
    </row>
    <row r="2444" spans="37:37" ht="15.75" customHeight="1" x14ac:dyDescent="0.15">
      <c r="AK2444" s="2">
        <v>900.429931640625</v>
      </c>
    </row>
    <row r="2445" spans="37:37" ht="15.75" customHeight="1" x14ac:dyDescent="0.15">
      <c r="AK2445" s="2">
        <v>898.6038818359375</v>
      </c>
    </row>
    <row r="2446" spans="37:37" ht="15.75" customHeight="1" x14ac:dyDescent="0.15">
      <c r="AK2446" s="2">
        <v>896.7777099609375</v>
      </c>
    </row>
    <row r="2447" spans="37:37" ht="15.75" customHeight="1" x14ac:dyDescent="0.15">
      <c r="AK2447" s="2">
        <v>894.95166015625</v>
      </c>
    </row>
    <row r="2448" spans="37:37" ht="15.75" customHeight="1" x14ac:dyDescent="0.15">
      <c r="AK2448" s="2">
        <v>893.1256103515625</v>
      </c>
    </row>
    <row r="2449" spans="37:37" ht="15.75" customHeight="1" x14ac:dyDescent="0.15">
      <c r="AK2449" s="2">
        <v>891.2994384765625</v>
      </c>
    </row>
    <row r="2450" spans="37:37" ht="15.75" customHeight="1" x14ac:dyDescent="0.15">
      <c r="AK2450" s="2">
        <v>889.473388671875</v>
      </c>
    </row>
    <row r="2451" spans="37:37" ht="15.75" customHeight="1" x14ac:dyDescent="0.15">
      <c r="AK2451" s="2">
        <v>877.0372314453125</v>
      </c>
    </row>
    <row r="2452" spans="37:37" ht="15.75" customHeight="1" x14ac:dyDescent="0.15">
      <c r="AK2452" s="2">
        <v>879.2716064453125</v>
      </c>
    </row>
    <row r="2453" spans="37:37" ht="15.75" customHeight="1" x14ac:dyDescent="0.15">
      <c r="AK2453" s="2">
        <v>873.98602294921875</v>
      </c>
    </row>
    <row r="2454" spans="37:37" ht="15.75" customHeight="1" x14ac:dyDescent="0.15">
      <c r="AK2454" s="2">
        <v>868.70068359375</v>
      </c>
    </row>
    <row r="2455" spans="37:37" ht="15.75" customHeight="1" x14ac:dyDescent="0.15">
      <c r="AK2455" s="2">
        <v>863.4150390625</v>
      </c>
    </row>
    <row r="2456" spans="37:37" ht="15.75" customHeight="1" x14ac:dyDescent="0.15">
      <c r="AK2456" s="2">
        <v>858.1295166015625</v>
      </c>
    </row>
    <row r="2457" spans="37:37" ht="15.75" customHeight="1" x14ac:dyDescent="0.15">
      <c r="AK2457" s="2">
        <v>852.84393310546875</v>
      </c>
    </row>
    <row r="2458" spans="37:37" ht="15.75" customHeight="1" x14ac:dyDescent="0.15">
      <c r="AK2458" s="2">
        <v>847.558349609375</v>
      </c>
    </row>
    <row r="2459" spans="37:37" ht="15.75" customHeight="1" x14ac:dyDescent="0.15">
      <c r="AK2459" s="2">
        <v>842.27294921875</v>
      </c>
    </row>
    <row r="2460" spans="37:37" ht="15.75" customHeight="1" x14ac:dyDescent="0.15">
      <c r="AK2460" s="2">
        <v>836.98736572265625</v>
      </c>
    </row>
    <row r="2461" spans="37:37" ht="15.75" customHeight="1" x14ac:dyDescent="0.15">
      <c r="AK2461" s="2">
        <v>831.7017822265625</v>
      </c>
    </row>
    <row r="2462" spans="37:37" ht="15.75" customHeight="1" x14ac:dyDescent="0.15">
      <c r="AK2462" s="2">
        <v>826.41619873046875</v>
      </c>
    </row>
    <row r="2463" spans="37:37" ht="15.75" customHeight="1" x14ac:dyDescent="0.15">
      <c r="AK2463" s="2">
        <v>821.130615234375</v>
      </c>
    </row>
    <row r="2464" spans="37:37" ht="15.75" customHeight="1" x14ac:dyDescent="0.15">
      <c r="AK2464" s="2">
        <v>815.84527587890625</v>
      </c>
    </row>
    <row r="2465" spans="37:37" ht="15.75" customHeight="1" x14ac:dyDescent="0.15">
      <c r="AK2465" s="2">
        <v>810.5596923828125</v>
      </c>
    </row>
    <row r="2466" spans="37:37" ht="15.75" customHeight="1" x14ac:dyDescent="0.15">
      <c r="AK2466" s="2">
        <v>805.274169921875</v>
      </c>
    </row>
    <row r="2467" spans="37:37" ht="15.75" customHeight="1" x14ac:dyDescent="0.15">
      <c r="AK2467" s="2">
        <v>799.988525390625</v>
      </c>
    </row>
    <row r="2468" spans="37:37" ht="15.75" customHeight="1" x14ac:dyDescent="0.15">
      <c r="AK2468" s="2">
        <v>794.7030029296875</v>
      </c>
    </row>
    <row r="2469" spans="37:37" ht="15.75" customHeight="1" x14ac:dyDescent="0.15">
      <c r="AK2469" s="2">
        <v>789.41754150390625</v>
      </c>
    </row>
    <row r="2470" spans="37:37" ht="15.75" customHeight="1" x14ac:dyDescent="0.15">
      <c r="AK2470" s="2">
        <v>784.1319580078125</v>
      </c>
    </row>
    <row r="2471" spans="37:37" ht="15.75" customHeight="1" x14ac:dyDescent="0.15">
      <c r="AK2471" s="2">
        <v>778.846435546875</v>
      </c>
    </row>
    <row r="2472" spans="37:37" ht="15.75" customHeight="1" x14ac:dyDescent="0.15">
      <c r="AK2472" s="2">
        <v>773.560791015625</v>
      </c>
    </row>
    <row r="2473" spans="37:37" ht="15.75" customHeight="1" x14ac:dyDescent="0.15">
      <c r="AK2473" s="2">
        <v>768.2752685546875</v>
      </c>
    </row>
    <row r="2474" spans="37:37" ht="15.75" customHeight="1" x14ac:dyDescent="0.15">
      <c r="AK2474" s="2">
        <v>762.9898681640625</v>
      </c>
    </row>
    <row r="2475" spans="37:37" ht="15.75" customHeight="1" x14ac:dyDescent="0.15">
      <c r="AK2475" s="2">
        <v>757.70428466796875</v>
      </c>
    </row>
    <row r="2476" spans="37:37" ht="15.75" customHeight="1" x14ac:dyDescent="0.15">
      <c r="AK2476" s="2">
        <v>752.418701171875</v>
      </c>
    </row>
    <row r="2477" spans="37:37" ht="15.75" customHeight="1" x14ac:dyDescent="0.15">
      <c r="AK2477" s="2">
        <v>749.49603271484375</v>
      </c>
    </row>
    <row r="2478" spans="37:37" ht="15.75" customHeight="1" x14ac:dyDescent="0.15">
      <c r="AK2478" s="2">
        <v>755.48577880859375</v>
      </c>
    </row>
    <row r="2479" spans="37:37" ht="15.75" customHeight="1" x14ac:dyDescent="0.15">
      <c r="AK2479" s="2">
        <v>748.5028076171875</v>
      </c>
    </row>
    <row r="2480" spans="37:37" ht="15.75" customHeight="1" x14ac:dyDescent="0.15">
      <c r="AK2480" s="2">
        <v>741.51959228515625</v>
      </c>
    </row>
    <row r="2481" spans="37:37" ht="15.75" customHeight="1" x14ac:dyDescent="0.15">
      <c r="AK2481" s="2">
        <v>734.536376953125</v>
      </c>
    </row>
    <row r="2482" spans="37:37" ht="15.75" customHeight="1" x14ac:dyDescent="0.15">
      <c r="AK2482" s="2">
        <v>727.55322265625</v>
      </c>
    </row>
    <row r="2483" spans="37:37" ht="15.75" customHeight="1" x14ac:dyDescent="0.15">
      <c r="AK2483" s="2">
        <v>720.57000732421875</v>
      </c>
    </row>
    <row r="2484" spans="37:37" ht="15.75" customHeight="1" x14ac:dyDescent="0.15">
      <c r="AK2484" s="2">
        <v>713.5870361328125</v>
      </c>
    </row>
    <row r="2485" spans="37:37" ht="15.75" customHeight="1" x14ac:dyDescent="0.15">
      <c r="AK2485" s="2">
        <v>706.6038818359375</v>
      </c>
    </row>
    <row r="2486" spans="37:37" ht="15.75" customHeight="1" x14ac:dyDescent="0.15">
      <c r="AK2486" s="2">
        <v>699.62066650390625</v>
      </c>
    </row>
    <row r="2487" spans="37:37" ht="15.75" customHeight="1" x14ac:dyDescent="0.15">
      <c r="AK2487" s="2">
        <v>692.637451171875</v>
      </c>
    </row>
    <row r="2488" spans="37:37" ht="15.75" customHeight="1" x14ac:dyDescent="0.15">
      <c r="AK2488" s="2">
        <v>685.654296875</v>
      </c>
    </row>
    <row r="2489" spans="37:37" ht="15.75" customHeight="1" x14ac:dyDescent="0.15">
      <c r="AK2489" s="2">
        <v>678.6712646484375</v>
      </c>
    </row>
    <row r="2490" spans="37:37" ht="15.75" customHeight="1" x14ac:dyDescent="0.15">
      <c r="AK2490" s="2">
        <v>671.6881103515625</v>
      </c>
    </row>
    <row r="2491" spans="37:37" ht="15.75" customHeight="1" x14ac:dyDescent="0.15">
      <c r="AK2491" s="2">
        <v>664.70489501953125</v>
      </c>
    </row>
    <row r="2492" spans="37:37" ht="15.75" customHeight="1" x14ac:dyDescent="0.15">
      <c r="AK2492" s="2">
        <v>657.7216796875</v>
      </c>
    </row>
    <row r="2493" spans="37:37" ht="15.75" customHeight="1" x14ac:dyDescent="0.15">
      <c r="AK2493" s="2">
        <v>650.738525390625</v>
      </c>
    </row>
    <row r="2494" spans="37:37" ht="15.75" customHeight="1" x14ac:dyDescent="0.15">
      <c r="AK2494" s="2">
        <v>643.7554931640625</v>
      </c>
    </row>
    <row r="2495" spans="37:37" ht="15.75" customHeight="1" x14ac:dyDescent="0.15">
      <c r="AK2495" s="2">
        <v>636.7723388671875</v>
      </c>
    </row>
    <row r="2496" spans="37:37" ht="15.75" customHeight="1" x14ac:dyDescent="0.15">
      <c r="AK2496" s="2">
        <v>629.78912353515625</v>
      </c>
    </row>
    <row r="2497" spans="37:37" ht="15.75" customHeight="1" x14ac:dyDescent="0.15">
      <c r="AK2497" s="2">
        <v>622.805908203125</v>
      </c>
    </row>
    <row r="2498" spans="37:37" ht="15.75" customHeight="1" x14ac:dyDescent="0.15">
      <c r="AK2498" s="2">
        <v>615.82275390625</v>
      </c>
    </row>
    <row r="2499" spans="37:37" ht="15.75" customHeight="1" x14ac:dyDescent="0.15">
      <c r="AK2499" s="2">
        <v>608.8397216796875</v>
      </c>
    </row>
    <row r="2500" spans="37:37" ht="15.75" customHeight="1" x14ac:dyDescent="0.15">
      <c r="AK2500" s="2">
        <v>601.8565673828125</v>
      </c>
    </row>
    <row r="2501" spans="37:37" ht="15.75" customHeight="1" x14ac:dyDescent="0.15">
      <c r="AK2501" s="2">
        <v>594.87335205078125</v>
      </c>
    </row>
    <row r="2502" spans="37:37" ht="15.75" customHeight="1" x14ac:dyDescent="0.15">
      <c r="AK2502" s="2">
        <v>587.89013671875</v>
      </c>
    </row>
    <row r="2503" spans="37:37" ht="15.75" customHeight="1" x14ac:dyDescent="0.15">
      <c r="AK2503" s="2">
        <v>597.33941650390625</v>
      </c>
    </row>
    <row r="2504" spans="37:37" ht="15.75" customHeight="1" x14ac:dyDescent="0.15">
      <c r="AK2504" s="2">
        <v>593.81585693359375</v>
      </c>
    </row>
    <row r="2505" spans="37:37" ht="15.75" customHeight="1" x14ac:dyDescent="0.15">
      <c r="AK2505" s="2">
        <v>590.2921142578125</v>
      </c>
    </row>
    <row r="2506" spans="37:37" ht="15.75" customHeight="1" x14ac:dyDescent="0.15">
      <c r="AK2506" s="2">
        <v>586.7684326171875</v>
      </c>
    </row>
    <row r="2507" spans="37:37" ht="15.75" customHeight="1" x14ac:dyDescent="0.15">
      <c r="AK2507" s="2">
        <v>583.24468994140625</v>
      </c>
    </row>
    <row r="2508" spans="37:37" ht="15.75" customHeight="1" x14ac:dyDescent="0.15">
      <c r="AK2508" s="2">
        <v>579.720947265625</v>
      </c>
    </row>
    <row r="2509" spans="37:37" ht="15.75" customHeight="1" x14ac:dyDescent="0.15">
      <c r="AK2509" s="2">
        <v>576.1973876953125</v>
      </c>
    </row>
    <row r="2510" spans="37:37" ht="15.75" customHeight="1" x14ac:dyDescent="0.15">
      <c r="AK2510" s="2">
        <v>572.67364501953125</v>
      </c>
    </row>
    <row r="2511" spans="37:37" ht="15.75" customHeight="1" x14ac:dyDescent="0.15">
      <c r="AK2511" s="2">
        <v>569.14990234375</v>
      </c>
    </row>
    <row r="2512" spans="37:37" ht="15.75" customHeight="1" x14ac:dyDescent="0.15">
      <c r="AK2512" s="2">
        <v>565.626220703125</v>
      </c>
    </row>
    <row r="2513" spans="37:37" ht="15.75" customHeight="1" x14ac:dyDescent="0.15">
      <c r="AK2513" s="2">
        <v>562.10247802734375</v>
      </c>
    </row>
    <row r="2514" spans="37:37" ht="15.75" customHeight="1" x14ac:dyDescent="0.15">
      <c r="AK2514" s="2">
        <v>558.57891845703125</v>
      </c>
    </row>
    <row r="2515" spans="37:37" ht="15.75" customHeight="1" x14ac:dyDescent="0.15">
      <c r="AK2515" s="2">
        <v>555.05517578125</v>
      </c>
    </row>
    <row r="2516" spans="37:37" ht="15.75" customHeight="1" x14ac:dyDescent="0.15">
      <c r="AK2516" s="2">
        <v>551.531494140625</v>
      </c>
    </row>
    <row r="2517" spans="37:37" ht="15.75" customHeight="1" x14ac:dyDescent="0.15">
      <c r="AK2517" s="2">
        <v>548.00775146484375</v>
      </c>
    </row>
    <row r="2518" spans="37:37" ht="15.75" customHeight="1" x14ac:dyDescent="0.15">
      <c r="AK2518" s="2">
        <v>544.4840087890625</v>
      </c>
    </row>
    <row r="2519" spans="37:37" ht="15.75" customHeight="1" x14ac:dyDescent="0.15">
      <c r="AK2519" s="2">
        <v>540.96044921875</v>
      </c>
    </row>
    <row r="2520" spans="37:37" ht="15.75" customHeight="1" x14ac:dyDescent="0.15">
      <c r="AK2520" s="2">
        <v>537.436767578125</v>
      </c>
    </row>
    <row r="2521" spans="37:37" ht="15.75" customHeight="1" x14ac:dyDescent="0.15">
      <c r="AK2521" s="2">
        <v>533.9129638671875</v>
      </c>
    </row>
    <row r="2522" spans="37:37" ht="15.75" customHeight="1" x14ac:dyDescent="0.15">
      <c r="AK2522" s="2">
        <v>530.3892822265625</v>
      </c>
    </row>
    <row r="2523" spans="37:37" ht="15.75" customHeight="1" x14ac:dyDescent="0.15">
      <c r="AK2523" s="2">
        <v>526.8656005859375</v>
      </c>
    </row>
    <row r="2524" spans="37:37" ht="15.75" customHeight="1" x14ac:dyDescent="0.15">
      <c r="AK2524" s="2">
        <v>523.34197998046875</v>
      </c>
    </row>
    <row r="2525" spans="37:37" ht="15.75" customHeight="1" x14ac:dyDescent="0.15">
      <c r="AK2525" s="2">
        <v>519.8182373046875</v>
      </c>
    </row>
    <row r="2526" spans="37:37" ht="15.75" customHeight="1" x14ac:dyDescent="0.15">
      <c r="AK2526" s="2">
        <v>516.2945556640625</v>
      </c>
    </row>
    <row r="2527" spans="37:37" ht="15.75" customHeight="1" x14ac:dyDescent="0.15">
      <c r="AK2527" s="2">
        <v>512.77081298828125</v>
      </c>
    </row>
    <row r="2528" spans="37:37" ht="15.75" customHeight="1" x14ac:dyDescent="0.15">
      <c r="AK2528" s="2">
        <v>509.24710083007813</v>
      </c>
    </row>
    <row r="2529" spans="37:37" ht="15.75" customHeight="1" x14ac:dyDescent="0.15">
      <c r="AK2529" s="2">
        <v>505.72348022460938</v>
      </c>
    </row>
    <row r="2530" spans="37:37" ht="15.75" customHeight="1" x14ac:dyDescent="0.15">
      <c r="AK2530" s="2">
        <v>502.19976806640625</v>
      </c>
    </row>
    <row r="2531" spans="37:37" ht="15.75" customHeight="1" x14ac:dyDescent="0.15">
      <c r="AK2531" s="2">
        <v>498.67605590820313</v>
      </c>
    </row>
    <row r="2532" spans="37:37" ht="15.75" customHeight="1" x14ac:dyDescent="0.15">
      <c r="AK2532" s="2">
        <v>495.15234375</v>
      </c>
    </row>
    <row r="2533" spans="37:37" ht="15.75" customHeight="1" x14ac:dyDescent="0.15">
      <c r="AK2533" s="2">
        <v>491.62860107421875</v>
      </c>
    </row>
    <row r="2534" spans="37:37" ht="15.75" customHeight="1" x14ac:dyDescent="0.15">
      <c r="AK2534" s="2">
        <v>488.10504150390625</v>
      </c>
    </row>
    <row r="2535" spans="37:37" ht="15.75" customHeight="1" x14ac:dyDescent="0.15">
      <c r="AK2535" s="2">
        <v>484.581298828125</v>
      </c>
    </row>
    <row r="2536" spans="37:37" ht="15.75" customHeight="1" x14ac:dyDescent="0.15">
      <c r="AK2536" s="2">
        <v>481.0576171875</v>
      </c>
    </row>
    <row r="2537" spans="37:37" ht="15.75" customHeight="1" x14ac:dyDescent="0.15">
      <c r="AK2537" s="2">
        <v>477.53387451171875</v>
      </c>
    </row>
    <row r="2538" spans="37:37" ht="15.75" customHeight="1" x14ac:dyDescent="0.15">
      <c r="AK2538" s="2">
        <v>474.0101318359375</v>
      </c>
    </row>
    <row r="2539" spans="37:37" ht="15.75" customHeight="1" x14ac:dyDescent="0.15">
      <c r="AK2539" s="2">
        <v>470.486572265625</v>
      </c>
    </row>
    <row r="2540" spans="37:37" ht="15.75" customHeight="1" x14ac:dyDescent="0.15">
      <c r="AK2540" s="2">
        <v>466.96282958984375</v>
      </c>
    </row>
    <row r="2541" spans="37:37" ht="15.75" customHeight="1" x14ac:dyDescent="0.15">
      <c r="AK2541" s="2">
        <v>463.43914794921875</v>
      </c>
    </row>
    <row r="2542" spans="37:37" ht="15.75" customHeight="1" x14ac:dyDescent="0.15">
      <c r="AK2542" s="2">
        <v>459.9154052734375</v>
      </c>
    </row>
    <row r="2543" spans="37:37" ht="15.75" customHeight="1" x14ac:dyDescent="0.15">
      <c r="AK2543" s="2">
        <v>456.39166259765625</v>
      </c>
    </row>
    <row r="2544" spans="37:37" ht="15.75" customHeight="1" x14ac:dyDescent="0.15">
      <c r="AK2544" s="2">
        <v>452.86810302734375</v>
      </c>
    </row>
    <row r="2545" spans="37:37" ht="15.75" customHeight="1" x14ac:dyDescent="0.15">
      <c r="AK2545" s="2">
        <v>449.3443603515625</v>
      </c>
    </row>
    <row r="2546" spans="37:37" ht="15.75" customHeight="1" x14ac:dyDescent="0.15">
      <c r="AK2546" s="2">
        <v>445.82064819335938</v>
      </c>
    </row>
    <row r="2547" spans="37:37" ht="15.75" customHeight="1" x14ac:dyDescent="0.15">
      <c r="AK2547" s="2">
        <v>442.29693603515625</v>
      </c>
    </row>
    <row r="2548" spans="37:37" ht="15.75" customHeight="1" x14ac:dyDescent="0.15">
      <c r="AK2548" s="2">
        <v>438.773193359375</v>
      </c>
    </row>
    <row r="2549" spans="37:37" ht="15.75" customHeight="1" x14ac:dyDescent="0.15">
      <c r="AK2549" s="2">
        <v>435.2496337890625</v>
      </c>
    </row>
    <row r="2550" spans="37:37" ht="15.75" customHeight="1" x14ac:dyDescent="0.15">
      <c r="AK2550" s="2">
        <v>431.72589111328125</v>
      </c>
    </row>
    <row r="2551" spans="37:37" ht="15.75" customHeight="1" x14ac:dyDescent="0.15">
      <c r="AK2551" s="2">
        <v>428.2021484375</v>
      </c>
    </row>
    <row r="2552" spans="37:37" ht="15.75" customHeight="1" x14ac:dyDescent="0.15">
      <c r="AK2552" s="2">
        <v>424.678466796875</v>
      </c>
    </row>
    <row r="2553" spans="37:37" ht="15.75" customHeight="1" x14ac:dyDescent="0.15">
      <c r="AK2553" s="2">
        <v>437.58718872070313</v>
      </c>
    </row>
    <row r="2554" spans="37:37" ht="15.75" customHeight="1" x14ac:dyDescent="0.15">
      <c r="AK2554" s="2">
        <v>437.52304077148438</v>
      </c>
    </row>
    <row r="2555" spans="37:37" ht="15.75" customHeight="1" x14ac:dyDescent="0.15">
      <c r="AK2555" s="2">
        <v>437.45877075195313</v>
      </c>
    </row>
    <row r="2556" spans="37:37" ht="15.75" customHeight="1" x14ac:dyDescent="0.15">
      <c r="AK2556" s="2">
        <v>437.39450073242188</v>
      </c>
    </row>
    <row r="2557" spans="37:37" ht="15.75" customHeight="1" x14ac:dyDescent="0.15">
      <c r="AK2557" s="2">
        <v>437.33029174804688</v>
      </c>
    </row>
    <row r="2558" spans="37:37" ht="15.75" customHeight="1" x14ac:dyDescent="0.15">
      <c r="AK2558" s="2">
        <v>437.26602172851563</v>
      </c>
    </row>
    <row r="2559" spans="37:37" ht="15.75" customHeight="1" x14ac:dyDescent="0.15">
      <c r="AK2559" s="2">
        <v>437.20184326171875</v>
      </c>
    </row>
    <row r="2560" spans="37:37" ht="15.75" customHeight="1" x14ac:dyDescent="0.15">
      <c r="AK2560" s="2">
        <v>437.1375732421875</v>
      </c>
    </row>
    <row r="2561" spans="37:37" ht="15.75" customHeight="1" x14ac:dyDescent="0.15">
      <c r="AK2561" s="2">
        <v>437.07333374023438</v>
      </c>
    </row>
    <row r="2562" spans="37:37" ht="15.75" customHeight="1" x14ac:dyDescent="0.15">
      <c r="AK2562" s="2">
        <v>437.00912475585938</v>
      </c>
    </row>
    <row r="2563" spans="37:37" ht="15.75" customHeight="1" x14ac:dyDescent="0.15">
      <c r="AK2563" s="2">
        <v>436.94485473632813</v>
      </c>
    </row>
    <row r="2564" spans="37:37" ht="15.75" customHeight="1" x14ac:dyDescent="0.15">
      <c r="AK2564" s="2">
        <v>436.88064575195313</v>
      </c>
    </row>
    <row r="2565" spans="37:37" ht="15.75" customHeight="1" x14ac:dyDescent="0.15">
      <c r="AK2565" s="2">
        <v>436.81637573242188</v>
      </c>
    </row>
    <row r="2566" spans="37:37" ht="15.75" customHeight="1" x14ac:dyDescent="0.15">
      <c r="AK2566" s="2">
        <v>436.75216674804688</v>
      </c>
    </row>
    <row r="2567" spans="37:37" ht="15.75" customHeight="1" x14ac:dyDescent="0.15">
      <c r="AK2567" s="2">
        <v>436.68792724609375</v>
      </c>
    </row>
    <row r="2568" spans="37:37" ht="15.75" customHeight="1" x14ac:dyDescent="0.15">
      <c r="AK2568" s="2">
        <v>436.62368774414063</v>
      </c>
    </row>
    <row r="2569" spans="37:37" ht="15.75" customHeight="1" x14ac:dyDescent="0.15">
      <c r="AK2569" s="2">
        <v>436.55947875976563</v>
      </c>
    </row>
    <row r="2570" spans="37:37" ht="15.75" customHeight="1" x14ac:dyDescent="0.15">
      <c r="AK2570" s="2">
        <v>436.49520874023438</v>
      </c>
    </row>
    <row r="2571" spans="37:37" ht="15.75" customHeight="1" x14ac:dyDescent="0.15">
      <c r="AK2571" s="2">
        <v>436.43099975585938</v>
      </c>
    </row>
    <row r="2572" spans="37:37" ht="15.75" customHeight="1" x14ac:dyDescent="0.15">
      <c r="AK2572" s="2">
        <v>436.36676025390625</v>
      </c>
    </row>
    <row r="2573" spans="37:37" ht="15.75" customHeight="1" x14ac:dyDescent="0.15">
      <c r="AK2573" s="2">
        <v>436.302490234375</v>
      </c>
    </row>
    <row r="2574" spans="37:37" ht="15.75" customHeight="1" x14ac:dyDescent="0.15">
      <c r="AK2574" s="2">
        <v>436.23834228515625</v>
      </c>
    </row>
    <row r="2575" spans="37:37" ht="15.75" customHeight="1" x14ac:dyDescent="0.15">
      <c r="AK2575" s="2">
        <v>436.174072265625</v>
      </c>
    </row>
    <row r="2576" spans="37:37" ht="15.75" customHeight="1" x14ac:dyDescent="0.15">
      <c r="AK2576" s="2">
        <v>436.10986328125</v>
      </c>
    </row>
    <row r="2577" spans="37:37" ht="15.75" customHeight="1" x14ac:dyDescent="0.15">
      <c r="AK2577" s="2">
        <v>436.04559326171875</v>
      </c>
    </row>
    <row r="2578" spans="37:37" ht="15.75" customHeight="1" x14ac:dyDescent="0.15">
      <c r="AK2578" s="2">
        <v>452.41375732421875</v>
      </c>
    </row>
    <row r="2579" spans="37:37" ht="15.75" customHeight="1" x14ac:dyDescent="0.15">
      <c r="AK2579" s="2">
        <v>455.80902099609375</v>
      </c>
    </row>
    <row r="2580" spans="37:37" ht="15.75" customHeight="1" x14ac:dyDescent="0.15">
      <c r="AK2580" s="2">
        <v>459.2042236328125</v>
      </c>
    </row>
    <row r="2581" spans="37:37" ht="15.75" customHeight="1" x14ac:dyDescent="0.15">
      <c r="AK2581" s="2">
        <v>462.59945678710938</v>
      </c>
    </row>
    <row r="2582" spans="37:37" ht="15.75" customHeight="1" x14ac:dyDescent="0.15">
      <c r="AK2582" s="2">
        <v>465.99468994140625</v>
      </c>
    </row>
    <row r="2583" spans="37:37" ht="15.75" customHeight="1" x14ac:dyDescent="0.15">
      <c r="AK2583" s="2">
        <v>469.389892578125</v>
      </c>
    </row>
    <row r="2584" spans="37:37" ht="15.75" customHeight="1" x14ac:dyDescent="0.15">
      <c r="AK2584" s="2">
        <v>472.78515625</v>
      </c>
    </row>
    <row r="2585" spans="37:37" ht="15.75" customHeight="1" x14ac:dyDescent="0.15">
      <c r="AK2585" s="2">
        <v>476.18035888671875</v>
      </c>
    </row>
    <row r="2586" spans="37:37" ht="15.75" customHeight="1" x14ac:dyDescent="0.15">
      <c r="AK2586" s="2">
        <v>479.57562255859375</v>
      </c>
    </row>
    <row r="2587" spans="37:37" ht="15.75" customHeight="1" x14ac:dyDescent="0.15">
      <c r="AK2587" s="2">
        <v>482.9708251953125</v>
      </c>
    </row>
    <row r="2588" spans="37:37" ht="15.75" customHeight="1" x14ac:dyDescent="0.15">
      <c r="AK2588" s="2">
        <v>486.36605834960938</v>
      </c>
    </row>
    <row r="2589" spans="37:37" ht="15.75" customHeight="1" x14ac:dyDescent="0.15">
      <c r="AK2589" s="2">
        <v>489.76123046875</v>
      </c>
    </row>
    <row r="2590" spans="37:37" ht="15.75" customHeight="1" x14ac:dyDescent="0.15">
      <c r="AK2590" s="2">
        <v>493.156494140625</v>
      </c>
    </row>
    <row r="2591" spans="37:37" ht="15.75" customHeight="1" x14ac:dyDescent="0.15">
      <c r="AK2591" s="2">
        <v>496.55169677734375</v>
      </c>
    </row>
    <row r="2592" spans="37:37" ht="15.75" customHeight="1" x14ac:dyDescent="0.15">
      <c r="AK2592" s="2">
        <v>499.94696044921875</v>
      </c>
    </row>
    <row r="2593" spans="37:37" ht="15.75" customHeight="1" x14ac:dyDescent="0.15">
      <c r="AK2593" s="2">
        <v>503.34219360351563</v>
      </c>
    </row>
    <row r="2594" spans="37:37" ht="15.75" customHeight="1" x14ac:dyDescent="0.15">
      <c r="AK2594" s="2">
        <v>506.73736572265625</v>
      </c>
    </row>
    <row r="2595" spans="37:37" ht="15.75" customHeight="1" x14ac:dyDescent="0.15">
      <c r="AK2595" s="2">
        <v>510.13262939453125</v>
      </c>
    </row>
    <row r="2596" spans="37:37" ht="15.75" customHeight="1" x14ac:dyDescent="0.15">
      <c r="AK2596" s="2">
        <v>513.52783203125</v>
      </c>
    </row>
    <row r="2597" spans="37:37" ht="15.75" customHeight="1" x14ac:dyDescent="0.15">
      <c r="AK2597" s="2">
        <v>516.923095703125</v>
      </c>
    </row>
    <row r="2598" spans="37:37" ht="15.75" customHeight="1" x14ac:dyDescent="0.15">
      <c r="AK2598" s="2">
        <v>520.31829833984375</v>
      </c>
    </row>
    <row r="2599" spans="37:37" ht="15.75" customHeight="1" x14ac:dyDescent="0.15">
      <c r="AK2599" s="2">
        <v>523.7135009765625</v>
      </c>
    </row>
    <row r="2600" spans="37:37" ht="15.75" customHeight="1" x14ac:dyDescent="0.15">
      <c r="AK2600" s="2">
        <v>527.1087646484375</v>
      </c>
    </row>
    <row r="2601" spans="37:37" ht="15.75" customHeight="1" x14ac:dyDescent="0.15">
      <c r="AK2601" s="2">
        <v>530.50396728515625</v>
      </c>
    </row>
    <row r="2602" spans="37:37" ht="15.75" customHeight="1" x14ac:dyDescent="0.15">
      <c r="AK2602" s="2">
        <v>533.89923095703125</v>
      </c>
    </row>
    <row r="2603" spans="37:37" ht="15.75" customHeight="1" x14ac:dyDescent="0.15">
      <c r="AK2603" s="2">
        <v>537.29443359375</v>
      </c>
    </row>
    <row r="2604" spans="37:37" ht="15.75" customHeight="1" x14ac:dyDescent="0.15">
      <c r="AK2604" s="2">
        <v>540.68963623046875</v>
      </c>
    </row>
    <row r="2605" spans="37:37" ht="15.75" customHeight="1" x14ac:dyDescent="0.15">
      <c r="AK2605" s="2">
        <v>544.0848388671875</v>
      </c>
    </row>
    <row r="2606" spans="37:37" ht="15.75" customHeight="1" x14ac:dyDescent="0.15">
      <c r="AK2606" s="2">
        <v>547.4801025390625</v>
      </c>
    </row>
    <row r="2607" spans="37:37" ht="15.75" customHeight="1" x14ac:dyDescent="0.15">
      <c r="AK2607" s="2">
        <v>550.8753662109375</v>
      </c>
    </row>
    <row r="2608" spans="37:37" ht="15.75" customHeight="1" x14ac:dyDescent="0.15">
      <c r="AK2608" s="2">
        <v>554.27056884765625</v>
      </c>
    </row>
    <row r="2609" spans="37:37" ht="15.75" customHeight="1" x14ac:dyDescent="0.15">
      <c r="AK2609" s="2">
        <v>557.665771484375</v>
      </c>
    </row>
    <row r="2610" spans="37:37" ht="15.75" customHeight="1" x14ac:dyDescent="0.15">
      <c r="AK2610" s="2">
        <v>561.06097412109375</v>
      </c>
    </row>
    <row r="2611" spans="37:37" ht="15.75" customHeight="1" x14ac:dyDescent="0.15">
      <c r="AK2611" s="2">
        <v>564.45623779296875</v>
      </c>
    </row>
    <row r="2612" spans="37:37" ht="15.75" customHeight="1" x14ac:dyDescent="0.15">
      <c r="AK2612" s="2">
        <v>567.8514404296875</v>
      </c>
    </row>
    <row r="2613" spans="37:37" ht="15.75" customHeight="1" x14ac:dyDescent="0.15">
      <c r="AK2613" s="2">
        <v>571.2467041015625</v>
      </c>
    </row>
    <row r="2614" spans="37:37" ht="15.75" customHeight="1" x14ac:dyDescent="0.15">
      <c r="AK2614" s="2">
        <v>574.641845703125</v>
      </c>
    </row>
    <row r="2615" spans="37:37" ht="15.75" customHeight="1" x14ac:dyDescent="0.15">
      <c r="AK2615" s="2">
        <v>578.037109375</v>
      </c>
    </row>
    <row r="2616" spans="37:37" ht="15.75" customHeight="1" x14ac:dyDescent="0.15">
      <c r="AK2616" s="2">
        <v>581.432373046875</v>
      </c>
    </row>
    <row r="2617" spans="37:37" ht="15.75" customHeight="1" x14ac:dyDescent="0.15">
      <c r="AK2617" s="2">
        <v>584.82757568359375</v>
      </c>
    </row>
    <row r="2618" spans="37:37" ht="15.75" customHeight="1" x14ac:dyDescent="0.15">
      <c r="AK2618" s="2">
        <v>588.22283935546875</v>
      </c>
    </row>
    <row r="2619" spans="37:37" ht="15.75" customHeight="1" x14ac:dyDescent="0.15">
      <c r="AK2619" s="2">
        <v>591.61798095703125</v>
      </c>
    </row>
    <row r="2620" spans="37:37" ht="15.75" customHeight="1" x14ac:dyDescent="0.15">
      <c r="AK2620" s="2">
        <v>595.01324462890625</v>
      </c>
    </row>
    <row r="2621" spans="37:37" ht="15.75" customHeight="1" x14ac:dyDescent="0.15">
      <c r="AK2621" s="2">
        <v>598.408447265625</v>
      </c>
    </row>
    <row r="2622" spans="37:37" ht="15.75" customHeight="1" x14ac:dyDescent="0.15">
      <c r="AK2622" s="2">
        <v>601.8037109375</v>
      </c>
    </row>
    <row r="2623" spans="37:37" ht="15.75" customHeight="1" x14ac:dyDescent="0.15">
      <c r="AK2623" s="2">
        <v>605.198974609375</v>
      </c>
    </row>
    <row r="2624" spans="37:37" ht="15.75" customHeight="1" x14ac:dyDescent="0.15">
      <c r="AK2624" s="2">
        <v>608.5941162109375</v>
      </c>
    </row>
    <row r="2625" spans="37:37" ht="15.75" customHeight="1" x14ac:dyDescent="0.15">
      <c r="AK2625" s="2">
        <v>611.9893798828125</v>
      </c>
    </row>
    <row r="2626" spans="37:37" ht="15.75" customHeight="1" x14ac:dyDescent="0.15">
      <c r="AK2626" s="2">
        <v>615.38458251953125</v>
      </c>
    </row>
    <row r="2627" spans="37:37" ht="15.75" customHeight="1" x14ac:dyDescent="0.15">
      <c r="AK2627" s="2">
        <v>621.1427001953125</v>
      </c>
    </row>
    <row r="2628" spans="37:37" ht="15.75" customHeight="1" x14ac:dyDescent="0.15">
      <c r="AK2628" s="2">
        <v>619.380859375</v>
      </c>
    </row>
    <row r="2629" spans="37:37" ht="15.75" customHeight="1" x14ac:dyDescent="0.15">
      <c r="AK2629" s="2">
        <v>617.61907958984375</v>
      </c>
    </row>
    <row r="2630" spans="37:37" ht="15.75" customHeight="1" x14ac:dyDescent="0.15">
      <c r="AK2630" s="2">
        <v>615.857177734375</v>
      </c>
    </row>
    <row r="2631" spans="37:37" ht="15.75" customHeight="1" x14ac:dyDescent="0.15">
      <c r="AK2631" s="2">
        <v>614.0953369140625</v>
      </c>
    </row>
    <row r="2632" spans="37:37" ht="15.75" customHeight="1" x14ac:dyDescent="0.15">
      <c r="AK2632" s="2">
        <v>612.33349609375</v>
      </c>
    </row>
    <row r="2633" spans="37:37" ht="15.75" customHeight="1" x14ac:dyDescent="0.15">
      <c r="AK2633" s="2">
        <v>610.5716552734375</v>
      </c>
    </row>
    <row r="2634" spans="37:37" ht="15.75" customHeight="1" x14ac:dyDescent="0.15">
      <c r="AK2634" s="2">
        <v>608.809814453125</v>
      </c>
    </row>
    <row r="2635" spans="37:37" ht="15.75" customHeight="1" x14ac:dyDescent="0.15">
      <c r="AK2635" s="2">
        <v>607.0479736328125</v>
      </c>
    </row>
    <row r="2636" spans="37:37" ht="15.75" customHeight="1" x14ac:dyDescent="0.15">
      <c r="AK2636" s="2">
        <v>605.2861328125</v>
      </c>
    </row>
    <row r="2637" spans="37:37" ht="15.75" customHeight="1" x14ac:dyDescent="0.15">
      <c r="AK2637" s="2">
        <v>603.5242919921875</v>
      </c>
    </row>
    <row r="2638" spans="37:37" ht="15.75" customHeight="1" x14ac:dyDescent="0.15">
      <c r="AK2638" s="2">
        <v>601.762451171875</v>
      </c>
    </row>
    <row r="2639" spans="37:37" ht="15.75" customHeight="1" x14ac:dyDescent="0.15">
      <c r="AK2639" s="2">
        <v>600.0006103515625</v>
      </c>
    </row>
    <row r="2640" spans="37:37" ht="15.75" customHeight="1" x14ac:dyDescent="0.15">
      <c r="AK2640" s="2">
        <v>598.23876953125</v>
      </c>
    </row>
    <row r="2641" spans="37:37" ht="15.75" customHeight="1" x14ac:dyDescent="0.15">
      <c r="AK2641" s="2">
        <v>596.4769287109375</v>
      </c>
    </row>
    <row r="2642" spans="37:37" ht="15.75" customHeight="1" x14ac:dyDescent="0.15">
      <c r="AK2642" s="2">
        <v>594.71502685546875</v>
      </c>
    </row>
    <row r="2643" spans="37:37" ht="15.75" customHeight="1" x14ac:dyDescent="0.15">
      <c r="AK2643" s="2">
        <v>592.95318603515625</v>
      </c>
    </row>
    <row r="2644" spans="37:37" ht="15.75" customHeight="1" x14ac:dyDescent="0.15">
      <c r="AK2644" s="2">
        <v>591.19134521484375</v>
      </c>
    </row>
    <row r="2645" spans="37:37" ht="15.75" customHeight="1" x14ac:dyDescent="0.15">
      <c r="AK2645" s="2">
        <v>589.42950439453125</v>
      </c>
    </row>
    <row r="2646" spans="37:37" ht="15.75" customHeight="1" x14ac:dyDescent="0.15">
      <c r="AK2646" s="2">
        <v>587.66766357421875</v>
      </c>
    </row>
    <row r="2647" spans="37:37" ht="15.75" customHeight="1" x14ac:dyDescent="0.15">
      <c r="AK2647" s="2">
        <v>585.90576171875</v>
      </c>
    </row>
    <row r="2648" spans="37:37" ht="15.75" customHeight="1" x14ac:dyDescent="0.15">
      <c r="AK2648" s="2">
        <v>584.1439208984375</v>
      </c>
    </row>
    <row r="2649" spans="37:37" ht="15.75" customHeight="1" x14ac:dyDescent="0.15">
      <c r="AK2649" s="2">
        <v>582.382080078125</v>
      </c>
    </row>
    <row r="2650" spans="37:37" ht="15.75" customHeight="1" x14ac:dyDescent="0.15">
      <c r="AK2650" s="2">
        <v>580.6202392578125</v>
      </c>
    </row>
    <row r="2651" spans="37:37" ht="15.75" customHeight="1" x14ac:dyDescent="0.15">
      <c r="AK2651" s="2">
        <v>578.8583984375</v>
      </c>
    </row>
    <row r="2652" spans="37:37" ht="15.75" customHeight="1" x14ac:dyDescent="0.15">
      <c r="AK2652" s="2">
        <v>579.45947265625</v>
      </c>
    </row>
    <row r="2653" spans="37:37" ht="15.75" customHeight="1" x14ac:dyDescent="0.15">
      <c r="AK2653" s="2">
        <v>572.54052734375</v>
      </c>
    </row>
    <row r="2654" spans="37:37" ht="15.75" customHeight="1" x14ac:dyDescent="0.15">
      <c r="AK2654" s="2">
        <v>565.6217041015625</v>
      </c>
    </row>
    <row r="2655" spans="37:37" ht="15.75" customHeight="1" x14ac:dyDescent="0.15">
      <c r="AK2655" s="2">
        <v>558.7027587890625</v>
      </c>
    </row>
    <row r="2656" spans="37:37" ht="15.75" customHeight="1" x14ac:dyDescent="0.15">
      <c r="AK2656" s="2">
        <v>551.7838134765625</v>
      </c>
    </row>
    <row r="2657" spans="37:37" ht="15.75" customHeight="1" x14ac:dyDescent="0.15">
      <c r="AK2657" s="2">
        <v>544.8648681640625</v>
      </c>
    </row>
    <row r="2658" spans="37:37" ht="15.75" customHeight="1" x14ac:dyDescent="0.15">
      <c r="AK2658" s="2">
        <v>537.9459228515625</v>
      </c>
    </row>
    <row r="2659" spans="37:37" ht="15.75" customHeight="1" x14ac:dyDescent="0.15">
      <c r="AK2659" s="2">
        <v>531.027099609375</v>
      </c>
    </row>
    <row r="2660" spans="37:37" ht="15.75" customHeight="1" x14ac:dyDescent="0.15">
      <c r="AK2660" s="2">
        <v>524.108154296875</v>
      </c>
    </row>
    <row r="2661" spans="37:37" ht="15.75" customHeight="1" x14ac:dyDescent="0.15">
      <c r="AK2661" s="2">
        <v>517.189208984375</v>
      </c>
    </row>
    <row r="2662" spans="37:37" ht="15.75" customHeight="1" x14ac:dyDescent="0.15">
      <c r="AK2662" s="2">
        <v>510.270263671875</v>
      </c>
    </row>
    <row r="2663" spans="37:37" ht="15.75" customHeight="1" x14ac:dyDescent="0.15">
      <c r="AK2663" s="2">
        <v>503.351318359375</v>
      </c>
    </row>
    <row r="2664" spans="37:37" ht="15.75" customHeight="1" x14ac:dyDescent="0.15">
      <c r="AK2664" s="2">
        <v>496.4324951171875</v>
      </c>
    </row>
    <row r="2665" spans="37:37" ht="15.75" customHeight="1" x14ac:dyDescent="0.15">
      <c r="AK2665" s="2">
        <v>489.5135498046875</v>
      </c>
    </row>
    <row r="2666" spans="37:37" ht="15.75" customHeight="1" x14ac:dyDescent="0.15">
      <c r="AK2666" s="2">
        <v>482.5946044921875</v>
      </c>
    </row>
    <row r="2667" spans="37:37" ht="15.75" customHeight="1" x14ac:dyDescent="0.15">
      <c r="AK2667" s="2">
        <v>475.6756591796875</v>
      </c>
    </row>
    <row r="2668" spans="37:37" ht="15.75" customHeight="1" x14ac:dyDescent="0.15">
      <c r="AK2668" s="2">
        <v>468.7567138671875</v>
      </c>
    </row>
    <row r="2669" spans="37:37" ht="15.75" customHeight="1" x14ac:dyDescent="0.15">
      <c r="AK2669" s="2">
        <v>461.83792114257813</v>
      </c>
    </row>
    <row r="2670" spans="37:37" ht="15.75" customHeight="1" x14ac:dyDescent="0.15">
      <c r="AK2670" s="2">
        <v>454.91897583007813</v>
      </c>
    </row>
    <row r="2671" spans="37:37" ht="15.75" customHeight="1" x14ac:dyDescent="0.15">
      <c r="AK2671" s="2">
        <v>448.00003051757813</v>
      </c>
    </row>
    <row r="2672" spans="37:37" ht="15.75" customHeight="1" x14ac:dyDescent="0.15">
      <c r="AK2672" s="2">
        <v>441.08108520507813</v>
      </c>
    </row>
    <row r="2673" spans="37:37" ht="15.75" customHeight="1" x14ac:dyDescent="0.15">
      <c r="AK2673" s="2">
        <v>434.16213989257813</v>
      </c>
    </row>
    <row r="2674" spans="37:37" ht="15.75" customHeight="1" x14ac:dyDescent="0.15">
      <c r="AK2674" s="2">
        <v>427.24331665039063</v>
      </c>
    </row>
    <row r="2675" spans="37:37" ht="15.75" customHeight="1" x14ac:dyDescent="0.15">
      <c r="AK2675" s="2">
        <v>420.32437133789063</v>
      </c>
    </row>
    <row r="2676" spans="37:37" ht="15.75" customHeight="1" x14ac:dyDescent="0.15">
      <c r="AK2676" s="2">
        <v>413.40542602539063</v>
      </c>
    </row>
    <row r="2677" spans="37:37" ht="15.75" customHeight="1" x14ac:dyDescent="0.15">
      <c r="AK2677" s="2">
        <v>406.48648071289063</v>
      </c>
    </row>
    <row r="2678" spans="37:37" ht="15.75" customHeight="1" x14ac:dyDescent="0.15">
      <c r="AK2678" s="2">
        <v>399.56753540039063</v>
      </c>
    </row>
    <row r="2679" spans="37:37" ht="15.75" customHeight="1" x14ac:dyDescent="0.15">
      <c r="AK2679" s="2">
        <v>392.64874267578125</v>
      </c>
    </row>
    <row r="2680" spans="37:37" ht="15.75" customHeight="1" x14ac:dyDescent="0.15">
      <c r="AK2680" s="2">
        <v>385.72979736328125</v>
      </c>
    </row>
    <row r="2681" spans="37:37" ht="15.75" customHeight="1" x14ac:dyDescent="0.15">
      <c r="AK2681" s="2">
        <v>378.81085205078125</v>
      </c>
    </row>
    <row r="2682" spans="37:37" ht="15.75" customHeight="1" x14ac:dyDescent="0.15">
      <c r="AK2682" s="2">
        <v>371.89190673828125</v>
      </c>
    </row>
    <row r="2683" spans="37:37" ht="15.75" customHeight="1" x14ac:dyDescent="0.15">
      <c r="AK2683" s="2">
        <v>364.97296142578125</v>
      </c>
    </row>
    <row r="2684" spans="37:37" ht="15.75" customHeight="1" x14ac:dyDescent="0.15">
      <c r="AK2684" s="2">
        <v>358.05413818359375</v>
      </c>
    </row>
    <row r="2685" spans="37:37" ht="15.75" customHeight="1" x14ac:dyDescent="0.15">
      <c r="AK2685" s="2">
        <v>351.13519287109375</v>
      </c>
    </row>
    <row r="2686" spans="37:37" ht="15.75" customHeight="1" x14ac:dyDescent="0.15">
      <c r="AK2686" s="2">
        <v>344.21624755859375</v>
      </c>
    </row>
    <row r="2687" spans="37:37" ht="15.75" customHeight="1" x14ac:dyDescent="0.15">
      <c r="AK2687" s="2">
        <v>337.29730224609375</v>
      </c>
    </row>
    <row r="2688" spans="37:37" ht="15.75" customHeight="1" x14ac:dyDescent="0.15">
      <c r="AK2688" s="2">
        <v>330.37835693359375</v>
      </c>
    </row>
    <row r="2689" spans="37:37" ht="15.75" customHeight="1" x14ac:dyDescent="0.15">
      <c r="AK2689" s="2">
        <v>323.45953369140625</v>
      </c>
    </row>
    <row r="2690" spans="37:37" ht="15.75" customHeight="1" x14ac:dyDescent="0.15">
      <c r="AK2690" s="2">
        <v>316.54058837890625</v>
      </c>
    </row>
    <row r="2691" spans="37:37" ht="15.75" customHeight="1" x14ac:dyDescent="0.15">
      <c r="AK2691" s="2">
        <v>309.62164306640625</v>
      </c>
    </row>
    <row r="2692" spans="37:37" ht="15.75" customHeight="1" x14ac:dyDescent="0.15">
      <c r="AK2692" s="2">
        <v>302.70269775390625</v>
      </c>
    </row>
    <row r="2693" spans="37:37" ht="15.75" customHeight="1" x14ac:dyDescent="0.15">
      <c r="AK2693" s="2">
        <v>295.78375244140625</v>
      </c>
    </row>
    <row r="2694" spans="37:37" ht="15.75" customHeight="1" x14ac:dyDescent="0.15">
      <c r="AK2694" s="2">
        <v>288.86495971679688</v>
      </c>
    </row>
    <row r="2695" spans="37:37" ht="15.75" customHeight="1" x14ac:dyDescent="0.15">
      <c r="AK2695" s="2">
        <v>281.94601440429688</v>
      </c>
    </row>
    <row r="2696" spans="37:37" ht="15.75" customHeight="1" x14ac:dyDescent="0.15">
      <c r="AK2696" s="2">
        <v>275.02706909179688</v>
      </c>
    </row>
    <row r="2697" spans="37:37" ht="15.75" customHeight="1" x14ac:dyDescent="0.15">
      <c r="AK2697" s="2">
        <v>268.10812377929688</v>
      </c>
    </row>
    <row r="2698" spans="37:37" ht="15.75" customHeight="1" x14ac:dyDescent="0.15">
      <c r="AK2698" s="2">
        <v>261.18917846679688</v>
      </c>
    </row>
    <row r="2699" spans="37:37" ht="15.75" customHeight="1" x14ac:dyDescent="0.15">
      <c r="AK2699" s="2">
        <v>254.27035522460938</v>
      </c>
    </row>
    <row r="2700" spans="37:37" ht="15.75" customHeight="1" x14ac:dyDescent="0.15">
      <c r="AK2700" s="2">
        <v>247.35140991210938</v>
      </c>
    </row>
    <row r="2701" spans="37:37" ht="15.75" customHeight="1" x14ac:dyDescent="0.15">
      <c r="AK2701" s="2">
        <v>240.43246459960938</v>
      </c>
    </row>
    <row r="2702" spans="37:37" ht="15.75" customHeight="1" x14ac:dyDescent="0.15">
      <c r="AK2702" s="2">
        <v>233.51351928710938</v>
      </c>
    </row>
    <row r="2703" spans="37:37" ht="15.75" customHeight="1" x14ac:dyDescent="0.15">
      <c r="AK2703" s="2">
        <v>226.59457397460938</v>
      </c>
    </row>
    <row r="2704" spans="37:37" ht="15.75" customHeight="1" x14ac:dyDescent="0.15">
      <c r="AK2704" s="2">
        <v>219.67575073242188</v>
      </c>
    </row>
    <row r="2705" spans="37:37" ht="15.75" customHeight="1" x14ac:dyDescent="0.15">
      <c r="AK2705" s="2">
        <v>212.75680541992188</v>
      </c>
    </row>
    <row r="2706" spans="37:37" ht="15.75" customHeight="1" x14ac:dyDescent="0.15">
      <c r="AK2706" s="2">
        <v>205.83786010742188</v>
      </c>
    </row>
    <row r="2707" spans="37:37" ht="15.75" customHeight="1" x14ac:dyDescent="0.15">
      <c r="AK2707" s="2">
        <v>198.91891479492188</v>
      </c>
    </row>
    <row r="2708" spans="37:37" ht="15.75" customHeight="1" x14ac:dyDescent="0.15">
      <c r="AK2708" s="2">
        <v>191.99996948242188</v>
      </c>
    </row>
    <row r="2709" spans="37:37" ht="15.75" customHeight="1" x14ac:dyDescent="0.15">
      <c r="AK2709" s="2">
        <v>185.08116149902344</v>
      </c>
    </row>
    <row r="2710" spans="37:37" ht="15.75" customHeight="1" x14ac:dyDescent="0.15">
      <c r="AK2710" s="2">
        <v>178.16221618652344</v>
      </c>
    </row>
    <row r="2711" spans="37:37" ht="15.75" customHeight="1" x14ac:dyDescent="0.15">
      <c r="AK2711" s="2">
        <v>171.24327087402344</v>
      </c>
    </row>
    <row r="2712" spans="37:37" ht="15.75" customHeight="1" x14ac:dyDescent="0.15">
      <c r="AK2712" s="2">
        <v>164.32432556152344</v>
      </c>
    </row>
    <row r="2713" spans="37:37" ht="15.75" customHeight="1" x14ac:dyDescent="0.15">
      <c r="AK2713" s="2">
        <v>157.40538024902344</v>
      </c>
    </row>
    <row r="2714" spans="37:37" ht="15.75" customHeight="1" x14ac:dyDescent="0.15">
      <c r="AK2714" s="2">
        <v>150.486572265625</v>
      </c>
    </row>
    <row r="2715" spans="37:37" ht="15.75" customHeight="1" x14ac:dyDescent="0.15">
      <c r="AK2715" s="2">
        <v>143.567626953125</v>
      </c>
    </row>
    <row r="2716" spans="37:37" ht="15.75" customHeight="1" x14ac:dyDescent="0.15">
      <c r="AK2716" s="2">
        <v>136.648681640625</v>
      </c>
    </row>
    <row r="2717" spans="37:37" ht="15.75" customHeight="1" x14ac:dyDescent="0.15">
      <c r="AK2717" s="2">
        <v>129.729736328125</v>
      </c>
    </row>
    <row r="2718" spans="37:37" ht="15.75" customHeight="1" x14ac:dyDescent="0.15">
      <c r="AK2718" s="2">
        <v>122.81078338623047</v>
      </c>
    </row>
    <row r="2719" spans="37:37" ht="15.75" customHeight="1" x14ac:dyDescent="0.15">
      <c r="AK2719" s="2">
        <v>115.89197540283203</v>
      </c>
    </row>
    <row r="2720" spans="37:37" ht="15.75" customHeight="1" x14ac:dyDescent="0.15">
      <c r="AK2720" s="2">
        <v>108.97303009033203</v>
      </c>
    </row>
    <row r="2721" spans="37:37" ht="15.75" customHeight="1" x14ac:dyDescent="0.15">
      <c r="AK2721" s="2">
        <v>102.05408477783203</v>
      </c>
    </row>
    <row r="2722" spans="37:37" ht="15.75" customHeight="1" x14ac:dyDescent="0.15">
      <c r="AK2722" s="2">
        <v>95.135139465332031</v>
      </c>
    </row>
    <row r="2723" spans="37:37" ht="15.75" customHeight="1" x14ac:dyDescent="0.15">
      <c r="AK2723" s="2">
        <v>88.216194152832031</v>
      </c>
    </row>
    <row r="2724" spans="37:37" ht="15.75" customHeight="1" x14ac:dyDescent="0.15">
      <c r="AK2724" s="2">
        <v>81.297378540039063</v>
      </c>
    </row>
    <row r="2725" spans="37:37" ht="15.75" customHeight="1" x14ac:dyDescent="0.15">
      <c r="AK2725" s="2">
        <v>74.378433227539063</v>
      </c>
    </row>
    <row r="2726" spans="37:37" ht="15.75" customHeight="1" x14ac:dyDescent="0.15">
      <c r="AK2726" s="2">
        <v>67.459487915039063</v>
      </c>
    </row>
    <row r="2727" spans="37:37" ht="15.75" customHeight="1" x14ac:dyDescent="0.15">
      <c r="AK2727" s="2">
        <v>60.540538787841797</v>
      </c>
    </row>
    <row r="2728" spans="37:37" ht="15.75" customHeight="1" x14ac:dyDescent="0.15">
      <c r="AK2728" s="2">
        <v>70.054039001464844</v>
      </c>
    </row>
    <row r="2729" spans="37:37" ht="15.75" customHeight="1" x14ac:dyDescent="0.15">
      <c r="AK2729" s="2">
        <v>66.594635009765625</v>
      </c>
    </row>
    <row r="2730" spans="37:37" ht="15.75" customHeight="1" x14ac:dyDescent="0.15">
      <c r="AK2730" s="2">
        <v>63.135162353515625</v>
      </c>
    </row>
    <row r="2731" spans="37:37" ht="15.75" customHeight="1" x14ac:dyDescent="0.15">
      <c r="AK2731" s="2">
        <v>59.675689697265625</v>
      </c>
    </row>
    <row r="2732" spans="37:37" ht="15.75" customHeight="1" x14ac:dyDescent="0.15">
      <c r="AK2732" s="2">
        <v>56.216217041015625</v>
      </c>
    </row>
    <row r="2733" spans="37:37" ht="15.75" customHeight="1" x14ac:dyDescent="0.15">
      <c r="AK2733" s="2">
        <v>52.756744384765625</v>
      </c>
    </row>
    <row r="2734" spans="37:37" ht="15.75" customHeight="1" x14ac:dyDescent="0.15">
      <c r="AK2734" s="2">
        <v>49.297336578369141</v>
      </c>
    </row>
    <row r="2735" spans="37:37" ht="15.75" customHeight="1" x14ac:dyDescent="0.15">
      <c r="AK2735" s="2">
        <v>45.837863922119141</v>
      </c>
    </row>
    <row r="2736" spans="37:37" ht="15.75" customHeight="1" x14ac:dyDescent="0.15">
      <c r="AK2736" s="2">
        <v>42.378391265869141</v>
      </c>
    </row>
    <row r="2737" spans="37:37" ht="15.75" customHeight="1" x14ac:dyDescent="0.15">
      <c r="AK2737" s="2">
        <v>38.918918609619141</v>
      </c>
    </row>
    <row r="2738" spans="37:37" ht="15.75" customHeight="1" x14ac:dyDescent="0.15">
      <c r="AK2738" s="2">
        <v>35.459445953369141</v>
      </c>
    </row>
    <row r="2739" spans="37:37" ht="15.75" customHeight="1" x14ac:dyDescent="0.15">
      <c r="AK2739" s="2">
        <v>32.000038146972656</v>
      </c>
    </row>
    <row r="2740" spans="37:37" ht="15.75" customHeight="1" x14ac:dyDescent="0.15">
      <c r="AK2740" s="2">
        <v>28.540567398071289</v>
      </c>
    </row>
    <row r="2741" spans="37:37" ht="15.75" customHeight="1" x14ac:dyDescent="0.15">
      <c r="AK2741" s="2">
        <v>25.081094741821289</v>
      </c>
    </row>
    <row r="2742" spans="37:37" ht="15.75" customHeight="1" x14ac:dyDescent="0.15">
      <c r="AK2742" s="2">
        <v>21.621622085571289</v>
      </c>
    </row>
    <row r="2743" spans="37:37" ht="15.75" customHeight="1" x14ac:dyDescent="0.15">
      <c r="AK2743" s="2">
        <v>18.162149429321289</v>
      </c>
    </row>
    <row r="2744" spans="37:37" ht="15.75" customHeight="1" x14ac:dyDescent="0.15">
      <c r="AK2744" s="2">
        <v>14.702742576599121</v>
      </c>
    </row>
    <row r="2745" spans="37:37" ht="15.75" customHeight="1" x14ac:dyDescent="0.15">
      <c r="AK2745" s="2">
        <v>11.243269920349121</v>
      </c>
    </row>
    <row r="2746" spans="37:37" ht="15.75" customHeight="1" x14ac:dyDescent="0.15">
      <c r="AK2746" s="2">
        <v>7.7837967872619629</v>
      </c>
    </row>
    <row r="2747" spans="37:37" ht="15.75" customHeight="1" x14ac:dyDescent="0.15">
      <c r="AK2747" s="2">
        <v>4.3243241310119629</v>
      </c>
    </row>
    <row r="2748" spans="37:37" ht="15.75" customHeight="1" x14ac:dyDescent="0.15">
      <c r="AK2748" s="2">
        <v>0.86485165357589722</v>
      </c>
    </row>
    <row r="2749" spans="37:37" ht="15.75" customHeight="1" x14ac:dyDescent="0.15">
      <c r="AK2749" s="2">
        <v>-2.5945549011230469</v>
      </c>
    </row>
    <row r="2750" spans="37:37" ht="15.75" customHeight="1" x14ac:dyDescent="0.15">
      <c r="AK2750" s="2">
        <v>-6.0540275573730469</v>
      </c>
    </row>
    <row r="2751" spans="37:37" ht="15.75" customHeight="1" x14ac:dyDescent="0.15">
      <c r="AK2751" s="2">
        <v>-9.5135002136230469</v>
      </c>
    </row>
    <row r="2752" spans="37:37" ht="15.75" customHeight="1" x14ac:dyDescent="0.15">
      <c r="AK2752" s="2">
        <v>-12.972972869873047</v>
      </c>
    </row>
  </sheetData>
  <dataConsolidate/>
  <mergeCells count="300">
    <mergeCell ref="AO111:AP111"/>
    <mergeCell ref="AQ111:AT111"/>
    <mergeCell ref="AU111:AX111"/>
    <mergeCell ref="AY111:BB111"/>
    <mergeCell ref="BC111:BF111"/>
    <mergeCell ref="BG111:BI111"/>
    <mergeCell ref="AO112:AP112"/>
    <mergeCell ref="AQ112:AT112"/>
    <mergeCell ref="AU112:AX112"/>
    <mergeCell ref="AY112:BB112"/>
    <mergeCell ref="BC112:BF112"/>
    <mergeCell ref="BG112:BI112"/>
    <mergeCell ref="AO109:AP109"/>
    <mergeCell ref="AQ109:AT109"/>
    <mergeCell ref="AU109:AX109"/>
    <mergeCell ref="AY109:BB109"/>
    <mergeCell ref="BC109:BF109"/>
    <mergeCell ref="BG109:BI109"/>
    <mergeCell ref="AO110:AP110"/>
    <mergeCell ref="AQ110:AT110"/>
    <mergeCell ref="AU110:AX110"/>
    <mergeCell ref="AY110:BB110"/>
    <mergeCell ref="BC110:BF110"/>
    <mergeCell ref="BG110:BI110"/>
    <mergeCell ref="AO107:AP107"/>
    <mergeCell ref="AQ107:AT107"/>
    <mergeCell ref="AU107:AX107"/>
    <mergeCell ref="AY107:BB107"/>
    <mergeCell ref="BC107:BF107"/>
    <mergeCell ref="BG107:BI107"/>
    <mergeCell ref="AO108:AP108"/>
    <mergeCell ref="AQ108:AT108"/>
    <mergeCell ref="AU108:AX108"/>
    <mergeCell ref="AY108:BB108"/>
    <mergeCell ref="BC108:BF108"/>
    <mergeCell ref="BG108:BI108"/>
    <mergeCell ref="AO105:AP105"/>
    <mergeCell ref="AQ105:AT105"/>
    <mergeCell ref="AU105:AX105"/>
    <mergeCell ref="AY105:BB105"/>
    <mergeCell ref="BC105:BF105"/>
    <mergeCell ref="BG105:BI105"/>
    <mergeCell ref="AO106:AP106"/>
    <mergeCell ref="AQ106:AT106"/>
    <mergeCell ref="AU106:AX106"/>
    <mergeCell ref="AY106:BB106"/>
    <mergeCell ref="BC106:BF106"/>
    <mergeCell ref="BG106:BI106"/>
    <mergeCell ref="AO103:AP103"/>
    <mergeCell ref="AQ103:AT103"/>
    <mergeCell ref="AU103:AX103"/>
    <mergeCell ref="AY103:BB103"/>
    <mergeCell ref="BC103:BF103"/>
    <mergeCell ref="BG103:BI103"/>
    <mergeCell ref="AO104:AP104"/>
    <mergeCell ref="AQ104:AT104"/>
    <mergeCell ref="AU104:AX104"/>
    <mergeCell ref="AY104:BB104"/>
    <mergeCell ref="BC104:BF104"/>
    <mergeCell ref="BG104:BI104"/>
    <mergeCell ref="AO101:AP101"/>
    <mergeCell ref="AQ101:AT101"/>
    <mergeCell ref="AU101:AX101"/>
    <mergeCell ref="AY101:BB101"/>
    <mergeCell ref="BC101:BF101"/>
    <mergeCell ref="BG101:BI101"/>
    <mergeCell ref="AO102:AP102"/>
    <mergeCell ref="AQ102:AT102"/>
    <mergeCell ref="AU102:AX102"/>
    <mergeCell ref="AY102:BB102"/>
    <mergeCell ref="BC102:BF102"/>
    <mergeCell ref="BG102:BI102"/>
    <mergeCell ref="AO99:AP99"/>
    <mergeCell ref="AQ99:AT99"/>
    <mergeCell ref="AU99:AX99"/>
    <mergeCell ref="AY99:BB99"/>
    <mergeCell ref="BC99:BF99"/>
    <mergeCell ref="BG99:BI99"/>
    <mergeCell ref="AO100:AP100"/>
    <mergeCell ref="AQ100:AT100"/>
    <mergeCell ref="AU100:AX100"/>
    <mergeCell ref="AY100:BB100"/>
    <mergeCell ref="BC100:BF100"/>
    <mergeCell ref="BG100:BI100"/>
    <mergeCell ref="AO97:AP97"/>
    <mergeCell ref="AQ97:AT97"/>
    <mergeCell ref="AU97:AX97"/>
    <mergeCell ref="AY97:BB97"/>
    <mergeCell ref="BC97:BF97"/>
    <mergeCell ref="BG97:BI97"/>
    <mergeCell ref="AO98:AP98"/>
    <mergeCell ref="AQ98:AT98"/>
    <mergeCell ref="AU98:AX98"/>
    <mergeCell ref="AY98:BB98"/>
    <mergeCell ref="BC98:BF98"/>
    <mergeCell ref="BG98:BI98"/>
    <mergeCell ref="C3:E3"/>
    <mergeCell ref="G8:H8"/>
    <mergeCell ref="F3:H3"/>
    <mergeCell ref="A7:F7"/>
    <mergeCell ref="A8:B9"/>
    <mergeCell ref="C8:F8"/>
    <mergeCell ref="C9:F9"/>
    <mergeCell ref="G7:H7"/>
    <mergeCell ref="A2:B3"/>
    <mergeCell ref="C2:K2"/>
    <mergeCell ref="A4:B4"/>
    <mergeCell ref="A5:B5"/>
    <mergeCell ref="C5:E5"/>
    <mergeCell ref="F5:H5"/>
    <mergeCell ref="I5:K5"/>
    <mergeCell ref="C4:E4"/>
    <mergeCell ref="F4:H4"/>
    <mergeCell ref="I4:K4"/>
    <mergeCell ref="C13:F13"/>
    <mergeCell ref="F81:AE89"/>
    <mergeCell ref="E26:F26"/>
    <mergeCell ref="A10:B11"/>
    <mergeCell ref="G13:H13"/>
    <mergeCell ref="A12:F12"/>
    <mergeCell ref="G12:H12"/>
    <mergeCell ref="C10:F10"/>
    <mergeCell ref="G10:H10"/>
    <mergeCell ref="A13:B15"/>
    <mergeCell ref="C15:F15"/>
    <mergeCell ref="C11:F11"/>
    <mergeCell ref="C14:F14"/>
    <mergeCell ref="G15:H15"/>
    <mergeCell ref="I10:M10"/>
    <mergeCell ref="G11:H11"/>
    <mergeCell ref="I11:M11"/>
    <mergeCell ref="G14:H14"/>
    <mergeCell ref="I14:M14"/>
    <mergeCell ref="I15:M15"/>
    <mergeCell ref="I13:M13"/>
    <mergeCell ref="H26:I26"/>
    <mergeCell ref="K26:L26"/>
    <mergeCell ref="N26:O26"/>
    <mergeCell ref="H28:I28"/>
    <mergeCell ref="P28:Q28"/>
    <mergeCell ref="H29:I29"/>
    <mergeCell ref="P29:R29"/>
    <mergeCell ref="I9:M9"/>
    <mergeCell ref="I3:K3"/>
    <mergeCell ref="I12:M12"/>
    <mergeCell ref="I7:M7"/>
    <mergeCell ref="G9:H9"/>
    <mergeCell ref="I8:M8"/>
    <mergeCell ref="E36:H36"/>
    <mergeCell ref="O36:P36"/>
    <mergeCell ref="F48:H49"/>
    <mergeCell ref="I48:I49"/>
    <mergeCell ref="J48:K49"/>
    <mergeCell ref="L48:L49"/>
    <mergeCell ref="H30:I30"/>
    <mergeCell ref="P30:R30"/>
    <mergeCell ref="H31:I31"/>
    <mergeCell ref="P31:Q31"/>
    <mergeCell ref="E35:H35"/>
    <mergeCell ref="O35:P35"/>
    <mergeCell ref="I52:J52"/>
    <mergeCell ref="L52:M52"/>
    <mergeCell ref="I53:J53"/>
    <mergeCell ref="I55:J55"/>
    <mergeCell ref="I56:J56"/>
    <mergeCell ref="I58:J58"/>
    <mergeCell ref="Z48:Z49"/>
    <mergeCell ref="AA48:AB49"/>
    <mergeCell ref="W49:X49"/>
    <mergeCell ref="I51:J51"/>
    <mergeCell ref="L51:M51"/>
    <mergeCell ref="O51:P51"/>
    <mergeCell ref="S48:S49"/>
    <mergeCell ref="T48:T49"/>
    <mergeCell ref="U48:U49"/>
    <mergeCell ref="V48:V49"/>
    <mergeCell ref="W48:X48"/>
    <mergeCell ref="Y48:Y49"/>
    <mergeCell ref="E68:H68"/>
    <mergeCell ref="K68:L68"/>
    <mergeCell ref="N68:O68"/>
    <mergeCell ref="U68:V68"/>
    <mergeCell ref="X68:Y68"/>
    <mergeCell ref="E69:H69"/>
    <mergeCell ref="I69:R69"/>
    <mergeCell ref="S69:AB69"/>
    <mergeCell ref="R58:S58"/>
    <mergeCell ref="I59:J59"/>
    <mergeCell ref="E66:H67"/>
    <mergeCell ref="I66:AB66"/>
    <mergeCell ref="I67:R67"/>
    <mergeCell ref="S67:AB67"/>
    <mergeCell ref="AV88:AW89"/>
    <mergeCell ref="AZ88:BC89"/>
    <mergeCell ref="AT89:AU89"/>
    <mergeCell ref="AO92:AP92"/>
    <mergeCell ref="AQ92:AT92"/>
    <mergeCell ref="AU92:AX92"/>
    <mergeCell ref="AY92:BB92"/>
    <mergeCell ref="BC92:BF92"/>
    <mergeCell ref="AO88:AO89"/>
    <mergeCell ref="AP88:AP89"/>
    <mergeCell ref="AQ88:AQ89"/>
    <mergeCell ref="AR88:AR89"/>
    <mergeCell ref="AS88:AS89"/>
    <mergeCell ref="AT88:AU88"/>
    <mergeCell ref="AO94:AP94"/>
    <mergeCell ref="AQ94:AT94"/>
    <mergeCell ref="AU94:AX94"/>
    <mergeCell ref="AY94:BB94"/>
    <mergeCell ref="BC94:BF94"/>
    <mergeCell ref="BG94:BI94"/>
    <mergeCell ref="BG92:BI92"/>
    <mergeCell ref="AO93:AP93"/>
    <mergeCell ref="AQ93:AT93"/>
    <mergeCell ref="AU93:AX93"/>
    <mergeCell ref="AY93:BB93"/>
    <mergeCell ref="BC93:BF93"/>
    <mergeCell ref="BG93:BI93"/>
    <mergeCell ref="AO96:AP96"/>
    <mergeCell ref="AQ96:AT96"/>
    <mergeCell ref="AU96:AX96"/>
    <mergeCell ref="AY96:BB96"/>
    <mergeCell ref="BC96:BF96"/>
    <mergeCell ref="BG96:BI96"/>
    <mergeCell ref="AO95:AP95"/>
    <mergeCell ref="AQ95:AT95"/>
    <mergeCell ref="AU95:AX95"/>
    <mergeCell ref="AY95:BB95"/>
    <mergeCell ref="BC95:BF95"/>
    <mergeCell ref="BG95:BI95"/>
    <mergeCell ref="S122:S123"/>
    <mergeCell ref="V122:V123"/>
    <mergeCell ref="W122:W123"/>
    <mergeCell ref="X122:Y123"/>
    <mergeCell ref="T123:U123"/>
    <mergeCell ref="I125:J125"/>
    <mergeCell ref="BG113:BI113"/>
    <mergeCell ref="F122:G123"/>
    <mergeCell ref="H122:H123"/>
    <mergeCell ref="I122:J123"/>
    <mergeCell ref="K122:K123"/>
    <mergeCell ref="L122:M123"/>
    <mergeCell ref="N122:N123"/>
    <mergeCell ref="Q122:Q123"/>
    <mergeCell ref="R122:R123"/>
    <mergeCell ref="BC113:BF113"/>
    <mergeCell ref="AU113:AX113"/>
    <mergeCell ref="AY113:BB113"/>
    <mergeCell ref="AO113:AP113"/>
    <mergeCell ref="AQ113:AT113"/>
    <mergeCell ref="H115:I115"/>
    <mergeCell ref="K115:L115"/>
    <mergeCell ref="N115:O115"/>
    <mergeCell ref="Q115:S115"/>
    <mergeCell ref="R134:S134"/>
    <mergeCell ref="V134:V135"/>
    <mergeCell ref="P135:Q135"/>
    <mergeCell ref="S135:U135"/>
    <mergeCell ref="I126:J126"/>
    <mergeCell ref="I127:J127"/>
    <mergeCell ref="I128:J128"/>
    <mergeCell ref="I130:J130"/>
    <mergeCell ref="I131:J131"/>
    <mergeCell ref="I133:J133"/>
    <mergeCell ref="C142:D144"/>
    <mergeCell ref="E142:J142"/>
    <mergeCell ref="K142:N142"/>
    <mergeCell ref="O142:R142"/>
    <mergeCell ref="S142:V142"/>
    <mergeCell ref="W142:Z142"/>
    <mergeCell ref="E144:J144"/>
    <mergeCell ref="K144:N144"/>
    <mergeCell ref="O144:R144"/>
    <mergeCell ref="S144:V144"/>
    <mergeCell ref="W144:Z144"/>
    <mergeCell ref="U115:W115"/>
    <mergeCell ref="X115:Y115"/>
    <mergeCell ref="AA115:AD115"/>
    <mergeCell ref="AA144:AD144"/>
    <mergeCell ref="AA142:AD142"/>
    <mergeCell ref="E143:J143"/>
    <mergeCell ref="K143:N143"/>
    <mergeCell ref="O143:R143"/>
    <mergeCell ref="S143:V143"/>
    <mergeCell ref="W143:Z143"/>
    <mergeCell ref="AA143:AD143"/>
    <mergeCell ref="I136:J136"/>
    <mergeCell ref="I138:J138"/>
    <mergeCell ref="R138:S138"/>
    <mergeCell ref="C140:AD140"/>
    <mergeCell ref="C141:J141"/>
    <mergeCell ref="K141:N141"/>
    <mergeCell ref="O141:R141"/>
    <mergeCell ref="S141:V141"/>
    <mergeCell ref="W141:Z141"/>
    <mergeCell ref="AA141:AD141"/>
    <mergeCell ref="L134:M135"/>
    <mergeCell ref="N134:N135"/>
    <mergeCell ref="O134:O135"/>
  </mergeCells>
  <phoneticPr fontId="2"/>
  <dataValidations disablePrompts="1" count="1">
    <dataValidation type="whole" operator="lessThanOrEqual" allowBlank="1" showInputMessage="1" showErrorMessage="1" sqref="M6:R6" xr:uid="{00000000-0002-0000-0100-000000000000}">
      <formula1>4</formula1>
    </dataValidation>
  </dataValidations>
  <pageMargins left="0.7" right="0.7" top="0.75" bottom="0.75" header="0.3" footer="0.3"/>
  <pageSetup paperSize="9" orientation="portrait" blackAndWhite="1" verticalDpi="300" r:id="rId1"/>
  <headerFooter alignWithMargins="0"/>
  <rowBreaks count="2" manualBreakCount="2">
    <brk id="69" max="32" man="1"/>
    <brk id="116" max="3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380" r:id="rId4" name="Button 8764">
              <controlPr defaultSize="0" print="0" autoFill="0" autoPict="0" macro="[0]!test_Click">
                <anchor moveWithCells="1" sizeWithCells="1">
                  <from>
                    <xdr:col>14</xdr:col>
                    <xdr:colOff>152400</xdr:colOff>
                    <xdr:row>6</xdr:row>
                    <xdr:rowOff>171450</xdr:rowOff>
                  </from>
                  <to>
                    <xdr:col>20</xdr:col>
                    <xdr:colOff>47625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C1:AK125"/>
  <sheetViews>
    <sheetView view="pageBreakPreview" topLeftCell="A61" zoomScaleNormal="100" workbookViewId="0">
      <selection activeCell="J95" sqref="I95:J96"/>
    </sheetView>
  </sheetViews>
  <sheetFormatPr defaultColWidth="2.625" defaultRowHeight="12" x14ac:dyDescent="0.15"/>
  <cols>
    <col min="1" max="25" width="2.625" style="26" customWidth="1"/>
    <col min="26" max="26" width="2.5" style="26" customWidth="1"/>
    <col min="27" max="281" width="2.625" style="26"/>
    <col min="282" max="282" width="2.5" style="26" customWidth="1"/>
    <col min="283" max="537" width="2.625" style="26"/>
    <col min="538" max="538" width="2.5" style="26" customWidth="1"/>
    <col min="539" max="793" width="2.625" style="26"/>
    <col min="794" max="794" width="2.5" style="26" customWidth="1"/>
    <col min="795" max="1049" width="2.625" style="26"/>
    <col min="1050" max="1050" width="2.5" style="26" customWidth="1"/>
    <col min="1051" max="1305" width="2.625" style="26"/>
    <col min="1306" max="1306" width="2.5" style="26" customWidth="1"/>
    <col min="1307" max="1561" width="2.625" style="26"/>
    <col min="1562" max="1562" width="2.5" style="26" customWidth="1"/>
    <col min="1563" max="1817" width="2.625" style="26"/>
    <col min="1818" max="1818" width="2.5" style="26" customWidth="1"/>
    <col min="1819" max="2073" width="2.625" style="26"/>
    <col min="2074" max="2074" width="2.5" style="26" customWidth="1"/>
    <col min="2075" max="2329" width="2.625" style="26"/>
    <col min="2330" max="2330" width="2.5" style="26" customWidth="1"/>
    <col min="2331" max="2585" width="2.625" style="26"/>
    <col min="2586" max="2586" width="2.5" style="26" customWidth="1"/>
    <col min="2587" max="2841" width="2.625" style="26"/>
    <col min="2842" max="2842" width="2.5" style="26" customWidth="1"/>
    <col min="2843" max="3097" width="2.625" style="26"/>
    <col min="3098" max="3098" width="2.5" style="26" customWidth="1"/>
    <col min="3099" max="3353" width="2.625" style="26"/>
    <col min="3354" max="3354" width="2.5" style="26" customWidth="1"/>
    <col min="3355" max="3609" width="2.625" style="26"/>
    <col min="3610" max="3610" width="2.5" style="26" customWidth="1"/>
    <col min="3611" max="3865" width="2.625" style="26"/>
    <col min="3866" max="3866" width="2.5" style="26" customWidth="1"/>
    <col min="3867" max="4121" width="2.625" style="26"/>
    <col min="4122" max="4122" width="2.5" style="26" customWidth="1"/>
    <col min="4123" max="4377" width="2.625" style="26"/>
    <col min="4378" max="4378" width="2.5" style="26" customWidth="1"/>
    <col min="4379" max="4633" width="2.625" style="26"/>
    <col min="4634" max="4634" width="2.5" style="26" customWidth="1"/>
    <col min="4635" max="4889" width="2.625" style="26"/>
    <col min="4890" max="4890" width="2.5" style="26" customWidth="1"/>
    <col min="4891" max="5145" width="2.625" style="26"/>
    <col min="5146" max="5146" width="2.5" style="26" customWidth="1"/>
    <col min="5147" max="5401" width="2.625" style="26"/>
    <col min="5402" max="5402" width="2.5" style="26" customWidth="1"/>
    <col min="5403" max="5657" width="2.625" style="26"/>
    <col min="5658" max="5658" width="2.5" style="26" customWidth="1"/>
    <col min="5659" max="5913" width="2.625" style="26"/>
    <col min="5914" max="5914" width="2.5" style="26" customWidth="1"/>
    <col min="5915" max="6169" width="2.625" style="26"/>
    <col min="6170" max="6170" width="2.5" style="26" customWidth="1"/>
    <col min="6171" max="6425" width="2.625" style="26"/>
    <col min="6426" max="6426" width="2.5" style="26" customWidth="1"/>
    <col min="6427" max="6681" width="2.625" style="26"/>
    <col min="6682" max="6682" width="2.5" style="26" customWidth="1"/>
    <col min="6683" max="6937" width="2.625" style="26"/>
    <col min="6938" max="6938" width="2.5" style="26" customWidth="1"/>
    <col min="6939" max="7193" width="2.625" style="26"/>
    <col min="7194" max="7194" width="2.5" style="26" customWidth="1"/>
    <col min="7195" max="7449" width="2.625" style="26"/>
    <col min="7450" max="7450" width="2.5" style="26" customWidth="1"/>
    <col min="7451" max="7705" width="2.625" style="26"/>
    <col min="7706" max="7706" width="2.5" style="26" customWidth="1"/>
    <col min="7707" max="7961" width="2.625" style="26"/>
    <col min="7962" max="7962" width="2.5" style="26" customWidth="1"/>
    <col min="7963" max="8217" width="2.625" style="26"/>
    <col min="8218" max="8218" width="2.5" style="26" customWidth="1"/>
    <col min="8219" max="8473" width="2.625" style="26"/>
    <col min="8474" max="8474" width="2.5" style="26" customWidth="1"/>
    <col min="8475" max="8729" width="2.625" style="26"/>
    <col min="8730" max="8730" width="2.5" style="26" customWidth="1"/>
    <col min="8731" max="8985" width="2.625" style="26"/>
    <col min="8986" max="8986" width="2.5" style="26" customWidth="1"/>
    <col min="8987" max="9241" width="2.625" style="26"/>
    <col min="9242" max="9242" width="2.5" style="26" customWidth="1"/>
    <col min="9243" max="9497" width="2.625" style="26"/>
    <col min="9498" max="9498" width="2.5" style="26" customWidth="1"/>
    <col min="9499" max="9753" width="2.625" style="26"/>
    <col min="9754" max="9754" width="2.5" style="26" customWidth="1"/>
    <col min="9755" max="10009" width="2.625" style="26"/>
    <col min="10010" max="10010" width="2.5" style="26" customWidth="1"/>
    <col min="10011" max="10265" width="2.625" style="26"/>
    <col min="10266" max="10266" width="2.5" style="26" customWidth="1"/>
    <col min="10267" max="10521" width="2.625" style="26"/>
    <col min="10522" max="10522" width="2.5" style="26" customWidth="1"/>
    <col min="10523" max="10777" width="2.625" style="26"/>
    <col min="10778" max="10778" width="2.5" style="26" customWidth="1"/>
    <col min="10779" max="11033" width="2.625" style="26"/>
    <col min="11034" max="11034" width="2.5" style="26" customWidth="1"/>
    <col min="11035" max="11289" width="2.625" style="26"/>
    <col min="11290" max="11290" width="2.5" style="26" customWidth="1"/>
    <col min="11291" max="11545" width="2.625" style="26"/>
    <col min="11546" max="11546" width="2.5" style="26" customWidth="1"/>
    <col min="11547" max="11801" width="2.625" style="26"/>
    <col min="11802" max="11802" width="2.5" style="26" customWidth="1"/>
    <col min="11803" max="12057" width="2.625" style="26"/>
    <col min="12058" max="12058" width="2.5" style="26" customWidth="1"/>
    <col min="12059" max="12313" width="2.625" style="26"/>
    <col min="12314" max="12314" width="2.5" style="26" customWidth="1"/>
    <col min="12315" max="12569" width="2.625" style="26"/>
    <col min="12570" max="12570" width="2.5" style="26" customWidth="1"/>
    <col min="12571" max="12825" width="2.625" style="26"/>
    <col min="12826" max="12826" width="2.5" style="26" customWidth="1"/>
    <col min="12827" max="13081" width="2.625" style="26"/>
    <col min="13082" max="13082" width="2.5" style="26" customWidth="1"/>
    <col min="13083" max="13337" width="2.625" style="26"/>
    <col min="13338" max="13338" width="2.5" style="26" customWidth="1"/>
    <col min="13339" max="13593" width="2.625" style="26"/>
    <col min="13594" max="13594" width="2.5" style="26" customWidth="1"/>
    <col min="13595" max="13849" width="2.625" style="26"/>
    <col min="13850" max="13850" width="2.5" style="26" customWidth="1"/>
    <col min="13851" max="14105" width="2.625" style="26"/>
    <col min="14106" max="14106" width="2.5" style="26" customWidth="1"/>
    <col min="14107" max="14361" width="2.625" style="26"/>
    <col min="14362" max="14362" width="2.5" style="26" customWidth="1"/>
    <col min="14363" max="14617" width="2.625" style="26"/>
    <col min="14618" max="14618" width="2.5" style="26" customWidth="1"/>
    <col min="14619" max="14873" width="2.625" style="26"/>
    <col min="14874" max="14874" width="2.5" style="26" customWidth="1"/>
    <col min="14875" max="15129" width="2.625" style="26"/>
    <col min="15130" max="15130" width="2.5" style="26" customWidth="1"/>
    <col min="15131" max="15385" width="2.625" style="26"/>
    <col min="15386" max="15386" width="2.5" style="26" customWidth="1"/>
    <col min="15387" max="15641" width="2.625" style="26"/>
    <col min="15642" max="15642" width="2.5" style="26" customWidth="1"/>
    <col min="15643" max="15897" width="2.625" style="26"/>
    <col min="15898" max="15898" width="2.5" style="26" customWidth="1"/>
    <col min="15899" max="16153" width="2.625" style="26"/>
    <col min="16154" max="16154" width="2.5" style="26" customWidth="1"/>
    <col min="16155" max="16384" width="2.625" style="26"/>
  </cols>
  <sheetData>
    <row r="1" spans="3:37" ht="15" customHeight="1" x14ac:dyDescent="0.15"/>
    <row r="2" spans="3:37" ht="15" customHeight="1" x14ac:dyDescent="0.15">
      <c r="C2" s="13" t="s">
        <v>354</v>
      </c>
      <c r="D2" s="14" t="s">
        <v>355</v>
      </c>
      <c r="AK2" s="26">
        <v>6.5110354423522949</v>
      </c>
    </row>
    <row r="3" spans="3:37" ht="15" customHeight="1" x14ac:dyDescent="0.15"/>
    <row r="4" spans="3:37" ht="15" customHeight="1" x14ac:dyDescent="0.15">
      <c r="D4" s="14" t="s">
        <v>50</v>
      </c>
      <c r="E4" s="14" t="s">
        <v>212</v>
      </c>
    </row>
    <row r="5" spans="3:37" ht="15" customHeight="1" x14ac:dyDescent="0.15"/>
    <row r="6" spans="3:37" ht="15" customHeight="1" x14ac:dyDescent="0.15">
      <c r="E6" s="26" t="s">
        <v>213</v>
      </c>
    </row>
    <row r="7" spans="3:37" ht="15" customHeight="1" x14ac:dyDescent="0.15">
      <c r="E7" s="26" t="s">
        <v>214</v>
      </c>
    </row>
    <row r="8" spans="3:37" ht="15" customHeight="1" x14ac:dyDescent="0.15">
      <c r="E8" s="26" t="s">
        <v>215</v>
      </c>
    </row>
    <row r="9" spans="3:37" ht="15" customHeight="1" x14ac:dyDescent="0.15"/>
    <row r="10" spans="3:37" ht="15" customHeight="1" x14ac:dyDescent="0.15">
      <c r="F10" s="103" t="s">
        <v>37</v>
      </c>
      <c r="G10" s="103"/>
      <c r="H10" s="15" t="s">
        <v>30</v>
      </c>
      <c r="I10" s="103" t="s">
        <v>38</v>
      </c>
      <c r="J10" s="103"/>
      <c r="K10" s="26" t="s">
        <v>4</v>
      </c>
      <c r="L10" s="103" t="s">
        <v>39</v>
      </c>
      <c r="M10" s="103"/>
      <c r="N10" s="15" t="s">
        <v>40</v>
      </c>
      <c r="O10" s="168">
        <v>1</v>
      </c>
      <c r="P10" s="168"/>
    </row>
    <row r="11" spans="3:37" ht="15" customHeight="1" x14ac:dyDescent="0.15"/>
    <row r="12" spans="3:37" ht="15" customHeight="1" x14ac:dyDescent="0.15">
      <c r="F12" s="26" t="s">
        <v>41</v>
      </c>
      <c r="I12" s="103" t="s">
        <v>37</v>
      </c>
      <c r="J12" s="103"/>
      <c r="K12" s="15" t="s">
        <v>31</v>
      </c>
      <c r="L12" s="26" t="s">
        <v>42</v>
      </c>
      <c r="P12" s="26" t="s">
        <v>43</v>
      </c>
      <c r="Q12" s="168">
        <v>1</v>
      </c>
      <c r="R12" s="168"/>
      <c r="S12" s="26" t="s">
        <v>3</v>
      </c>
    </row>
    <row r="13" spans="3:37" ht="15" customHeight="1" x14ac:dyDescent="0.15">
      <c r="I13" s="103" t="s">
        <v>38</v>
      </c>
      <c r="J13" s="103"/>
      <c r="K13" s="15" t="s">
        <v>31</v>
      </c>
      <c r="L13" s="26" t="s">
        <v>44</v>
      </c>
      <c r="P13" s="26" t="s">
        <v>43</v>
      </c>
      <c r="Q13" s="103" t="s">
        <v>216</v>
      </c>
      <c r="R13" s="103"/>
      <c r="S13" s="103"/>
      <c r="T13" s="26" t="s">
        <v>3</v>
      </c>
    </row>
    <row r="14" spans="3:37" ht="15" customHeight="1" x14ac:dyDescent="0.15">
      <c r="I14" s="103" t="s">
        <v>39</v>
      </c>
      <c r="J14" s="103"/>
      <c r="K14" s="15" t="s">
        <v>31</v>
      </c>
      <c r="L14" s="26" t="s">
        <v>46</v>
      </c>
      <c r="P14" s="26" t="s">
        <v>43</v>
      </c>
      <c r="Q14" s="103" t="s">
        <v>47</v>
      </c>
      <c r="R14" s="103"/>
      <c r="S14" s="103"/>
      <c r="T14" s="26" t="s">
        <v>3</v>
      </c>
    </row>
    <row r="15" spans="3:37" ht="15" customHeight="1" x14ac:dyDescent="0.15">
      <c r="I15" s="103" t="s">
        <v>48</v>
      </c>
      <c r="J15" s="103"/>
      <c r="K15" s="15" t="s">
        <v>31</v>
      </c>
      <c r="L15" s="26" t="s">
        <v>49</v>
      </c>
      <c r="P15" s="26" t="s">
        <v>43</v>
      </c>
      <c r="Q15" s="168">
        <v>1</v>
      </c>
      <c r="R15" s="168"/>
      <c r="S15" s="26" t="s">
        <v>3</v>
      </c>
    </row>
    <row r="16" spans="3:37" ht="15" customHeight="1" x14ac:dyDescent="0.15"/>
    <row r="17" spans="4:24" ht="15" customHeight="1" x14ac:dyDescent="0.15">
      <c r="D17" s="14" t="s">
        <v>89</v>
      </c>
      <c r="E17" s="14" t="s">
        <v>29</v>
      </c>
    </row>
    <row r="18" spans="4:24" ht="15" customHeight="1" x14ac:dyDescent="0.15"/>
    <row r="19" spans="4:24" ht="15" customHeight="1" x14ac:dyDescent="0.15">
      <c r="E19" s="103" t="s">
        <v>51</v>
      </c>
      <c r="F19" s="103"/>
      <c r="G19" s="103"/>
      <c r="H19" s="103"/>
      <c r="I19" s="15" t="s">
        <v>31</v>
      </c>
      <c r="J19" s="26" t="s">
        <v>52</v>
      </c>
      <c r="N19" s="26" t="s">
        <v>53</v>
      </c>
      <c r="O19" s="167">
        <f>'疲労破壊の照査（曲げ)'!O35</f>
        <v>60</v>
      </c>
      <c r="P19" s="167"/>
      <c r="Q19" s="26" t="s">
        <v>54</v>
      </c>
    </row>
    <row r="20" spans="4:24" ht="15" customHeight="1" x14ac:dyDescent="0.15">
      <c r="E20" s="103" t="s">
        <v>55</v>
      </c>
      <c r="F20" s="103"/>
      <c r="G20" s="103"/>
      <c r="H20" s="103"/>
      <c r="I20" s="15" t="s">
        <v>31</v>
      </c>
      <c r="J20" s="26" t="s">
        <v>56</v>
      </c>
      <c r="N20" s="26" t="s">
        <v>53</v>
      </c>
      <c r="O20" s="167">
        <f>'疲労破壊の照査（曲げ)'!O36</f>
        <v>0</v>
      </c>
      <c r="P20" s="167"/>
      <c r="Q20" s="26" t="s">
        <v>54</v>
      </c>
    </row>
    <row r="21" spans="4:24" ht="15" customHeight="1" x14ac:dyDescent="0.15"/>
    <row r="22" spans="4:24" ht="15" customHeight="1" x14ac:dyDescent="0.15">
      <c r="D22" s="14" t="s">
        <v>90</v>
      </c>
      <c r="E22" s="14" t="s">
        <v>217</v>
      </c>
    </row>
    <row r="23" spans="4:24" ht="15" customHeight="1" x14ac:dyDescent="0.15"/>
    <row r="24" spans="4:24" ht="15" customHeight="1" x14ac:dyDescent="0.15">
      <c r="E24" s="26" t="s">
        <v>218</v>
      </c>
    </row>
    <row r="25" spans="4:24" ht="15" customHeight="1" x14ac:dyDescent="0.15">
      <c r="E25" s="26" t="s">
        <v>219</v>
      </c>
    </row>
    <row r="26" spans="4:24" ht="15" customHeight="1" x14ac:dyDescent="0.15">
      <c r="E26" s="26" t="s">
        <v>220</v>
      </c>
    </row>
    <row r="27" spans="4:24" ht="15" customHeight="1" x14ac:dyDescent="0.15">
      <c r="E27" s="26" t="s">
        <v>221</v>
      </c>
    </row>
    <row r="28" spans="4:24" ht="15" customHeight="1" x14ac:dyDescent="0.15"/>
    <row r="29" spans="4:24" ht="15" customHeight="1" x14ac:dyDescent="0.15">
      <c r="F29" s="103" t="s">
        <v>222</v>
      </c>
      <c r="G29" s="103"/>
      <c r="H29" s="103" t="s">
        <v>6</v>
      </c>
      <c r="I29" s="122" t="s">
        <v>223</v>
      </c>
      <c r="J29" s="122"/>
      <c r="K29" s="122"/>
      <c r="L29" s="122"/>
      <c r="M29" s="122"/>
      <c r="N29" s="122"/>
      <c r="O29" s="122"/>
      <c r="P29" s="122"/>
      <c r="Q29" s="122"/>
      <c r="R29" s="103" t="s">
        <v>224</v>
      </c>
      <c r="S29" s="103" t="s">
        <v>225</v>
      </c>
      <c r="T29" s="103"/>
      <c r="U29" s="103"/>
      <c r="V29" s="103"/>
      <c r="W29" s="103"/>
      <c r="X29" s="103"/>
    </row>
    <row r="30" spans="4:24" ht="15" customHeight="1" x14ac:dyDescent="0.15">
      <c r="F30" s="103"/>
      <c r="G30" s="103"/>
      <c r="H30" s="103"/>
      <c r="I30" s="123" t="s">
        <v>226</v>
      </c>
      <c r="J30" s="123"/>
      <c r="K30" s="123"/>
      <c r="L30" s="123"/>
      <c r="M30" s="123"/>
      <c r="N30" s="123"/>
      <c r="O30" s="123"/>
      <c r="P30" s="123"/>
      <c r="Q30" s="123"/>
      <c r="R30" s="103"/>
      <c r="S30" s="123" t="s">
        <v>227</v>
      </c>
      <c r="T30" s="123"/>
      <c r="U30" s="123"/>
      <c r="V30" s="123"/>
      <c r="W30" s="123"/>
      <c r="X30" s="123"/>
    </row>
    <row r="31" spans="4:24" ht="15" customHeight="1" x14ac:dyDescent="0.15"/>
    <row r="32" spans="4:24" ht="15" customHeight="1" x14ac:dyDescent="0.15">
      <c r="F32" s="103" t="s">
        <v>228</v>
      </c>
      <c r="G32" s="103"/>
      <c r="H32" s="103" t="s">
        <v>6</v>
      </c>
      <c r="I32" s="122" t="s">
        <v>223</v>
      </c>
      <c r="J32" s="122"/>
      <c r="K32" s="122"/>
      <c r="L32" s="122"/>
      <c r="M32" s="122"/>
      <c r="N32" s="122"/>
      <c r="O32" s="122"/>
      <c r="P32" s="122"/>
      <c r="Q32" s="122"/>
      <c r="R32" s="103" t="s">
        <v>224</v>
      </c>
      <c r="S32" s="103" t="s">
        <v>229</v>
      </c>
      <c r="T32" s="103"/>
      <c r="U32" s="103"/>
      <c r="V32" s="103"/>
      <c r="W32" s="103"/>
      <c r="X32" s="103"/>
    </row>
    <row r="33" spans="6:24" ht="15" customHeight="1" x14ac:dyDescent="0.15">
      <c r="F33" s="103"/>
      <c r="G33" s="103"/>
      <c r="H33" s="103"/>
      <c r="I33" s="123" t="s">
        <v>226</v>
      </c>
      <c r="J33" s="123"/>
      <c r="K33" s="123"/>
      <c r="L33" s="123"/>
      <c r="M33" s="123"/>
      <c r="N33" s="123"/>
      <c r="O33" s="123"/>
      <c r="P33" s="123"/>
      <c r="Q33" s="123"/>
      <c r="R33" s="103"/>
      <c r="S33" s="123" t="s">
        <v>227</v>
      </c>
      <c r="T33" s="123"/>
      <c r="U33" s="123"/>
      <c r="V33" s="123"/>
      <c r="W33" s="123"/>
      <c r="X33" s="123"/>
    </row>
    <row r="34" spans="6:24" ht="15" customHeight="1" x14ac:dyDescent="0.15"/>
    <row r="35" spans="6:24" ht="15" customHeight="1" x14ac:dyDescent="0.15">
      <c r="F35" s="26" t="s">
        <v>41</v>
      </c>
      <c r="I35" s="103" t="s">
        <v>230</v>
      </c>
      <c r="J35" s="103"/>
      <c r="K35" s="15" t="s">
        <v>31</v>
      </c>
      <c r="L35" s="26" t="s">
        <v>231</v>
      </c>
    </row>
    <row r="36" spans="6:24" ht="15" customHeight="1" x14ac:dyDescent="0.15">
      <c r="I36" s="103" t="s">
        <v>225</v>
      </c>
      <c r="J36" s="103"/>
      <c r="K36" s="15" t="s">
        <v>31</v>
      </c>
      <c r="L36" s="26" t="s">
        <v>232</v>
      </c>
    </row>
    <row r="37" spans="6:24" ht="15" customHeight="1" x14ac:dyDescent="0.15">
      <c r="I37" s="103" t="s">
        <v>233</v>
      </c>
      <c r="J37" s="103"/>
      <c r="K37" s="15" t="s">
        <v>31</v>
      </c>
      <c r="L37" s="26" t="s">
        <v>234</v>
      </c>
    </row>
    <row r="38" spans="6:24" ht="15" customHeight="1" x14ac:dyDescent="0.15">
      <c r="I38" s="15"/>
      <c r="J38" s="15"/>
      <c r="K38" s="15"/>
      <c r="L38" s="26" t="s">
        <v>235</v>
      </c>
    </row>
    <row r="39" spans="6:24" ht="15" customHeight="1" x14ac:dyDescent="0.15">
      <c r="I39" s="103" t="s">
        <v>236</v>
      </c>
      <c r="J39" s="103"/>
      <c r="K39" s="15" t="s">
        <v>31</v>
      </c>
      <c r="L39" s="26" t="s">
        <v>237</v>
      </c>
    </row>
    <row r="40" spans="6:24" ht="15" customHeight="1" x14ac:dyDescent="0.15">
      <c r="I40" s="15"/>
      <c r="J40" s="15"/>
      <c r="K40" s="15"/>
      <c r="L40" s="26" t="s">
        <v>238</v>
      </c>
    </row>
    <row r="41" spans="6:24" ht="15" customHeight="1" x14ac:dyDescent="0.15">
      <c r="I41" s="103" t="s">
        <v>239</v>
      </c>
      <c r="J41" s="103"/>
      <c r="K41" s="15" t="s">
        <v>31</v>
      </c>
      <c r="L41" s="26" t="s">
        <v>240</v>
      </c>
    </row>
    <row r="42" spans="6:24" ht="15" customHeight="1" x14ac:dyDescent="0.15">
      <c r="I42" s="103" t="s">
        <v>241</v>
      </c>
      <c r="J42" s="103"/>
      <c r="K42" s="15" t="s">
        <v>31</v>
      </c>
      <c r="L42" s="26" t="s">
        <v>242</v>
      </c>
    </row>
    <row r="43" spans="6:24" ht="15" customHeight="1" x14ac:dyDescent="0.15">
      <c r="I43" s="103" t="s">
        <v>243</v>
      </c>
      <c r="J43" s="103"/>
      <c r="K43" s="15" t="s">
        <v>31</v>
      </c>
      <c r="L43" s="26" t="s">
        <v>244</v>
      </c>
    </row>
    <row r="44" spans="6:24" ht="15" customHeight="1" x14ac:dyDescent="0.15">
      <c r="I44" s="103" t="s">
        <v>245</v>
      </c>
      <c r="J44" s="103"/>
      <c r="K44" s="15" t="s">
        <v>31</v>
      </c>
      <c r="L44" s="26" t="s">
        <v>246</v>
      </c>
    </row>
    <row r="45" spans="6:24" ht="15" customHeight="1" x14ac:dyDescent="0.15">
      <c r="I45" s="15"/>
      <c r="J45" s="15"/>
      <c r="K45" s="15"/>
      <c r="L45" s="26" t="s">
        <v>247</v>
      </c>
    </row>
    <row r="46" spans="6:24" ht="15" customHeight="1" x14ac:dyDescent="0.15">
      <c r="I46" s="103" t="s">
        <v>248</v>
      </c>
      <c r="J46" s="103"/>
      <c r="K46" s="15" t="s">
        <v>31</v>
      </c>
      <c r="L46" s="26" t="s">
        <v>249</v>
      </c>
    </row>
    <row r="47" spans="6:24" ht="15" customHeight="1" x14ac:dyDescent="0.15">
      <c r="I47" s="15"/>
      <c r="J47" s="15"/>
      <c r="K47" s="15"/>
    </row>
    <row r="48" spans="6:24" ht="15" customHeight="1" x14ac:dyDescent="0.15"/>
    <row r="49" spans="4:5" ht="15" customHeight="1" x14ac:dyDescent="0.15">
      <c r="D49" s="14" t="s">
        <v>206</v>
      </c>
      <c r="E49" s="14" t="s">
        <v>61</v>
      </c>
    </row>
    <row r="50" spans="4:5" ht="15" customHeight="1" x14ac:dyDescent="0.15"/>
    <row r="51" spans="4:5" ht="15" customHeight="1" x14ac:dyDescent="0.15">
      <c r="E51" s="26" t="s">
        <v>250</v>
      </c>
    </row>
    <row r="52" spans="4:5" ht="15" customHeight="1" x14ac:dyDescent="0.15"/>
    <row r="53" spans="4:5" ht="15" customHeight="1" x14ac:dyDescent="0.15"/>
    <row r="54" spans="4:5" ht="15" customHeight="1" x14ac:dyDescent="0.15"/>
    <row r="55" spans="4:5" ht="15" customHeight="1" x14ac:dyDescent="0.15">
      <c r="D55" s="14" t="s">
        <v>207</v>
      </c>
      <c r="E55" s="14" t="s">
        <v>80</v>
      </c>
    </row>
    <row r="56" spans="4:5" ht="15" customHeight="1" x14ac:dyDescent="0.15"/>
    <row r="57" spans="4:5" ht="15" customHeight="1" x14ac:dyDescent="0.15">
      <c r="E57" s="26" t="s">
        <v>250</v>
      </c>
    </row>
    <row r="58" spans="4:5" ht="15" customHeight="1" x14ac:dyDescent="0.15"/>
    <row r="59" spans="4:5" ht="15" customHeight="1" x14ac:dyDescent="0.15">
      <c r="D59" s="14" t="s">
        <v>353</v>
      </c>
      <c r="E59" s="14" t="s">
        <v>86</v>
      </c>
    </row>
    <row r="60" spans="4:5" ht="15" customHeight="1" x14ac:dyDescent="0.15"/>
    <row r="61" spans="4:5" ht="15" customHeight="1" x14ac:dyDescent="0.15">
      <c r="E61" s="26" t="s">
        <v>250</v>
      </c>
    </row>
    <row r="62" spans="4:5" ht="15" customHeight="1" x14ac:dyDescent="0.15"/>
    <row r="63" spans="4:5" ht="15" customHeight="1" x14ac:dyDescent="0.15">
      <c r="D63" s="14" t="s">
        <v>356</v>
      </c>
      <c r="E63" s="14" t="s">
        <v>106</v>
      </c>
    </row>
    <row r="64" spans="4:5" ht="15" customHeight="1" x14ac:dyDescent="0.15"/>
    <row r="65" spans="5:5" ht="15" customHeight="1" x14ac:dyDescent="0.15">
      <c r="E65" s="26" t="s">
        <v>251</v>
      </c>
    </row>
    <row r="66" spans="5:5" ht="15" customHeight="1" x14ac:dyDescent="0.15">
      <c r="E66" s="26" t="s">
        <v>252</v>
      </c>
    </row>
    <row r="67" spans="5:5" ht="15" customHeight="1" x14ac:dyDescent="0.15"/>
    <row r="68" spans="5:5" ht="15" customHeight="1" x14ac:dyDescent="0.15"/>
    <row r="69" spans="5:5" ht="15" customHeight="1" x14ac:dyDescent="0.15"/>
    <row r="70" spans="5:5" ht="15" customHeight="1" x14ac:dyDescent="0.15"/>
    <row r="71" spans="5:5" ht="15" customHeight="1" x14ac:dyDescent="0.15"/>
    <row r="72" spans="5:5" ht="15" customHeight="1" x14ac:dyDescent="0.15"/>
    <row r="73" spans="5:5" ht="15" customHeight="1" x14ac:dyDescent="0.15"/>
    <row r="74" spans="5:5" ht="15" customHeight="1" x14ac:dyDescent="0.15"/>
    <row r="75" spans="5:5" ht="15" customHeight="1" x14ac:dyDescent="0.15"/>
    <row r="76" spans="5:5" ht="15" customHeight="1" x14ac:dyDescent="0.15"/>
    <row r="77" spans="5:5" ht="15" customHeight="1" x14ac:dyDescent="0.15"/>
    <row r="78" spans="5:5" ht="15" customHeight="1" x14ac:dyDescent="0.15"/>
    <row r="79" spans="5:5" ht="15" customHeight="1" x14ac:dyDescent="0.15"/>
    <row r="80" spans="5:5" ht="15" customHeight="1" x14ac:dyDescent="0.15"/>
    <row r="81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</sheetData>
  <mergeCells count="39">
    <mergeCell ref="I42:J42"/>
    <mergeCell ref="I43:J43"/>
    <mergeCell ref="I44:J44"/>
    <mergeCell ref="I46:J46"/>
    <mergeCell ref="S33:X33"/>
    <mergeCell ref="I35:J35"/>
    <mergeCell ref="I36:J36"/>
    <mergeCell ref="I37:J37"/>
    <mergeCell ref="I39:J39"/>
    <mergeCell ref="I41:J41"/>
    <mergeCell ref="R29:R30"/>
    <mergeCell ref="S29:X29"/>
    <mergeCell ref="I30:Q30"/>
    <mergeCell ref="S30:X30"/>
    <mergeCell ref="F32:G33"/>
    <mergeCell ref="H32:H33"/>
    <mergeCell ref="I32:Q32"/>
    <mergeCell ref="R32:R33"/>
    <mergeCell ref="S32:X32"/>
    <mergeCell ref="I33:Q33"/>
    <mergeCell ref="E19:H19"/>
    <mergeCell ref="O19:P19"/>
    <mergeCell ref="E20:H20"/>
    <mergeCell ref="O20:P20"/>
    <mergeCell ref="F29:G30"/>
    <mergeCell ref="H29:H30"/>
    <mergeCell ref="I29:Q29"/>
    <mergeCell ref="I13:J13"/>
    <mergeCell ref="Q13:S13"/>
    <mergeCell ref="I14:J14"/>
    <mergeCell ref="Q14:S14"/>
    <mergeCell ref="I15:J15"/>
    <mergeCell ref="Q15:R15"/>
    <mergeCell ref="Q12:R12"/>
    <mergeCell ref="F10:G10"/>
    <mergeCell ref="I10:J10"/>
    <mergeCell ref="L10:M10"/>
    <mergeCell ref="O10:P10"/>
    <mergeCell ref="I12:J12"/>
  </mergeCells>
  <phoneticPr fontId="2"/>
  <pageMargins left="0.7" right="0.7" top="0.75" bottom="0.75" header="0.3" footer="0.3"/>
  <pageSetup paperSize="9" orientation="portrait" verticalDpi="300" r:id="rId1"/>
  <headerFooter alignWithMargins="0"/>
  <rowBreaks count="1" manualBreakCount="1">
    <brk id="52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AS2713"/>
  <sheetViews>
    <sheetView view="pageBreakPreview" topLeftCell="A141" zoomScaleNormal="100" zoomScaleSheetLayoutView="100" workbookViewId="0">
      <selection activeCell="AA133" sqref="AA133"/>
    </sheetView>
  </sheetViews>
  <sheetFormatPr defaultColWidth="2.625" defaultRowHeight="12" x14ac:dyDescent="0.15"/>
  <cols>
    <col min="1" max="26" width="2.625" style="40" customWidth="1"/>
    <col min="27" max="27" width="2.5" style="40" customWidth="1"/>
    <col min="28" max="282" width="2.625" style="40"/>
    <col min="283" max="283" width="2.5" style="40" customWidth="1"/>
    <col min="284" max="538" width="2.625" style="40"/>
    <col min="539" max="539" width="2.5" style="40" customWidth="1"/>
    <col min="540" max="794" width="2.625" style="40"/>
    <col min="795" max="795" width="2.5" style="40" customWidth="1"/>
    <col min="796" max="1050" width="2.625" style="40"/>
    <col min="1051" max="1051" width="2.5" style="40" customWidth="1"/>
    <col min="1052" max="1306" width="2.625" style="40"/>
    <col min="1307" max="1307" width="2.5" style="40" customWidth="1"/>
    <col min="1308" max="1562" width="2.625" style="40"/>
    <col min="1563" max="1563" width="2.5" style="40" customWidth="1"/>
    <col min="1564" max="1818" width="2.625" style="40"/>
    <col min="1819" max="1819" width="2.5" style="40" customWidth="1"/>
    <col min="1820" max="2074" width="2.625" style="40"/>
    <col min="2075" max="2075" width="2.5" style="40" customWidth="1"/>
    <col min="2076" max="2330" width="2.625" style="40"/>
    <col min="2331" max="2331" width="2.5" style="40" customWidth="1"/>
    <col min="2332" max="2586" width="2.625" style="40"/>
    <col min="2587" max="2587" width="2.5" style="40" customWidth="1"/>
    <col min="2588" max="2842" width="2.625" style="40"/>
    <col min="2843" max="2843" width="2.5" style="40" customWidth="1"/>
    <col min="2844" max="3098" width="2.625" style="40"/>
    <col min="3099" max="3099" width="2.5" style="40" customWidth="1"/>
    <col min="3100" max="3354" width="2.625" style="40"/>
    <col min="3355" max="3355" width="2.5" style="40" customWidth="1"/>
    <col min="3356" max="3610" width="2.625" style="40"/>
    <col min="3611" max="3611" width="2.5" style="40" customWidth="1"/>
    <col min="3612" max="3866" width="2.625" style="40"/>
    <col min="3867" max="3867" width="2.5" style="40" customWidth="1"/>
    <col min="3868" max="4122" width="2.625" style="40"/>
    <col min="4123" max="4123" width="2.5" style="40" customWidth="1"/>
    <col min="4124" max="4378" width="2.625" style="40"/>
    <col min="4379" max="4379" width="2.5" style="40" customWidth="1"/>
    <col min="4380" max="4634" width="2.625" style="40"/>
    <col min="4635" max="4635" width="2.5" style="40" customWidth="1"/>
    <col min="4636" max="4890" width="2.625" style="40"/>
    <col min="4891" max="4891" width="2.5" style="40" customWidth="1"/>
    <col min="4892" max="5146" width="2.625" style="40"/>
    <col min="5147" max="5147" width="2.5" style="40" customWidth="1"/>
    <col min="5148" max="5402" width="2.625" style="40"/>
    <col min="5403" max="5403" width="2.5" style="40" customWidth="1"/>
    <col min="5404" max="5658" width="2.625" style="40"/>
    <col min="5659" max="5659" width="2.5" style="40" customWidth="1"/>
    <col min="5660" max="5914" width="2.625" style="40"/>
    <col min="5915" max="5915" width="2.5" style="40" customWidth="1"/>
    <col min="5916" max="6170" width="2.625" style="40"/>
    <col min="6171" max="6171" width="2.5" style="40" customWidth="1"/>
    <col min="6172" max="6426" width="2.625" style="40"/>
    <col min="6427" max="6427" width="2.5" style="40" customWidth="1"/>
    <col min="6428" max="6682" width="2.625" style="40"/>
    <col min="6683" max="6683" width="2.5" style="40" customWidth="1"/>
    <col min="6684" max="6938" width="2.625" style="40"/>
    <col min="6939" max="6939" width="2.5" style="40" customWidth="1"/>
    <col min="6940" max="7194" width="2.625" style="40"/>
    <col min="7195" max="7195" width="2.5" style="40" customWidth="1"/>
    <col min="7196" max="7450" width="2.625" style="40"/>
    <col min="7451" max="7451" width="2.5" style="40" customWidth="1"/>
    <col min="7452" max="7706" width="2.625" style="40"/>
    <col min="7707" max="7707" width="2.5" style="40" customWidth="1"/>
    <col min="7708" max="7962" width="2.625" style="40"/>
    <col min="7963" max="7963" width="2.5" style="40" customWidth="1"/>
    <col min="7964" max="8218" width="2.625" style="40"/>
    <col min="8219" max="8219" width="2.5" style="40" customWidth="1"/>
    <col min="8220" max="8474" width="2.625" style="40"/>
    <col min="8475" max="8475" width="2.5" style="40" customWidth="1"/>
    <col min="8476" max="8730" width="2.625" style="40"/>
    <col min="8731" max="8731" width="2.5" style="40" customWidth="1"/>
    <col min="8732" max="8986" width="2.625" style="40"/>
    <col min="8987" max="8987" width="2.5" style="40" customWidth="1"/>
    <col min="8988" max="9242" width="2.625" style="40"/>
    <col min="9243" max="9243" width="2.5" style="40" customWidth="1"/>
    <col min="9244" max="9498" width="2.625" style="40"/>
    <col min="9499" max="9499" width="2.5" style="40" customWidth="1"/>
    <col min="9500" max="9754" width="2.625" style="40"/>
    <col min="9755" max="9755" width="2.5" style="40" customWidth="1"/>
    <col min="9756" max="10010" width="2.625" style="40"/>
    <col min="10011" max="10011" width="2.5" style="40" customWidth="1"/>
    <col min="10012" max="10266" width="2.625" style="40"/>
    <col min="10267" max="10267" width="2.5" style="40" customWidth="1"/>
    <col min="10268" max="10522" width="2.625" style="40"/>
    <col min="10523" max="10523" width="2.5" style="40" customWidth="1"/>
    <col min="10524" max="10778" width="2.625" style="40"/>
    <col min="10779" max="10779" width="2.5" style="40" customWidth="1"/>
    <col min="10780" max="11034" width="2.625" style="40"/>
    <col min="11035" max="11035" width="2.5" style="40" customWidth="1"/>
    <col min="11036" max="11290" width="2.625" style="40"/>
    <col min="11291" max="11291" width="2.5" style="40" customWidth="1"/>
    <col min="11292" max="11546" width="2.625" style="40"/>
    <col min="11547" max="11547" width="2.5" style="40" customWidth="1"/>
    <col min="11548" max="11802" width="2.625" style="40"/>
    <col min="11803" max="11803" width="2.5" style="40" customWidth="1"/>
    <col min="11804" max="12058" width="2.625" style="40"/>
    <col min="12059" max="12059" width="2.5" style="40" customWidth="1"/>
    <col min="12060" max="12314" width="2.625" style="40"/>
    <col min="12315" max="12315" width="2.5" style="40" customWidth="1"/>
    <col min="12316" max="12570" width="2.625" style="40"/>
    <col min="12571" max="12571" width="2.5" style="40" customWidth="1"/>
    <col min="12572" max="12826" width="2.625" style="40"/>
    <col min="12827" max="12827" width="2.5" style="40" customWidth="1"/>
    <col min="12828" max="13082" width="2.625" style="40"/>
    <col min="13083" max="13083" width="2.5" style="40" customWidth="1"/>
    <col min="13084" max="13338" width="2.625" style="40"/>
    <col min="13339" max="13339" width="2.5" style="40" customWidth="1"/>
    <col min="13340" max="13594" width="2.625" style="40"/>
    <col min="13595" max="13595" width="2.5" style="40" customWidth="1"/>
    <col min="13596" max="13850" width="2.625" style="40"/>
    <col min="13851" max="13851" width="2.5" style="40" customWidth="1"/>
    <col min="13852" max="14106" width="2.625" style="40"/>
    <col min="14107" max="14107" width="2.5" style="40" customWidth="1"/>
    <col min="14108" max="14362" width="2.625" style="40"/>
    <col min="14363" max="14363" width="2.5" style="40" customWidth="1"/>
    <col min="14364" max="14618" width="2.625" style="40"/>
    <col min="14619" max="14619" width="2.5" style="40" customWidth="1"/>
    <col min="14620" max="14874" width="2.625" style="40"/>
    <col min="14875" max="14875" width="2.5" style="40" customWidth="1"/>
    <col min="14876" max="15130" width="2.625" style="40"/>
    <col min="15131" max="15131" width="2.5" style="40" customWidth="1"/>
    <col min="15132" max="15386" width="2.625" style="40"/>
    <col min="15387" max="15387" width="2.5" style="40" customWidth="1"/>
    <col min="15388" max="15642" width="2.625" style="40"/>
    <col min="15643" max="15643" width="2.5" style="40" customWidth="1"/>
    <col min="15644" max="15898" width="2.625" style="40"/>
    <col min="15899" max="15899" width="2.5" style="40" customWidth="1"/>
    <col min="15900" max="16154" width="2.625" style="40"/>
    <col min="16155" max="16155" width="2.5" style="40" customWidth="1"/>
    <col min="16156" max="16384" width="2.625" style="40"/>
  </cols>
  <sheetData>
    <row r="1" spans="2:24" ht="15" customHeight="1" x14ac:dyDescent="0.15"/>
    <row r="2" spans="2:24" s="32" customFormat="1" ht="15" customHeight="1" x14ac:dyDescent="0.15">
      <c r="B2" s="12" t="s">
        <v>398</v>
      </c>
      <c r="X2" s="33"/>
    </row>
    <row r="3" spans="2:24" ht="15" customHeight="1" x14ac:dyDescent="0.15"/>
    <row r="4" spans="2:24" ht="15" customHeight="1" x14ac:dyDescent="0.15">
      <c r="C4" s="41" t="s">
        <v>368</v>
      </c>
      <c r="D4" s="41"/>
    </row>
    <row r="5" spans="2:24" ht="15" customHeight="1" x14ac:dyDescent="0.15"/>
    <row r="6" spans="2:24" ht="15" customHeight="1" x14ac:dyDescent="0.15">
      <c r="D6" s="41" t="s">
        <v>369</v>
      </c>
    </row>
    <row r="7" spans="2:24" ht="15" customHeight="1" x14ac:dyDescent="0.15">
      <c r="E7" s="40" t="s">
        <v>253</v>
      </c>
    </row>
    <row r="8" spans="2:24" ht="15" customHeight="1" x14ac:dyDescent="0.15">
      <c r="E8" s="40" t="s">
        <v>254</v>
      </c>
    </row>
    <row r="9" spans="2:24" ht="15" customHeight="1" x14ac:dyDescent="0.15">
      <c r="E9" s="40" t="s">
        <v>255</v>
      </c>
      <c r="Q9" s="42"/>
      <c r="R9" s="42"/>
    </row>
    <row r="10" spans="2:24" ht="15" customHeight="1" x14ac:dyDescent="0.15">
      <c r="E10" s="40" t="s">
        <v>256</v>
      </c>
    </row>
    <row r="11" spans="2:24" ht="15" customHeight="1" x14ac:dyDescent="0.15"/>
    <row r="12" spans="2:24" ht="15" customHeight="1" x14ac:dyDescent="0.15"/>
    <row r="13" spans="2:24" ht="15" customHeight="1" x14ac:dyDescent="0.15"/>
    <row r="14" spans="2:24" ht="15" customHeight="1" x14ac:dyDescent="0.15"/>
    <row r="15" spans="2:24" ht="15" customHeight="1" x14ac:dyDescent="0.15"/>
    <row r="16" spans="2:24" ht="15" customHeight="1" x14ac:dyDescent="0.15"/>
    <row r="17" spans="4:21" ht="15" customHeight="1" x14ac:dyDescent="0.15"/>
    <row r="18" spans="4:21" ht="15" customHeight="1" x14ac:dyDescent="0.15"/>
    <row r="19" spans="4:21" ht="15" customHeight="1" x14ac:dyDescent="0.15"/>
    <row r="20" spans="4:21" ht="15" customHeight="1" x14ac:dyDescent="0.15"/>
    <row r="21" spans="4:21" ht="15" customHeight="1" x14ac:dyDescent="0.15"/>
    <row r="22" spans="4:21" ht="15" customHeight="1" x14ac:dyDescent="0.15"/>
    <row r="23" spans="4:21" ht="15" customHeight="1" x14ac:dyDescent="0.15"/>
    <row r="24" spans="4:21" ht="15" customHeight="1" x14ac:dyDescent="0.15"/>
    <row r="25" spans="4:21" ht="15" customHeight="1" x14ac:dyDescent="0.15">
      <c r="T25" s="42"/>
      <c r="U25" s="42"/>
    </row>
    <row r="26" spans="4:21" ht="15" customHeight="1" x14ac:dyDescent="0.15">
      <c r="T26" s="42"/>
      <c r="U26" s="42"/>
    </row>
    <row r="27" spans="4:21" ht="15" customHeight="1" x14ac:dyDescent="0.15">
      <c r="T27" s="42"/>
      <c r="U27" s="42"/>
    </row>
    <row r="28" spans="4:21" ht="15" customHeight="1" x14ac:dyDescent="0.15">
      <c r="T28" s="42"/>
      <c r="U28" s="42"/>
    </row>
    <row r="29" spans="4:21" ht="15" customHeight="1" x14ac:dyDescent="0.15">
      <c r="D29" s="41" t="s">
        <v>370</v>
      </c>
    </row>
    <row r="30" spans="4:21" ht="15" customHeight="1" x14ac:dyDescent="0.15">
      <c r="E30" s="40" t="s">
        <v>257</v>
      </c>
    </row>
    <row r="31" spans="4:21" ht="15" customHeight="1" x14ac:dyDescent="0.15">
      <c r="E31" s="40" t="s">
        <v>258</v>
      </c>
    </row>
    <row r="32" spans="4:21" ht="15" customHeight="1" x14ac:dyDescent="0.15"/>
    <row r="33" spans="4:19" ht="15" customHeight="1" x14ac:dyDescent="0.15">
      <c r="F33" s="40" t="s">
        <v>259</v>
      </c>
    </row>
    <row r="34" spans="4:19" ht="15" customHeight="1" x14ac:dyDescent="0.15"/>
    <row r="35" spans="4:19" ht="15" customHeight="1" x14ac:dyDescent="0.15">
      <c r="H35" s="43" t="s">
        <v>138</v>
      </c>
      <c r="J35" s="43" t="s">
        <v>260</v>
      </c>
      <c r="K35" s="44" t="s">
        <v>140</v>
      </c>
      <c r="L35" s="40" t="s">
        <v>261</v>
      </c>
    </row>
    <row r="36" spans="4:19" ht="15" customHeight="1" x14ac:dyDescent="0.15">
      <c r="J36" s="43" t="s">
        <v>262</v>
      </c>
      <c r="K36" s="44" t="s">
        <v>140</v>
      </c>
      <c r="L36" s="40" t="s">
        <v>263</v>
      </c>
    </row>
    <row r="37" spans="4:19" ht="15" customHeight="1" x14ac:dyDescent="0.15">
      <c r="J37" s="43"/>
      <c r="K37" s="44"/>
    </row>
    <row r="38" spans="4:19" ht="15" customHeight="1" x14ac:dyDescent="0.15">
      <c r="J38" s="43"/>
      <c r="K38" s="44"/>
    </row>
    <row r="39" spans="4:19" ht="15" customHeight="1" x14ac:dyDescent="0.15">
      <c r="J39" s="43"/>
      <c r="K39" s="44"/>
    </row>
    <row r="40" spans="4:19" ht="15" customHeight="1" x14ac:dyDescent="0.15">
      <c r="J40" s="43"/>
      <c r="K40" s="44"/>
    </row>
    <row r="41" spans="4:19" ht="15" customHeight="1" x14ac:dyDescent="0.15">
      <c r="J41" s="43"/>
      <c r="K41" s="44"/>
    </row>
    <row r="42" spans="4:19" ht="15" customHeight="1" x14ac:dyDescent="0.15">
      <c r="J42" s="43"/>
      <c r="K42" s="44"/>
    </row>
    <row r="43" spans="4:19" ht="15" customHeight="1" x14ac:dyDescent="0.15">
      <c r="J43" s="43"/>
      <c r="K43" s="44"/>
    </row>
    <row r="44" spans="4:19" ht="15" customHeight="1" x14ac:dyDescent="0.15">
      <c r="D44" s="41" t="s">
        <v>371</v>
      </c>
      <c r="R44" s="45"/>
      <c r="S44" s="45"/>
    </row>
    <row r="45" spans="4:19" ht="15" customHeight="1" x14ac:dyDescent="0.15">
      <c r="E45" s="40" t="s">
        <v>264</v>
      </c>
    </row>
    <row r="46" spans="4:19" ht="15" customHeight="1" x14ac:dyDescent="0.15">
      <c r="E46" s="40" t="s">
        <v>265</v>
      </c>
    </row>
    <row r="47" spans="4:19" ht="15" customHeight="1" x14ac:dyDescent="0.15"/>
    <row r="48" spans="4:19" ht="15" customHeight="1" x14ac:dyDescent="0.15">
      <c r="F48" s="40" t="s">
        <v>290</v>
      </c>
    </row>
    <row r="49" spans="8:11" ht="15" customHeight="1" x14ac:dyDescent="0.15"/>
    <row r="50" spans="8:11" ht="15" customHeight="1" x14ac:dyDescent="0.15">
      <c r="H50" s="43"/>
      <c r="J50" s="43"/>
      <c r="K50" s="44"/>
    </row>
    <row r="51" spans="8:11" ht="15" customHeight="1" x14ac:dyDescent="0.15">
      <c r="J51" s="43"/>
      <c r="K51" s="44"/>
    </row>
    <row r="52" spans="8:11" ht="15" customHeight="1" x14ac:dyDescent="0.15"/>
    <row r="53" spans="8:11" ht="15" customHeight="1" x14ac:dyDescent="0.15"/>
    <row r="54" spans="8:11" ht="15" customHeight="1" x14ac:dyDescent="0.15"/>
    <row r="55" spans="8:11" ht="15" customHeight="1" x14ac:dyDescent="0.15"/>
    <row r="56" spans="8:11" ht="15" customHeight="1" x14ac:dyDescent="0.15"/>
    <row r="57" spans="8:11" ht="15" customHeight="1" x14ac:dyDescent="0.15"/>
    <row r="58" spans="8:11" ht="15" customHeight="1" x14ac:dyDescent="0.15"/>
    <row r="59" spans="8:11" ht="15" customHeight="1" x14ac:dyDescent="0.15"/>
    <row r="60" spans="8:11" ht="15" customHeight="1" x14ac:dyDescent="0.15"/>
    <row r="61" spans="8:11" ht="15" customHeight="1" x14ac:dyDescent="0.15"/>
    <row r="62" spans="8:11" ht="15" customHeight="1" x14ac:dyDescent="0.15"/>
    <row r="63" spans="8:11" ht="15" customHeight="1" x14ac:dyDescent="0.15"/>
    <row r="64" spans="8:11" ht="15" customHeight="1" x14ac:dyDescent="0.15"/>
    <row r="65" spans="5:11" ht="15" customHeight="1" x14ac:dyDescent="0.15"/>
    <row r="66" spans="5:11" ht="15" customHeight="1" x14ac:dyDescent="0.15">
      <c r="K66" s="40" t="s">
        <v>291</v>
      </c>
    </row>
    <row r="67" spans="5:11" ht="15" customHeight="1" x14ac:dyDescent="0.15"/>
    <row r="68" spans="5:11" ht="15" customHeight="1" x14ac:dyDescent="0.15"/>
    <row r="69" spans="5:11" ht="15" customHeight="1" x14ac:dyDescent="0.15"/>
    <row r="70" spans="5:11" ht="15" customHeight="1" x14ac:dyDescent="0.15"/>
    <row r="71" spans="5:11" ht="15" customHeight="1" x14ac:dyDescent="0.15"/>
    <row r="72" spans="5:11" ht="15" customHeight="1" x14ac:dyDescent="0.15"/>
    <row r="73" spans="5:11" ht="15" customHeight="1" x14ac:dyDescent="0.15"/>
    <row r="74" spans="5:11" ht="15" customHeight="1" x14ac:dyDescent="0.15"/>
    <row r="75" spans="5:11" ht="15" customHeight="1" x14ac:dyDescent="0.15"/>
    <row r="76" spans="5:11" ht="15" customHeight="1" x14ac:dyDescent="0.15"/>
    <row r="77" spans="5:11" ht="15" customHeight="1" x14ac:dyDescent="0.15"/>
    <row r="78" spans="5:11" ht="15" customHeight="1" x14ac:dyDescent="0.15"/>
    <row r="79" spans="5:11" ht="15" customHeight="1" x14ac:dyDescent="0.15">
      <c r="E79" s="41" t="s">
        <v>372</v>
      </c>
    </row>
    <row r="80" spans="5:11" ht="8.25" customHeight="1" x14ac:dyDescent="0.15"/>
    <row r="81" spans="3:33" s="47" customFormat="1" ht="15" customHeight="1" x14ac:dyDescent="0.15">
      <c r="C81" s="40"/>
      <c r="F81" s="218" t="s">
        <v>292</v>
      </c>
      <c r="G81" s="218"/>
      <c r="H81" s="218"/>
      <c r="I81" s="48" t="s">
        <v>293</v>
      </c>
      <c r="J81" s="219"/>
      <c r="K81" s="221" t="s">
        <v>294</v>
      </c>
      <c r="L81" s="221"/>
      <c r="M81" s="218" t="s">
        <v>2</v>
      </c>
      <c r="N81" s="48" t="s">
        <v>295</v>
      </c>
      <c r="O81" s="219"/>
    </row>
    <row r="82" spans="3:33" s="47" customFormat="1" ht="15" customHeight="1" x14ac:dyDescent="0.15">
      <c r="C82" s="40"/>
      <c r="F82" s="218"/>
      <c r="G82" s="218"/>
      <c r="H82" s="218"/>
      <c r="I82" s="49" t="s">
        <v>296</v>
      </c>
      <c r="J82" s="220"/>
      <c r="K82" s="221"/>
      <c r="L82" s="221"/>
      <c r="M82" s="218"/>
      <c r="N82" s="49" t="s">
        <v>297</v>
      </c>
      <c r="O82" s="220"/>
    </row>
    <row r="83" spans="3:33" s="47" customFormat="1" ht="6.75" customHeight="1" x14ac:dyDescent="0.15">
      <c r="C83" s="40"/>
    </row>
    <row r="84" spans="3:33" s="47" customFormat="1" ht="15" customHeight="1" x14ac:dyDescent="0.15">
      <c r="C84" s="40"/>
      <c r="G84" s="50" t="s">
        <v>41</v>
      </c>
      <c r="H84" s="47" t="s">
        <v>293</v>
      </c>
      <c r="I84" s="47" t="s">
        <v>140</v>
      </c>
      <c r="J84" s="47" t="s">
        <v>298</v>
      </c>
      <c r="Q84" s="50" t="s">
        <v>299</v>
      </c>
      <c r="R84" s="212">
        <v>2700</v>
      </c>
      <c r="S84" s="212"/>
      <c r="T84" s="212"/>
      <c r="U84" s="47" t="s">
        <v>300</v>
      </c>
      <c r="V84" s="212">
        <v>2700</v>
      </c>
      <c r="W84" s="212"/>
      <c r="X84" s="212"/>
      <c r="Y84" s="51">
        <v>3</v>
      </c>
      <c r="Z84" s="47" t="s">
        <v>4</v>
      </c>
      <c r="AA84" s="52">
        <v>12</v>
      </c>
      <c r="AB84" s="52"/>
      <c r="AC84" s="47" t="s">
        <v>6</v>
      </c>
      <c r="AD84" s="213">
        <f>R84*(V84^Y84)/AA84</f>
        <v>4428675000000</v>
      </c>
      <c r="AE84" s="213"/>
      <c r="AF84" s="213"/>
      <c r="AG84" s="213"/>
    </row>
    <row r="85" spans="3:33" s="47" customFormat="1" ht="15" customHeight="1" x14ac:dyDescent="0.15">
      <c r="C85" s="40"/>
      <c r="H85" s="47" t="s">
        <v>296</v>
      </c>
      <c r="I85" s="47" t="s">
        <v>140</v>
      </c>
      <c r="J85" s="47" t="s">
        <v>301</v>
      </c>
      <c r="Q85" s="50" t="s">
        <v>299</v>
      </c>
      <c r="R85" s="214">
        <f>V84/2</f>
        <v>1350</v>
      </c>
      <c r="S85" s="214"/>
      <c r="T85" s="214"/>
      <c r="U85" s="47" t="s">
        <v>302</v>
      </c>
      <c r="V85" s="47" t="s">
        <v>3</v>
      </c>
    </row>
    <row r="86" spans="3:33" s="47" customFormat="1" ht="15" customHeight="1" x14ac:dyDescent="0.15">
      <c r="C86" s="40"/>
      <c r="H86" s="50" t="s">
        <v>294</v>
      </c>
      <c r="I86" s="47" t="s">
        <v>6</v>
      </c>
      <c r="J86" s="47" t="s">
        <v>303</v>
      </c>
      <c r="S86" s="47" t="s">
        <v>304</v>
      </c>
    </row>
    <row r="87" spans="3:33" s="47" customFormat="1" ht="7.5" customHeight="1" x14ac:dyDescent="0.15">
      <c r="C87" s="40"/>
    </row>
    <row r="88" spans="3:33" s="47" customFormat="1" ht="15" customHeight="1" x14ac:dyDescent="0.15">
      <c r="C88" s="40"/>
      <c r="I88" s="50" t="s">
        <v>41</v>
      </c>
      <c r="J88" s="215" t="s">
        <v>305</v>
      </c>
      <c r="K88" s="215"/>
      <c r="L88" s="216" t="s">
        <v>306</v>
      </c>
      <c r="M88" s="217">
        <v>1</v>
      </c>
      <c r="N88" s="217"/>
      <c r="O88" s="217"/>
      <c r="P88" s="217"/>
      <c r="Q88" s="217"/>
      <c r="R88" s="217"/>
    </row>
    <row r="89" spans="3:33" s="47" customFormat="1" ht="15" customHeight="1" x14ac:dyDescent="0.15">
      <c r="C89" s="40"/>
      <c r="J89" s="215"/>
      <c r="K89" s="215"/>
      <c r="L89" s="216"/>
      <c r="M89" s="218" t="s">
        <v>307</v>
      </c>
      <c r="N89" s="218"/>
      <c r="O89" s="218"/>
      <c r="P89" s="218"/>
      <c r="Q89" s="218"/>
      <c r="R89" s="218"/>
    </row>
    <row r="90" spans="3:33" s="47" customFormat="1" ht="20.100000000000001" customHeight="1" x14ac:dyDescent="0.15">
      <c r="C90" s="40"/>
      <c r="K90" s="50" t="s">
        <v>41</v>
      </c>
      <c r="L90" s="47" t="s">
        <v>308</v>
      </c>
      <c r="M90" s="47" t="s">
        <v>140</v>
      </c>
      <c r="N90" s="47" t="s">
        <v>309</v>
      </c>
      <c r="T90" s="50" t="s">
        <v>299</v>
      </c>
      <c r="U90" s="227">
        <f>V84</f>
        <v>2700</v>
      </c>
      <c r="V90" s="227"/>
      <c r="W90" s="227"/>
      <c r="X90" s="47" t="s">
        <v>310</v>
      </c>
    </row>
    <row r="91" spans="3:33" s="47" customFormat="1" ht="20.100000000000001" customHeight="1" x14ac:dyDescent="0.2">
      <c r="C91" s="40"/>
      <c r="L91" s="50" t="s">
        <v>311</v>
      </c>
      <c r="M91" s="47" t="s">
        <v>140</v>
      </c>
      <c r="N91" s="47" t="s">
        <v>312</v>
      </c>
    </row>
    <row r="92" spans="3:33" s="47" customFormat="1" ht="20.100000000000001" customHeight="1" x14ac:dyDescent="0.2">
      <c r="C92" s="40"/>
      <c r="M92" s="50" t="s">
        <v>41</v>
      </c>
      <c r="N92" s="47" t="s">
        <v>313</v>
      </c>
      <c r="O92" s="47" t="s">
        <v>6</v>
      </c>
      <c r="P92" s="47" t="s">
        <v>314</v>
      </c>
    </row>
    <row r="93" spans="3:33" s="47" customFormat="1" ht="20.100000000000001" customHeight="1" x14ac:dyDescent="0.2">
      <c r="C93" s="40"/>
      <c r="N93" s="50"/>
      <c r="O93" s="50" t="s">
        <v>315</v>
      </c>
      <c r="P93" s="47" t="s">
        <v>140</v>
      </c>
      <c r="Q93" s="47" t="s">
        <v>316</v>
      </c>
      <c r="Y93" s="50" t="s">
        <v>299</v>
      </c>
      <c r="Z93" s="212">
        <v>25</v>
      </c>
      <c r="AA93" s="212"/>
      <c r="AB93" s="47" t="s">
        <v>310</v>
      </c>
    </row>
    <row r="94" spans="3:33" s="47" customFormat="1" ht="20.100000000000001" customHeight="1" x14ac:dyDescent="0.15">
      <c r="C94" s="40"/>
      <c r="O94" s="50" t="s">
        <v>317</v>
      </c>
      <c r="P94" s="47" t="s">
        <v>140</v>
      </c>
      <c r="Q94" s="47" t="s">
        <v>318</v>
      </c>
    </row>
    <row r="95" spans="3:33" s="47" customFormat="1" ht="20.100000000000001" customHeight="1" x14ac:dyDescent="0.15">
      <c r="C95" s="40"/>
      <c r="P95" s="50" t="s">
        <v>319</v>
      </c>
      <c r="Q95" s="228">
        <v>27</v>
      </c>
      <c r="R95" s="228"/>
      <c r="S95" s="47" t="s">
        <v>300</v>
      </c>
      <c r="T95" s="229">
        <v>1</v>
      </c>
      <c r="U95" s="229"/>
      <c r="V95" s="47" t="s">
        <v>6</v>
      </c>
      <c r="W95" s="230">
        <f>ROUND(Q95*T95,1)</f>
        <v>27</v>
      </c>
      <c r="X95" s="230"/>
      <c r="Y95" s="47" t="s">
        <v>320</v>
      </c>
      <c r="AB95" s="47" t="s">
        <v>321</v>
      </c>
    </row>
    <row r="96" spans="3:33" s="47" customFormat="1" ht="20.100000000000001" customHeight="1" x14ac:dyDescent="0.2">
      <c r="C96" s="40"/>
      <c r="M96" s="47" t="s">
        <v>322</v>
      </c>
      <c r="N96" s="47" t="s">
        <v>313</v>
      </c>
      <c r="O96" s="47" t="s">
        <v>6</v>
      </c>
      <c r="P96" s="231">
        <f>1/100</f>
        <v>0.01</v>
      </c>
      <c r="Q96" s="231"/>
      <c r="R96" s="231"/>
      <c r="S96" s="47" t="s">
        <v>300</v>
      </c>
      <c r="T96" s="232">
        <f>Z93</f>
        <v>25</v>
      </c>
      <c r="U96" s="232"/>
      <c r="V96" s="226">
        <v>0.33333333333333331</v>
      </c>
      <c r="W96" s="226"/>
      <c r="X96" s="47" t="s">
        <v>300</v>
      </c>
      <c r="Y96" s="225">
        <f>W95</f>
        <v>27</v>
      </c>
      <c r="Z96" s="225"/>
      <c r="AA96" s="226">
        <v>0.33333333333333331</v>
      </c>
      <c r="AB96" s="226"/>
      <c r="AC96" s="47" t="s">
        <v>6</v>
      </c>
      <c r="AD96" s="222">
        <f>ROUND(P96*(T96^V96)*(Y96^AA96),4)</f>
        <v>8.77E-2</v>
      </c>
      <c r="AE96" s="222"/>
      <c r="AF96" s="222"/>
    </row>
    <row r="97" spans="3:45" s="47" customFormat="1" ht="20.100000000000001" customHeight="1" x14ac:dyDescent="0.2">
      <c r="C97" s="40"/>
      <c r="N97" s="50" t="s">
        <v>323</v>
      </c>
      <c r="O97" s="47" t="s">
        <v>140</v>
      </c>
      <c r="P97" s="47" t="s">
        <v>324</v>
      </c>
      <c r="Y97" s="50" t="s">
        <v>299</v>
      </c>
      <c r="Z97" s="223">
        <v>26.5</v>
      </c>
      <c r="AA97" s="223"/>
      <c r="AB97" s="223"/>
      <c r="AC97" s="47" t="s">
        <v>325</v>
      </c>
    </row>
    <row r="98" spans="3:45" s="47" customFormat="1" ht="20.100000000000001" customHeight="1" x14ac:dyDescent="0.2">
      <c r="C98" s="40"/>
      <c r="N98" s="50" t="s">
        <v>326</v>
      </c>
      <c r="O98" s="47" t="s">
        <v>140</v>
      </c>
      <c r="P98" s="47" t="s">
        <v>327</v>
      </c>
    </row>
    <row r="99" spans="3:45" s="47" customFormat="1" ht="20.100000000000001" customHeight="1" x14ac:dyDescent="0.15">
      <c r="C99" s="40"/>
      <c r="O99" s="50" t="s">
        <v>319</v>
      </c>
      <c r="P99" s="224" t="s">
        <v>328</v>
      </c>
      <c r="Q99" s="224"/>
      <c r="R99" s="224"/>
      <c r="S99" s="224"/>
      <c r="T99" s="224"/>
      <c r="U99" s="47" t="s">
        <v>6</v>
      </c>
      <c r="V99" s="220">
        <v>0.23</v>
      </c>
      <c r="W99" s="220"/>
      <c r="X99" s="47" t="s">
        <v>300</v>
      </c>
      <c r="Y99" s="225">
        <f>Y96</f>
        <v>27</v>
      </c>
      <c r="Z99" s="225"/>
      <c r="AA99" s="226">
        <f>2/3</f>
        <v>0.66666666666666663</v>
      </c>
      <c r="AB99" s="226"/>
      <c r="AC99" s="47" t="s">
        <v>6</v>
      </c>
      <c r="AD99" s="220">
        <f>ROUND(V99*(Y99^AA99),2)</f>
        <v>2.0699999999999998</v>
      </c>
      <c r="AE99" s="220"/>
      <c r="AF99" s="220"/>
      <c r="AG99" s="47" t="s">
        <v>3</v>
      </c>
    </row>
    <row r="100" spans="3:45" s="47" customFormat="1" ht="20.100000000000001" customHeight="1" x14ac:dyDescent="0.15">
      <c r="C100" s="40"/>
      <c r="L100" s="50" t="s">
        <v>329</v>
      </c>
      <c r="M100" s="47" t="s">
        <v>6</v>
      </c>
      <c r="N100" s="233">
        <v>1000</v>
      </c>
      <c r="O100" s="233"/>
      <c r="P100" s="233"/>
      <c r="Q100" s="47" t="s">
        <v>300</v>
      </c>
      <c r="R100" s="222">
        <f>AD96</f>
        <v>8.77E-2</v>
      </c>
      <c r="S100" s="222"/>
      <c r="T100" s="222"/>
      <c r="U100" s="47" t="s">
        <v>300</v>
      </c>
      <c r="V100" s="230">
        <f>Z97</f>
        <v>26.5</v>
      </c>
      <c r="W100" s="230"/>
      <c r="X100" s="230"/>
      <c r="Y100" s="47" t="s">
        <v>4</v>
      </c>
      <c r="Z100" s="234">
        <f>AD99</f>
        <v>2.0699999999999998</v>
      </c>
      <c r="AA100" s="234"/>
      <c r="AB100" s="53">
        <v>2</v>
      </c>
      <c r="AC100" s="47" t="s">
        <v>6</v>
      </c>
      <c r="AD100" s="233">
        <f>N100*R100*V100/(Z100^AB100)</f>
        <v>542.38138579663485</v>
      </c>
      <c r="AE100" s="233"/>
      <c r="AF100" s="233"/>
    </row>
    <row r="101" spans="3:45" s="47" customFormat="1" ht="15" customHeight="1" x14ac:dyDescent="0.15">
      <c r="C101" s="40"/>
      <c r="I101" s="216" t="s">
        <v>322</v>
      </c>
      <c r="J101" s="215" t="s">
        <v>305</v>
      </c>
      <c r="K101" s="215"/>
      <c r="L101" s="235">
        <v>1</v>
      </c>
      <c r="M101" s="218" t="s">
        <v>2</v>
      </c>
      <c r="N101" s="217">
        <v>1</v>
      </c>
      <c r="O101" s="217"/>
      <c r="P101" s="217"/>
      <c r="Q101" s="217"/>
      <c r="R101" s="217"/>
      <c r="S101" s="217"/>
      <c r="T101" s="217"/>
      <c r="U101" s="217"/>
      <c r="V101" s="217"/>
      <c r="W101" s="217"/>
      <c r="X101" s="217"/>
      <c r="Y101" s="217"/>
      <c r="Z101" s="218" t="s">
        <v>6</v>
      </c>
      <c r="AA101" s="215">
        <f>ROUND(L101+N101/(N102+Q102*T102/W102),2)</f>
        <v>1.04</v>
      </c>
      <c r="AB101" s="215"/>
      <c r="AC101" s="215"/>
    </row>
    <row r="102" spans="3:45" s="47" customFormat="1" ht="15" customHeight="1" x14ac:dyDescent="0.15">
      <c r="C102" s="40"/>
      <c r="I102" s="216"/>
      <c r="J102" s="215"/>
      <c r="K102" s="215"/>
      <c r="L102" s="235"/>
      <c r="M102" s="218"/>
      <c r="N102" s="218">
        <v>0.85</v>
      </c>
      <c r="O102" s="218"/>
      <c r="P102" s="54" t="s">
        <v>300</v>
      </c>
      <c r="Q102" s="215">
        <v>4.5</v>
      </c>
      <c r="R102" s="215"/>
      <c r="S102" s="54" t="s">
        <v>1</v>
      </c>
      <c r="T102" s="237">
        <f>U90</f>
        <v>2700</v>
      </c>
      <c r="U102" s="215"/>
      <c r="V102" s="54" t="s">
        <v>4</v>
      </c>
      <c r="W102" s="238">
        <f>AD100</f>
        <v>542.38138579663485</v>
      </c>
      <c r="X102" s="215"/>
      <c r="Y102" s="54" t="s">
        <v>3</v>
      </c>
      <c r="Z102" s="218"/>
      <c r="AA102" s="215"/>
      <c r="AB102" s="215"/>
      <c r="AC102" s="215"/>
    </row>
    <row r="103" spans="3:45" s="47" customFormat="1" ht="20.100000000000001" customHeight="1" x14ac:dyDescent="0.15">
      <c r="C103" s="40"/>
      <c r="J103" s="50" t="s">
        <v>330</v>
      </c>
      <c r="K103" s="50" t="s">
        <v>6</v>
      </c>
      <c r="L103" s="230">
        <v>1</v>
      </c>
      <c r="M103" s="230"/>
      <c r="N103" s="230"/>
    </row>
    <row r="104" spans="3:45" s="47" customFormat="1" ht="20.100000000000001" customHeight="1" x14ac:dyDescent="0.15">
      <c r="C104" s="40"/>
      <c r="I104" s="50" t="s">
        <v>331</v>
      </c>
      <c r="J104" s="50" t="s">
        <v>6</v>
      </c>
      <c r="K104" s="236">
        <f>AA101</f>
        <v>1.04</v>
      </c>
      <c r="L104" s="236"/>
      <c r="M104" s="236"/>
      <c r="N104" s="47" t="s">
        <v>300</v>
      </c>
      <c r="O104" s="230">
        <f>L103</f>
        <v>1</v>
      </c>
      <c r="P104" s="230"/>
      <c r="Q104" s="230"/>
      <c r="R104" s="47" t="s">
        <v>300</v>
      </c>
      <c r="S104" s="236">
        <f>AD99</f>
        <v>2.0699999999999998</v>
      </c>
      <c r="T104" s="236"/>
      <c r="U104" s="236"/>
      <c r="V104" s="50" t="s">
        <v>6</v>
      </c>
      <c r="W104" s="236">
        <f>ROUND(K104*O104*S104,2)</f>
        <v>2.15</v>
      </c>
      <c r="X104" s="236"/>
      <c r="Y104" s="236"/>
      <c r="Z104" s="47" t="s">
        <v>332</v>
      </c>
    </row>
    <row r="105" spans="3:45" s="47" customFormat="1" ht="20.100000000000001" customHeight="1" x14ac:dyDescent="0.15">
      <c r="C105" s="40"/>
      <c r="I105" s="50" t="s">
        <v>333</v>
      </c>
      <c r="J105" s="47" t="s">
        <v>140</v>
      </c>
      <c r="K105" s="47" t="s">
        <v>334</v>
      </c>
      <c r="S105" s="50" t="s">
        <v>299</v>
      </c>
      <c r="T105" s="223">
        <v>0</v>
      </c>
      <c r="U105" s="223"/>
      <c r="V105" s="223"/>
      <c r="W105" s="223"/>
      <c r="X105" s="47" t="s">
        <v>335</v>
      </c>
    </row>
    <row r="106" spans="3:45" s="47" customFormat="1" ht="20.100000000000001" customHeight="1" x14ac:dyDescent="0.15">
      <c r="C106" s="40"/>
      <c r="I106" s="50" t="s">
        <v>336</v>
      </c>
      <c r="J106" s="47" t="s">
        <v>140</v>
      </c>
      <c r="K106" s="47" t="s">
        <v>337</v>
      </c>
      <c r="N106" s="50" t="s">
        <v>299</v>
      </c>
      <c r="O106" s="227">
        <f>R84</f>
        <v>2700</v>
      </c>
      <c r="P106" s="227"/>
      <c r="Q106" s="227"/>
      <c r="R106" s="47" t="s">
        <v>300</v>
      </c>
      <c r="S106" s="227">
        <f>V84</f>
        <v>2700</v>
      </c>
      <c r="T106" s="227"/>
      <c r="U106" s="227"/>
      <c r="W106" s="47" t="s">
        <v>6</v>
      </c>
      <c r="X106" s="213">
        <f>O106*S106</f>
        <v>7290000</v>
      </c>
      <c r="Y106" s="213"/>
      <c r="Z106" s="213"/>
      <c r="AA106" s="213"/>
      <c r="AB106" s="47" t="s">
        <v>338</v>
      </c>
    </row>
    <row r="107" spans="3:45" s="47" customFormat="1" ht="15" customHeight="1" x14ac:dyDescent="0.15">
      <c r="C107" s="40"/>
      <c r="F107" s="216" t="s">
        <v>339</v>
      </c>
      <c r="G107" s="216"/>
      <c r="H107" s="216"/>
      <c r="I107" s="216"/>
      <c r="J107" s="243">
        <f>AD84</f>
        <v>4428675000000</v>
      </c>
      <c r="K107" s="243"/>
      <c r="L107" s="243"/>
      <c r="M107" s="243"/>
      <c r="N107" s="218" t="s">
        <v>300</v>
      </c>
      <c r="O107" s="216">
        <f>W104</f>
        <v>2.15</v>
      </c>
      <c r="P107" s="216"/>
      <c r="Q107" s="216"/>
      <c r="R107" s="218" t="s">
        <v>2</v>
      </c>
      <c r="S107" s="243">
        <f>T105*1000</f>
        <v>0</v>
      </c>
      <c r="T107" s="243"/>
      <c r="U107" s="243"/>
      <c r="V107" s="243"/>
      <c r="W107" s="218"/>
      <c r="X107" s="218" t="s">
        <v>6</v>
      </c>
      <c r="Y107" s="239">
        <f>(O107+S107/S108)*J107/J108</f>
        <v>7053075000</v>
      </c>
      <c r="Z107" s="239"/>
      <c r="AA107" s="239"/>
      <c r="AB107" s="239"/>
      <c r="AC107" s="47" t="s">
        <v>340</v>
      </c>
    </row>
    <row r="108" spans="3:45" s="47" customFormat="1" ht="15" customHeight="1" x14ac:dyDescent="0.15">
      <c r="C108" s="40"/>
      <c r="F108" s="216"/>
      <c r="G108" s="216"/>
      <c r="H108" s="216"/>
      <c r="I108" s="216"/>
      <c r="J108" s="240">
        <f>R85</f>
        <v>1350</v>
      </c>
      <c r="K108" s="240"/>
      <c r="L108" s="240"/>
      <c r="M108" s="240"/>
      <c r="N108" s="218"/>
      <c r="O108" s="216"/>
      <c r="P108" s="216"/>
      <c r="Q108" s="216"/>
      <c r="R108" s="218"/>
      <c r="S108" s="241">
        <f>X106</f>
        <v>7290000</v>
      </c>
      <c r="T108" s="241"/>
      <c r="U108" s="241"/>
      <c r="V108" s="241"/>
      <c r="W108" s="218"/>
      <c r="X108" s="218"/>
      <c r="Y108" s="239"/>
      <c r="Z108" s="239"/>
      <c r="AA108" s="239"/>
      <c r="AB108" s="239"/>
    </row>
    <row r="109" spans="3:45" s="47" customFormat="1" ht="15" customHeight="1" x14ac:dyDescent="0.15">
      <c r="C109" s="40"/>
      <c r="F109" s="55"/>
      <c r="G109" s="55"/>
      <c r="H109" s="55"/>
      <c r="I109" s="218" t="s">
        <v>6</v>
      </c>
      <c r="J109" s="242">
        <f>Y107/1000000</f>
        <v>7053.0749999999998</v>
      </c>
      <c r="K109" s="242"/>
      <c r="L109" s="242"/>
      <c r="M109" s="242"/>
      <c r="N109" s="47" t="s">
        <v>22</v>
      </c>
      <c r="O109" s="55"/>
      <c r="P109" s="55"/>
      <c r="Q109" s="55"/>
      <c r="R109" s="49"/>
      <c r="S109" s="56"/>
      <c r="T109" s="56"/>
      <c r="U109" s="56"/>
      <c r="V109" s="56"/>
      <c r="W109" s="49"/>
      <c r="X109" s="49"/>
      <c r="Y109" s="57"/>
      <c r="Z109" s="57"/>
      <c r="AA109" s="57"/>
      <c r="AB109" s="57"/>
      <c r="AO109" s="49"/>
      <c r="AP109" s="58"/>
      <c r="AQ109" s="58"/>
      <c r="AR109" s="58"/>
      <c r="AS109" s="58"/>
    </row>
    <row r="110" spans="3:45" s="47" customFormat="1" ht="15" customHeight="1" x14ac:dyDescent="0.15">
      <c r="C110" s="40"/>
      <c r="F110" s="55"/>
      <c r="G110" s="55"/>
      <c r="H110" s="55"/>
      <c r="I110" s="218"/>
      <c r="J110" s="242"/>
      <c r="K110" s="242"/>
      <c r="L110" s="242"/>
      <c r="M110" s="242"/>
      <c r="O110" s="55"/>
      <c r="P110" s="55"/>
      <c r="Q110" s="55"/>
      <c r="R110" s="49"/>
      <c r="S110" s="56"/>
      <c r="T110" s="56"/>
      <c r="U110" s="56"/>
      <c r="V110" s="56"/>
      <c r="W110" s="49"/>
      <c r="X110" s="49"/>
      <c r="Y110" s="57"/>
      <c r="Z110" s="57"/>
      <c r="AA110" s="57"/>
      <c r="AB110" s="57"/>
      <c r="AO110" s="49"/>
      <c r="AP110" s="58"/>
      <c r="AQ110" s="58"/>
      <c r="AR110" s="58"/>
      <c r="AS110" s="58"/>
    </row>
    <row r="111" spans="3:45" s="47" customFormat="1" ht="15" customHeight="1" x14ac:dyDescent="0.15">
      <c r="C111" s="40"/>
      <c r="F111" s="80"/>
      <c r="G111" s="80"/>
      <c r="H111" s="80"/>
      <c r="I111" s="81"/>
      <c r="J111" s="83"/>
      <c r="K111" s="83"/>
      <c r="L111" s="83"/>
      <c r="M111" s="83"/>
      <c r="O111" s="80"/>
      <c r="P111" s="80"/>
      <c r="Q111" s="80"/>
      <c r="R111" s="81"/>
      <c r="S111" s="79"/>
      <c r="T111" s="79"/>
      <c r="U111" s="79"/>
      <c r="V111" s="79"/>
      <c r="W111" s="81"/>
      <c r="X111" s="81"/>
      <c r="Y111" s="82"/>
      <c r="Z111" s="82"/>
      <c r="AA111" s="82"/>
      <c r="AB111" s="82"/>
      <c r="AO111" s="81"/>
      <c r="AP111" s="83"/>
      <c r="AQ111" s="83"/>
      <c r="AR111" s="83"/>
      <c r="AS111" s="83"/>
    </row>
    <row r="112" spans="3:45" s="61" customFormat="1" ht="15.75" customHeight="1" x14ac:dyDescent="0.15">
      <c r="E112" s="65" t="s">
        <v>373</v>
      </c>
    </row>
    <row r="113" spans="4:33" s="61" customFormat="1" ht="15.75" customHeight="1" x14ac:dyDescent="0.15">
      <c r="E113" s="65"/>
    </row>
    <row r="114" spans="4:33" s="61" customFormat="1" ht="15.75" customHeight="1" x14ac:dyDescent="0.15">
      <c r="F114" s="244" t="s">
        <v>358</v>
      </c>
      <c r="G114" s="244"/>
      <c r="H114" s="84" t="s">
        <v>357</v>
      </c>
      <c r="I114" s="266">
        <v>373.96</v>
      </c>
      <c r="J114" s="266"/>
      <c r="K114" s="266"/>
      <c r="L114" s="244" t="s">
        <v>359</v>
      </c>
      <c r="M114" s="244"/>
      <c r="N114" s="244"/>
    </row>
    <row r="115" spans="4:33" s="61" customFormat="1" ht="15.75" customHeight="1" x14ac:dyDescent="0.15"/>
    <row r="116" spans="4:33" s="61" customFormat="1" ht="15.75" customHeight="1" x14ac:dyDescent="0.15"/>
    <row r="117" spans="4:33" s="61" customFormat="1" ht="15.75" customHeight="1" x14ac:dyDescent="0.15">
      <c r="E117" s="65" t="s">
        <v>374</v>
      </c>
    </row>
    <row r="118" spans="4:33" s="61" customFormat="1" ht="15.75" customHeight="1" x14ac:dyDescent="0.15">
      <c r="E118" s="65"/>
    </row>
    <row r="119" spans="4:33" s="61" customFormat="1" ht="15.75" customHeight="1" x14ac:dyDescent="0.15">
      <c r="F119" s="61" t="s">
        <v>375</v>
      </c>
    </row>
    <row r="120" spans="4:33" s="61" customFormat="1" ht="15.75" customHeight="1" x14ac:dyDescent="0.15"/>
    <row r="121" spans="4:33" s="61" customFormat="1" ht="15.75" customHeight="1" thickBot="1" x14ac:dyDescent="0.2">
      <c r="D121" s="61" t="s">
        <v>376</v>
      </c>
    </row>
    <row r="122" spans="4:33" s="61" customFormat="1" ht="15.75" customHeight="1" thickBot="1" x14ac:dyDescent="0.2">
      <c r="D122" s="256" t="s">
        <v>377</v>
      </c>
      <c r="E122" s="256"/>
      <c r="F122" s="256"/>
      <c r="G122" s="256"/>
      <c r="H122" s="256"/>
      <c r="I122" s="257"/>
      <c r="J122" s="256" t="s">
        <v>378</v>
      </c>
      <c r="K122" s="256"/>
      <c r="L122" s="258"/>
      <c r="M122" s="256" t="s">
        <v>379</v>
      </c>
      <c r="N122" s="256"/>
      <c r="O122" s="256"/>
      <c r="P122" s="256"/>
      <c r="Q122" s="256"/>
      <c r="R122" s="256"/>
      <c r="S122" s="256"/>
      <c r="T122" s="256"/>
      <c r="U122" s="256"/>
      <c r="V122" s="256"/>
      <c r="W122" s="256"/>
      <c r="X122" s="256"/>
      <c r="Y122" s="256"/>
      <c r="Z122" s="256"/>
      <c r="AA122" s="256"/>
      <c r="AB122" s="256"/>
      <c r="AC122" s="66"/>
      <c r="AD122" s="66"/>
      <c r="AE122" s="66"/>
      <c r="AF122" s="66"/>
      <c r="AG122" s="66"/>
    </row>
    <row r="123" spans="4:33" s="61" customFormat="1" ht="15.75" customHeight="1" x14ac:dyDescent="0.15">
      <c r="D123" s="245" t="s">
        <v>380</v>
      </c>
      <c r="E123" s="245"/>
      <c r="F123" s="245"/>
      <c r="G123" s="245"/>
      <c r="H123" s="245"/>
      <c r="I123" s="259"/>
      <c r="J123" s="245">
        <v>450</v>
      </c>
      <c r="K123" s="245"/>
      <c r="L123" s="260"/>
      <c r="N123" s="61" t="s">
        <v>381</v>
      </c>
    </row>
    <row r="124" spans="4:33" s="61" customFormat="1" ht="15.75" customHeight="1" x14ac:dyDescent="0.15">
      <c r="D124" s="245"/>
      <c r="E124" s="245"/>
      <c r="F124" s="245"/>
      <c r="G124" s="245"/>
      <c r="H124" s="245"/>
      <c r="I124" s="259"/>
      <c r="J124" s="245"/>
      <c r="K124" s="245"/>
      <c r="L124" s="260"/>
      <c r="N124" s="61" t="s">
        <v>382</v>
      </c>
    </row>
    <row r="125" spans="4:33" s="61" customFormat="1" ht="15.75" customHeight="1" x14ac:dyDescent="0.15">
      <c r="D125" s="249" t="s">
        <v>383</v>
      </c>
      <c r="E125" s="249"/>
      <c r="F125" s="249"/>
      <c r="G125" s="249"/>
      <c r="H125" s="249"/>
      <c r="I125" s="250"/>
      <c r="J125" s="249">
        <v>350</v>
      </c>
      <c r="K125" s="249"/>
      <c r="L125" s="253"/>
      <c r="M125" s="67"/>
      <c r="N125" s="67" t="s">
        <v>384</v>
      </c>
      <c r="O125" s="67"/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67"/>
      <c r="AA125" s="67"/>
      <c r="AB125" s="67"/>
      <c r="AC125" s="67"/>
      <c r="AD125" s="67"/>
      <c r="AE125" s="67"/>
      <c r="AF125" s="67"/>
      <c r="AG125" s="67"/>
    </row>
    <row r="126" spans="4:33" s="61" customFormat="1" ht="15.75" customHeight="1" x14ac:dyDescent="0.15">
      <c r="D126" s="261"/>
      <c r="E126" s="261"/>
      <c r="F126" s="261"/>
      <c r="G126" s="261"/>
      <c r="H126" s="261"/>
      <c r="I126" s="262"/>
      <c r="J126" s="261"/>
      <c r="K126" s="261"/>
      <c r="L126" s="263"/>
      <c r="M126" s="62"/>
      <c r="N126" s="62" t="s">
        <v>385</v>
      </c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</row>
    <row r="127" spans="4:33" s="61" customFormat="1" ht="15.75" customHeight="1" x14ac:dyDescent="0.15">
      <c r="D127" s="249" t="s">
        <v>386</v>
      </c>
      <c r="E127" s="249"/>
      <c r="F127" s="249"/>
      <c r="G127" s="249"/>
      <c r="H127" s="249"/>
      <c r="I127" s="250"/>
      <c r="J127" s="249">
        <v>300</v>
      </c>
      <c r="K127" s="249"/>
      <c r="L127" s="253"/>
      <c r="M127" s="67"/>
      <c r="N127" s="67" t="s">
        <v>387</v>
      </c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  <c r="AA127" s="67"/>
      <c r="AB127" s="67"/>
      <c r="AC127" s="67"/>
      <c r="AD127" s="67"/>
      <c r="AE127" s="67"/>
      <c r="AF127" s="67"/>
      <c r="AG127" s="67"/>
    </row>
    <row r="128" spans="4:33" s="61" customFormat="1" ht="15.75" customHeight="1" thickBot="1" x14ac:dyDescent="0.2">
      <c r="D128" s="251"/>
      <c r="E128" s="251"/>
      <c r="F128" s="251"/>
      <c r="G128" s="251"/>
      <c r="H128" s="251"/>
      <c r="I128" s="252"/>
      <c r="J128" s="251"/>
      <c r="K128" s="251"/>
      <c r="L128" s="254"/>
      <c r="M128" s="68"/>
      <c r="N128" s="68" t="s">
        <v>388</v>
      </c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</row>
    <row r="129" spans="6:23" s="61" customFormat="1" ht="15.75" customHeight="1" x14ac:dyDescent="0.15"/>
    <row r="130" spans="6:23" s="61" customFormat="1" ht="15.75" customHeight="1" x14ac:dyDescent="0.15">
      <c r="F130" s="61" t="s">
        <v>389</v>
      </c>
    </row>
    <row r="131" spans="6:23" s="61" customFormat="1" ht="15.75" customHeight="1" x14ac:dyDescent="0.15"/>
    <row r="132" spans="6:23" s="61" customFormat="1" ht="15.75" customHeight="1" x14ac:dyDescent="0.15"/>
    <row r="133" spans="6:23" s="61" customFormat="1" ht="15.75" customHeight="1" x14ac:dyDescent="0.15">
      <c r="P133" s="61" t="s">
        <v>360</v>
      </c>
      <c r="U133" s="61" t="s">
        <v>361</v>
      </c>
    </row>
    <row r="134" spans="6:23" s="61" customFormat="1" ht="15.75" customHeight="1" x14ac:dyDescent="0.15">
      <c r="G134" s="61" t="s">
        <v>362</v>
      </c>
      <c r="O134" s="255">
        <f>I114</f>
        <v>373.96</v>
      </c>
      <c r="P134" s="255"/>
      <c r="Q134" s="255"/>
      <c r="R134" s="255"/>
      <c r="S134" s="245" t="str">
        <f>IF(O134&gt;U134,"＞","＜")</f>
        <v>＜</v>
      </c>
      <c r="T134" s="246"/>
      <c r="U134" s="247">
        <f>J109</f>
        <v>7053.0749999999998</v>
      </c>
      <c r="V134" s="248"/>
      <c r="W134" s="248"/>
    </row>
    <row r="135" spans="6:23" s="61" customFormat="1" ht="15.75" customHeight="1" x14ac:dyDescent="0.15">
      <c r="G135" s="61" t="s">
        <v>364</v>
      </c>
      <c r="O135" s="267">
        <v>4067.78</v>
      </c>
      <c r="P135" s="267"/>
      <c r="Q135" s="267"/>
      <c r="R135" s="267"/>
      <c r="S135" s="245" t="str">
        <f>IF(O135&gt;U135,"＞","＜")</f>
        <v>＜</v>
      </c>
      <c r="T135" s="246"/>
      <c r="U135" s="247">
        <f>U134</f>
        <v>7053.0749999999998</v>
      </c>
      <c r="V135" s="248"/>
      <c r="W135" s="248"/>
    </row>
    <row r="136" spans="6:23" s="61" customFormat="1" ht="15.75" customHeight="1" x14ac:dyDescent="0.15">
      <c r="G136" s="61" t="s">
        <v>363</v>
      </c>
      <c r="O136" s="267">
        <v>5654.81</v>
      </c>
      <c r="P136" s="267"/>
      <c r="Q136" s="267"/>
      <c r="R136" s="267"/>
      <c r="S136" s="245" t="str">
        <f>IF(O136&gt;U136,"＞","＜")</f>
        <v>＜</v>
      </c>
      <c r="T136" s="246"/>
      <c r="U136" s="247">
        <f>U135</f>
        <v>7053.0749999999998</v>
      </c>
      <c r="V136" s="248"/>
      <c r="W136" s="248"/>
    </row>
    <row r="137" spans="6:23" s="61" customFormat="1" ht="15.75" customHeight="1" x14ac:dyDescent="0.15">
      <c r="L137" s="64"/>
      <c r="M137" s="264"/>
      <c r="N137" s="265"/>
      <c r="O137" s="265"/>
      <c r="R137" s="63"/>
    </row>
    <row r="138" spans="6:23" s="61" customFormat="1" ht="15.75" customHeight="1" x14ac:dyDescent="0.15">
      <c r="L138" s="64" t="s">
        <v>365</v>
      </c>
      <c r="M138" s="264">
        <v>300</v>
      </c>
      <c r="N138" s="265"/>
      <c r="O138" s="265"/>
      <c r="P138" s="61" t="s">
        <v>366</v>
      </c>
      <c r="Q138" s="61">
        <v>10</v>
      </c>
      <c r="R138" s="63">
        <v>-6</v>
      </c>
      <c r="S138" s="61" t="s">
        <v>367</v>
      </c>
    </row>
    <row r="139" spans="6:23" ht="15" customHeight="1" x14ac:dyDescent="0.15"/>
    <row r="140" spans="6:23" ht="15" customHeight="1" x14ac:dyDescent="0.15"/>
    <row r="141" spans="6:23" ht="15" customHeight="1" x14ac:dyDescent="0.15"/>
    <row r="142" spans="6:23" ht="15" customHeight="1" x14ac:dyDescent="0.15"/>
    <row r="143" spans="6:23" ht="15" customHeight="1" x14ac:dyDescent="0.15"/>
    <row r="144" spans="6:23" ht="15" customHeight="1" x14ac:dyDescent="0.15"/>
    <row r="145" spans="3:13" ht="15" customHeight="1" x14ac:dyDescent="0.15"/>
    <row r="146" spans="3:13" ht="15" customHeight="1" x14ac:dyDescent="0.15">
      <c r="C146" s="41" t="s">
        <v>390</v>
      </c>
      <c r="D146" s="41"/>
    </row>
    <row r="147" spans="3:13" ht="15" customHeight="1" x14ac:dyDescent="0.15"/>
    <row r="148" spans="3:13" ht="15" customHeight="1" x14ac:dyDescent="0.15">
      <c r="D148" s="41" t="s">
        <v>391</v>
      </c>
      <c r="E148" s="41"/>
    </row>
    <row r="149" spans="3:13" ht="15" customHeight="1" x14ac:dyDescent="0.15">
      <c r="E149" s="40" t="s">
        <v>341</v>
      </c>
    </row>
    <row r="150" spans="3:13" ht="15" customHeight="1" x14ac:dyDescent="0.15">
      <c r="E150" s="40" t="s">
        <v>342</v>
      </c>
    </row>
    <row r="151" spans="3:13" ht="15" customHeight="1" x14ac:dyDescent="0.15">
      <c r="E151" s="40" t="s">
        <v>343</v>
      </c>
    </row>
    <row r="152" spans="3:13" ht="15" customHeight="1" x14ac:dyDescent="0.15"/>
    <row r="153" spans="3:13" ht="15" customHeight="1" x14ac:dyDescent="0.15">
      <c r="E153" s="40" t="s">
        <v>344</v>
      </c>
      <c r="K153" s="40" t="s">
        <v>53</v>
      </c>
      <c r="M153" s="40" t="s">
        <v>345</v>
      </c>
    </row>
    <row r="154" spans="3:13" ht="15" customHeight="1" x14ac:dyDescent="0.15">
      <c r="E154" s="40" t="s">
        <v>346</v>
      </c>
      <c r="K154" s="40" t="s">
        <v>53</v>
      </c>
      <c r="M154" s="40" t="s">
        <v>347</v>
      </c>
    </row>
    <row r="155" spans="3:13" ht="15" customHeight="1" x14ac:dyDescent="0.15"/>
    <row r="156" spans="3:13" ht="15" customHeight="1" x14ac:dyDescent="0.15"/>
    <row r="157" spans="3:13" ht="15" customHeight="1" x14ac:dyDescent="0.15">
      <c r="D157" s="41" t="s">
        <v>392</v>
      </c>
      <c r="E157" s="41"/>
    </row>
    <row r="158" spans="3:13" ht="15" customHeight="1" x14ac:dyDescent="0.15">
      <c r="E158" s="40" t="s">
        <v>348</v>
      </c>
    </row>
    <row r="159" spans="3:13" ht="15" customHeight="1" x14ac:dyDescent="0.15">
      <c r="E159" s="40" t="s">
        <v>349</v>
      </c>
    </row>
    <row r="160" spans="3:13" ht="15" customHeight="1" x14ac:dyDescent="0.15">
      <c r="E160" s="40" t="s">
        <v>350</v>
      </c>
    </row>
    <row r="161" spans="6:11" ht="15" customHeight="1" x14ac:dyDescent="0.15"/>
    <row r="162" spans="6:11" ht="15" customHeight="1" x14ac:dyDescent="0.15">
      <c r="F162" s="40" t="s">
        <v>351</v>
      </c>
    </row>
    <row r="163" spans="6:11" ht="15" customHeight="1" x14ac:dyDescent="0.15"/>
    <row r="164" spans="6:11" ht="15" customHeight="1" x14ac:dyDescent="0.15">
      <c r="H164" s="43"/>
      <c r="J164" s="43"/>
      <c r="K164" s="44"/>
    </row>
    <row r="165" spans="6:11" ht="15" customHeight="1" x14ac:dyDescent="0.15">
      <c r="J165" s="43"/>
      <c r="K165" s="44"/>
    </row>
    <row r="166" spans="6:11" ht="15" customHeight="1" x14ac:dyDescent="0.15"/>
    <row r="167" spans="6:11" ht="15" customHeight="1" x14ac:dyDescent="0.15"/>
    <row r="168" spans="6:11" ht="15" customHeight="1" x14ac:dyDescent="0.15"/>
    <row r="169" spans="6:11" ht="15" customHeight="1" x14ac:dyDescent="0.15"/>
    <row r="170" spans="6:11" ht="15" customHeight="1" x14ac:dyDescent="0.15"/>
    <row r="171" spans="6:11" ht="15" customHeight="1" x14ac:dyDescent="0.15"/>
    <row r="172" spans="6:11" ht="15" customHeight="1" x14ac:dyDescent="0.15"/>
    <row r="173" spans="6:11" ht="15" customHeight="1" x14ac:dyDescent="0.15"/>
    <row r="174" spans="6:11" ht="15" customHeight="1" x14ac:dyDescent="0.15"/>
    <row r="175" spans="6:11" ht="15" customHeight="1" x14ac:dyDescent="0.15"/>
    <row r="176" spans="6:11" ht="15" customHeight="1" x14ac:dyDescent="0.15"/>
    <row r="177" ht="15" customHeight="1" x14ac:dyDescent="0.15"/>
    <row r="178" ht="15" customHeight="1" x14ac:dyDescent="0.15"/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  <row r="374" ht="15" customHeight="1" x14ac:dyDescent="0.15"/>
    <row r="375" ht="15" customHeight="1" x14ac:dyDescent="0.15"/>
    <row r="376" ht="15" customHeight="1" x14ac:dyDescent="0.15"/>
    <row r="377" ht="15" customHeight="1" x14ac:dyDescent="0.15"/>
    <row r="378" ht="15" customHeight="1" x14ac:dyDescent="0.15"/>
    <row r="379" ht="15" customHeight="1" x14ac:dyDescent="0.15"/>
    <row r="380" ht="15" customHeight="1" x14ac:dyDescent="0.15"/>
    <row r="381" ht="15" customHeight="1" x14ac:dyDescent="0.15"/>
    <row r="382" ht="15" customHeight="1" x14ac:dyDescent="0.15"/>
    <row r="383" ht="15" customHeight="1" x14ac:dyDescent="0.15"/>
    <row r="384" ht="15" customHeight="1" x14ac:dyDescent="0.15"/>
    <row r="385" ht="15" customHeight="1" x14ac:dyDescent="0.15"/>
    <row r="386" ht="15" customHeight="1" x14ac:dyDescent="0.15"/>
    <row r="387" ht="15" customHeight="1" x14ac:dyDescent="0.15"/>
    <row r="388" ht="15" customHeight="1" x14ac:dyDescent="0.15"/>
    <row r="389" ht="15" customHeight="1" x14ac:dyDescent="0.15"/>
    <row r="390" ht="15" customHeight="1" x14ac:dyDescent="0.15"/>
    <row r="391" ht="15" customHeight="1" x14ac:dyDescent="0.15"/>
    <row r="392" ht="15" customHeight="1" x14ac:dyDescent="0.15"/>
    <row r="393" ht="15" customHeight="1" x14ac:dyDescent="0.15"/>
    <row r="394" ht="15" customHeight="1" x14ac:dyDescent="0.15"/>
    <row r="395" ht="15" customHeight="1" x14ac:dyDescent="0.15"/>
    <row r="396" ht="15" customHeight="1" x14ac:dyDescent="0.15"/>
    <row r="397" ht="15" customHeight="1" x14ac:dyDescent="0.15"/>
    <row r="398" ht="15" customHeight="1" x14ac:dyDescent="0.15"/>
    <row r="399" ht="15" customHeight="1" x14ac:dyDescent="0.15"/>
    <row r="400" ht="15" customHeight="1" x14ac:dyDescent="0.15"/>
    <row r="401" ht="15" customHeight="1" x14ac:dyDescent="0.15"/>
    <row r="402" ht="15" customHeight="1" x14ac:dyDescent="0.15"/>
    <row r="403" ht="15" customHeight="1" x14ac:dyDescent="0.15"/>
    <row r="404" ht="15" customHeight="1" x14ac:dyDescent="0.15"/>
    <row r="405" ht="15" customHeight="1" x14ac:dyDescent="0.15"/>
    <row r="406" ht="15" customHeight="1" x14ac:dyDescent="0.15"/>
    <row r="407" ht="15" customHeight="1" x14ac:dyDescent="0.15"/>
    <row r="408" ht="15" customHeight="1" x14ac:dyDescent="0.15"/>
    <row r="409" ht="15" customHeight="1" x14ac:dyDescent="0.15"/>
    <row r="410" ht="15" customHeight="1" x14ac:dyDescent="0.15"/>
    <row r="411" ht="15" customHeight="1" x14ac:dyDescent="0.15"/>
    <row r="412" ht="15" customHeight="1" x14ac:dyDescent="0.15"/>
    <row r="413" ht="15" customHeight="1" x14ac:dyDescent="0.15"/>
    <row r="414" ht="15" customHeight="1" x14ac:dyDescent="0.15"/>
    <row r="415" ht="15" customHeight="1" x14ac:dyDescent="0.15"/>
    <row r="416" ht="15" customHeight="1" x14ac:dyDescent="0.15"/>
    <row r="417" ht="15" customHeight="1" x14ac:dyDescent="0.15"/>
    <row r="418" ht="15" customHeight="1" x14ac:dyDescent="0.15"/>
    <row r="419" ht="15" customHeight="1" x14ac:dyDescent="0.15"/>
    <row r="420" ht="15" customHeight="1" x14ac:dyDescent="0.15"/>
    <row r="421" ht="15" customHeight="1" x14ac:dyDescent="0.15"/>
    <row r="422" ht="15" customHeight="1" x14ac:dyDescent="0.15"/>
    <row r="423" ht="15" customHeight="1" x14ac:dyDescent="0.15"/>
    <row r="424" ht="15" customHeight="1" x14ac:dyDescent="0.15"/>
    <row r="425" ht="15" customHeight="1" x14ac:dyDescent="0.15"/>
    <row r="426" ht="15" customHeight="1" x14ac:dyDescent="0.15"/>
    <row r="427" ht="15" customHeight="1" x14ac:dyDescent="0.15"/>
    <row r="428" ht="15" customHeight="1" x14ac:dyDescent="0.15"/>
    <row r="429" ht="15" customHeight="1" x14ac:dyDescent="0.15"/>
    <row r="430" ht="15" customHeight="1" x14ac:dyDescent="0.15"/>
    <row r="431" ht="15" customHeight="1" x14ac:dyDescent="0.15"/>
    <row r="432" ht="15" customHeight="1" x14ac:dyDescent="0.15"/>
    <row r="433" ht="15" customHeight="1" x14ac:dyDescent="0.15"/>
    <row r="434" ht="15" customHeight="1" x14ac:dyDescent="0.15"/>
    <row r="435" ht="15" customHeight="1" x14ac:dyDescent="0.15"/>
    <row r="436" ht="15" customHeight="1" x14ac:dyDescent="0.15"/>
    <row r="437" ht="15" customHeight="1" x14ac:dyDescent="0.15"/>
    <row r="438" ht="15" customHeight="1" x14ac:dyDescent="0.15"/>
    <row r="439" ht="15" customHeight="1" x14ac:dyDescent="0.15"/>
    <row r="440" ht="15" customHeight="1" x14ac:dyDescent="0.15"/>
    <row r="441" ht="15" customHeight="1" x14ac:dyDescent="0.15"/>
    <row r="442" ht="15" customHeight="1" x14ac:dyDescent="0.15"/>
    <row r="443" ht="15" customHeight="1" x14ac:dyDescent="0.15"/>
    <row r="444" ht="15" customHeight="1" x14ac:dyDescent="0.15"/>
    <row r="445" ht="15" customHeight="1" x14ac:dyDescent="0.15"/>
    <row r="446" ht="15" customHeight="1" x14ac:dyDescent="0.15"/>
    <row r="447" ht="15" customHeight="1" x14ac:dyDescent="0.15"/>
    <row r="448" ht="15" customHeight="1" x14ac:dyDescent="0.15"/>
    <row r="449" ht="15" customHeight="1" x14ac:dyDescent="0.15"/>
    <row r="450" ht="15" customHeight="1" x14ac:dyDescent="0.15"/>
    <row r="451" ht="15" customHeight="1" x14ac:dyDescent="0.15"/>
    <row r="452" ht="15" customHeight="1" x14ac:dyDescent="0.15"/>
    <row r="453" ht="15" customHeight="1" x14ac:dyDescent="0.15"/>
    <row r="454" ht="15" customHeight="1" x14ac:dyDescent="0.15"/>
    <row r="455" ht="15" customHeight="1" x14ac:dyDescent="0.15"/>
    <row r="456" ht="15" customHeight="1" x14ac:dyDescent="0.15"/>
    <row r="457" ht="15" customHeight="1" x14ac:dyDescent="0.15"/>
    <row r="458" ht="15" customHeight="1" x14ac:dyDescent="0.15"/>
    <row r="459" ht="15" customHeight="1" x14ac:dyDescent="0.15"/>
    <row r="460" ht="15" customHeight="1" x14ac:dyDescent="0.15"/>
    <row r="461" ht="15" customHeight="1" x14ac:dyDescent="0.15"/>
    <row r="462" ht="15" customHeight="1" x14ac:dyDescent="0.15"/>
    <row r="463" ht="15" customHeight="1" x14ac:dyDescent="0.15"/>
    <row r="464" ht="15" customHeight="1" x14ac:dyDescent="0.15"/>
    <row r="465" ht="15" customHeight="1" x14ac:dyDescent="0.15"/>
    <row r="466" ht="15" customHeight="1" x14ac:dyDescent="0.15"/>
    <row r="467" ht="15" customHeight="1" x14ac:dyDescent="0.15"/>
    <row r="468" ht="15" customHeight="1" x14ac:dyDescent="0.15"/>
    <row r="469" ht="15" customHeight="1" x14ac:dyDescent="0.15"/>
    <row r="470" ht="15" customHeight="1" x14ac:dyDescent="0.15"/>
    <row r="471" ht="15" customHeight="1" x14ac:dyDescent="0.15"/>
    <row r="472" ht="15" customHeight="1" x14ac:dyDescent="0.15"/>
    <row r="473" ht="15" customHeight="1" x14ac:dyDescent="0.15"/>
    <row r="474" ht="15" customHeight="1" x14ac:dyDescent="0.15"/>
    <row r="475" ht="15" customHeight="1" x14ac:dyDescent="0.15"/>
    <row r="476" ht="15" customHeight="1" x14ac:dyDescent="0.15"/>
    <row r="477" ht="15" customHeight="1" x14ac:dyDescent="0.15"/>
    <row r="478" ht="15" customHeight="1" x14ac:dyDescent="0.15"/>
    <row r="479" ht="15" customHeight="1" x14ac:dyDescent="0.15"/>
    <row r="480" ht="15" customHeight="1" x14ac:dyDescent="0.15"/>
    <row r="481" ht="15" customHeight="1" x14ac:dyDescent="0.15"/>
    <row r="482" ht="15" customHeight="1" x14ac:dyDescent="0.15"/>
    <row r="483" ht="15" customHeight="1" x14ac:dyDescent="0.15"/>
    <row r="484" ht="15" customHeight="1" x14ac:dyDescent="0.15"/>
    <row r="485" ht="15" customHeight="1" x14ac:dyDescent="0.15"/>
    <row r="486" ht="15" customHeight="1" x14ac:dyDescent="0.15"/>
    <row r="487" ht="15" customHeight="1" x14ac:dyDescent="0.15"/>
    <row r="488" ht="15" customHeight="1" x14ac:dyDescent="0.15"/>
    <row r="489" ht="15" customHeight="1" x14ac:dyDescent="0.15"/>
    <row r="490" ht="15" customHeight="1" x14ac:dyDescent="0.15"/>
    <row r="491" ht="15" customHeight="1" x14ac:dyDescent="0.15"/>
    <row r="492" ht="15" customHeight="1" x14ac:dyDescent="0.15"/>
    <row r="493" ht="15" customHeight="1" x14ac:dyDescent="0.15"/>
    <row r="494" ht="15" customHeight="1" x14ac:dyDescent="0.15"/>
    <row r="495" ht="15" customHeight="1" x14ac:dyDescent="0.15"/>
    <row r="496" ht="15" customHeight="1" x14ac:dyDescent="0.15"/>
    <row r="497" ht="15" customHeight="1" x14ac:dyDescent="0.15"/>
    <row r="498" ht="15" customHeight="1" x14ac:dyDescent="0.15"/>
    <row r="499" ht="15" customHeight="1" x14ac:dyDescent="0.15"/>
    <row r="500" ht="15" customHeight="1" x14ac:dyDescent="0.15"/>
    <row r="501" ht="15" customHeight="1" x14ac:dyDescent="0.15"/>
    <row r="502" ht="15" customHeight="1" x14ac:dyDescent="0.15"/>
    <row r="503" ht="15" customHeight="1" x14ac:dyDescent="0.15"/>
    <row r="504" ht="15" customHeight="1" x14ac:dyDescent="0.15"/>
    <row r="505" ht="15" customHeight="1" x14ac:dyDescent="0.15"/>
    <row r="506" ht="15" customHeight="1" x14ac:dyDescent="0.15"/>
    <row r="507" ht="15" customHeight="1" x14ac:dyDescent="0.15"/>
    <row r="508" ht="15" customHeight="1" x14ac:dyDescent="0.15"/>
    <row r="509" ht="15" customHeight="1" x14ac:dyDescent="0.15"/>
    <row r="510" ht="15" customHeight="1" x14ac:dyDescent="0.15"/>
    <row r="511" ht="15" customHeight="1" x14ac:dyDescent="0.15"/>
    <row r="512" ht="15" customHeight="1" x14ac:dyDescent="0.15"/>
    <row r="513" ht="15" customHeight="1" x14ac:dyDescent="0.15"/>
    <row r="514" ht="15" customHeight="1" x14ac:dyDescent="0.15"/>
    <row r="515" ht="15" customHeight="1" x14ac:dyDescent="0.15"/>
    <row r="516" ht="15" customHeight="1" x14ac:dyDescent="0.15"/>
    <row r="517" ht="15" customHeight="1" x14ac:dyDescent="0.15"/>
    <row r="518" ht="15" customHeight="1" x14ac:dyDescent="0.15"/>
    <row r="519" ht="15" customHeight="1" x14ac:dyDescent="0.15"/>
    <row r="520" ht="15" customHeight="1" x14ac:dyDescent="0.15"/>
    <row r="521" ht="15" customHeight="1" x14ac:dyDescent="0.15"/>
    <row r="522" ht="15" customHeight="1" x14ac:dyDescent="0.15"/>
    <row r="523" ht="15" customHeight="1" x14ac:dyDescent="0.15"/>
    <row r="524" ht="15" customHeight="1" x14ac:dyDescent="0.15"/>
    <row r="525" ht="15" customHeight="1" x14ac:dyDescent="0.15"/>
    <row r="526" ht="15" customHeight="1" x14ac:dyDescent="0.15"/>
    <row r="527" ht="15" customHeight="1" x14ac:dyDescent="0.15"/>
    <row r="528" ht="15" customHeight="1" x14ac:dyDescent="0.15"/>
    <row r="529" ht="15" customHeight="1" x14ac:dyDescent="0.15"/>
    <row r="530" ht="15" customHeight="1" x14ac:dyDescent="0.15"/>
    <row r="531" ht="15" customHeight="1" x14ac:dyDescent="0.15"/>
    <row r="532" ht="15" customHeight="1" x14ac:dyDescent="0.15"/>
    <row r="533" ht="15" customHeight="1" x14ac:dyDescent="0.15"/>
    <row r="534" ht="15" customHeight="1" x14ac:dyDescent="0.15"/>
    <row r="535" ht="15" customHeight="1" x14ac:dyDescent="0.15"/>
    <row r="536" ht="15" customHeight="1" x14ac:dyDescent="0.15"/>
    <row r="537" ht="15" customHeight="1" x14ac:dyDescent="0.15"/>
    <row r="538" ht="15" customHeight="1" x14ac:dyDescent="0.15"/>
    <row r="539" ht="15" customHeight="1" x14ac:dyDescent="0.15"/>
    <row r="540" ht="15" customHeight="1" x14ac:dyDescent="0.15"/>
    <row r="541" ht="15" customHeight="1" x14ac:dyDescent="0.15"/>
    <row r="542" ht="15" customHeight="1" x14ac:dyDescent="0.15"/>
    <row r="543" ht="15" customHeight="1" x14ac:dyDescent="0.15"/>
    <row r="544" ht="15" customHeight="1" x14ac:dyDescent="0.15"/>
    <row r="545" ht="15" customHeight="1" x14ac:dyDescent="0.15"/>
    <row r="546" ht="15" customHeight="1" x14ac:dyDescent="0.15"/>
    <row r="547" ht="15" customHeight="1" x14ac:dyDescent="0.15"/>
    <row r="548" ht="15" customHeight="1" x14ac:dyDescent="0.15"/>
    <row r="549" ht="15" customHeight="1" x14ac:dyDescent="0.15"/>
    <row r="550" ht="15" customHeight="1" x14ac:dyDescent="0.15"/>
    <row r="551" ht="15" customHeight="1" x14ac:dyDescent="0.15"/>
    <row r="552" ht="15" customHeight="1" x14ac:dyDescent="0.15"/>
    <row r="553" ht="15" customHeight="1" x14ac:dyDescent="0.15"/>
    <row r="554" ht="15" customHeight="1" x14ac:dyDescent="0.15"/>
    <row r="555" ht="15" customHeight="1" x14ac:dyDescent="0.15"/>
    <row r="556" ht="15" customHeight="1" x14ac:dyDescent="0.15"/>
    <row r="557" ht="15" customHeight="1" x14ac:dyDescent="0.15"/>
    <row r="558" ht="15" customHeight="1" x14ac:dyDescent="0.15"/>
    <row r="559" ht="15" customHeight="1" x14ac:dyDescent="0.15"/>
    <row r="560" ht="15" customHeight="1" x14ac:dyDescent="0.15"/>
    <row r="561" ht="15" customHeight="1" x14ac:dyDescent="0.15"/>
    <row r="562" ht="15" customHeight="1" x14ac:dyDescent="0.15"/>
    <row r="563" ht="15" customHeight="1" x14ac:dyDescent="0.15"/>
    <row r="564" ht="15" customHeight="1" x14ac:dyDescent="0.15"/>
    <row r="565" ht="15" customHeight="1" x14ac:dyDescent="0.15"/>
    <row r="566" ht="15" customHeight="1" x14ac:dyDescent="0.15"/>
    <row r="567" ht="15" customHeight="1" x14ac:dyDescent="0.15"/>
    <row r="568" ht="15" customHeight="1" x14ac:dyDescent="0.15"/>
    <row r="569" ht="15" customHeight="1" x14ac:dyDescent="0.15"/>
    <row r="570" ht="15" customHeight="1" x14ac:dyDescent="0.15"/>
    <row r="571" ht="15" customHeight="1" x14ac:dyDescent="0.15"/>
    <row r="572" ht="15" customHeight="1" x14ac:dyDescent="0.15"/>
    <row r="573" ht="15" customHeight="1" x14ac:dyDescent="0.15"/>
    <row r="574" ht="15" customHeight="1" x14ac:dyDescent="0.15"/>
    <row r="575" ht="15" customHeight="1" x14ac:dyDescent="0.15"/>
    <row r="576" ht="15" customHeight="1" x14ac:dyDescent="0.15"/>
    <row r="577" ht="15" customHeight="1" x14ac:dyDescent="0.15"/>
    <row r="578" ht="15" customHeight="1" x14ac:dyDescent="0.15"/>
    <row r="579" ht="15" customHeight="1" x14ac:dyDescent="0.15"/>
    <row r="580" ht="15" customHeight="1" x14ac:dyDescent="0.15"/>
    <row r="581" ht="15" customHeight="1" x14ac:dyDescent="0.15"/>
    <row r="582" ht="15" customHeight="1" x14ac:dyDescent="0.15"/>
    <row r="583" ht="15" customHeight="1" x14ac:dyDescent="0.15"/>
    <row r="584" ht="15" customHeight="1" x14ac:dyDescent="0.15"/>
    <row r="585" ht="15" customHeight="1" x14ac:dyDescent="0.15"/>
    <row r="586" ht="15" customHeight="1" x14ac:dyDescent="0.15"/>
    <row r="587" ht="15" customHeight="1" x14ac:dyDescent="0.15"/>
    <row r="588" ht="15" customHeight="1" x14ac:dyDescent="0.15"/>
    <row r="589" ht="15" customHeight="1" x14ac:dyDescent="0.15"/>
    <row r="590" ht="15" customHeight="1" x14ac:dyDescent="0.15"/>
    <row r="591" ht="15" customHeight="1" x14ac:dyDescent="0.15"/>
    <row r="592" ht="15" customHeight="1" x14ac:dyDescent="0.15"/>
    <row r="593" ht="15" customHeight="1" x14ac:dyDescent="0.15"/>
    <row r="594" ht="15" customHeight="1" x14ac:dyDescent="0.15"/>
    <row r="595" ht="15" customHeight="1" x14ac:dyDescent="0.15"/>
    <row r="596" ht="15" customHeight="1" x14ac:dyDescent="0.15"/>
    <row r="597" ht="15" customHeight="1" x14ac:dyDescent="0.15"/>
    <row r="598" ht="15" customHeight="1" x14ac:dyDescent="0.15"/>
    <row r="599" ht="15" customHeight="1" x14ac:dyDescent="0.15"/>
    <row r="600" ht="15" customHeight="1" x14ac:dyDescent="0.15"/>
    <row r="601" ht="15" customHeight="1" x14ac:dyDescent="0.15"/>
    <row r="602" ht="15" customHeight="1" x14ac:dyDescent="0.15"/>
    <row r="603" ht="15" customHeight="1" x14ac:dyDescent="0.15"/>
    <row r="604" ht="15" customHeight="1" x14ac:dyDescent="0.15"/>
    <row r="605" ht="15" customHeight="1" x14ac:dyDescent="0.15"/>
    <row r="606" ht="15" customHeight="1" x14ac:dyDescent="0.15"/>
    <row r="607" ht="15" customHeight="1" x14ac:dyDescent="0.15"/>
    <row r="608" ht="15" customHeight="1" x14ac:dyDescent="0.15"/>
    <row r="609" ht="15" customHeight="1" x14ac:dyDescent="0.15"/>
    <row r="610" ht="15" customHeight="1" x14ac:dyDescent="0.15"/>
    <row r="611" ht="15" customHeight="1" x14ac:dyDescent="0.15"/>
    <row r="612" ht="15" customHeight="1" x14ac:dyDescent="0.15"/>
    <row r="613" ht="15" customHeight="1" x14ac:dyDescent="0.15"/>
    <row r="614" ht="15" customHeight="1" x14ac:dyDescent="0.15"/>
    <row r="615" ht="15" customHeight="1" x14ac:dyDescent="0.15"/>
    <row r="616" ht="15" customHeight="1" x14ac:dyDescent="0.15"/>
    <row r="617" ht="15" customHeight="1" x14ac:dyDescent="0.15"/>
    <row r="618" ht="15" customHeight="1" x14ac:dyDescent="0.15"/>
    <row r="619" ht="15" customHeight="1" x14ac:dyDescent="0.15"/>
    <row r="620" ht="15" customHeight="1" x14ac:dyDescent="0.15"/>
    <row r="621" ht="15" customHeight="1" x14ac:dyDescent="0.15"/>
    <row r="622" ht="15" customHeight="1" x14ac:dyDescent="0.15"/>
    <row r="623" ht="15" customHeight="1" x14ac:dyDescent="0.15"/>
    <row r="624" ht="15" customHeight="1" x14ac:dyDescent="0.15"/>
    <row r="625" ht="15" customHeight="1" x14ac:dyDescent="0.15"/>
    <row r="626" ht="15" customHeight="1" x14ac:dyDescent="0.15"/>
    <row r="627" ht="15" customHeight="1" x14ac:dyDescent="0.15"/>
    <row r="628" ht="15" customHeight="1" x14ac:dyDescent="0.15"/>
    <row r="629" ht="15" customHeight="1" x14ac:dyDescent="0.15"/>
    <row r="630" ht="15" customHeight="1" x14ac:dyDescent="0.15"/>
    <row r="631" ht="15" customHeight="1" x14ac:dyDescent="0.15"/>
    <row r="632" ht="15" customHeight="1" x14ac:dyDescent="0.15"/>
    <row r="633" ht="15" customHeight="1" x14ac:dyDescent="0.15"/>
    <row r="634" ht="15" customHeight="1" x14ac:dyDescent="0.15"/>
    <row r="635" ht="15" customHeight="1" x14ac:dyDescent="0.15"/>
    <row r="636" ht="15" customHeight="1" x14ac:dyDescent="0.15"/>
    <row r="637" ht="15" customHeight="1" x14ac:dyDescent="0.15"/>
    <row r="638" ht="15" customHeight="1" x14ac:dyDescent="0.15"/>
    <row r="639" ht="15" customHeight="1" x14ac:dyDescent="0.15"/>
    <row r="640" ht="15" customHeight="1" x14ac:dyDescent="0.15"/>
    <row r="641" ht="15" customHeight="1" x14ac:dyDescent="0.15"/>
    <row r="642" ht="15" customHeight="1" x14ac:dyDescent="0.15"/>
    <row r="643" ht="15" customHeight="1" x14ac:dyDescent="0.15"/>
    <row r="644" ht="15" customHeight="1" x14ac:dyDescent="0.15"/>
    <row r="645" ht="15" customHeight="1" x14ac:dyDescent="0.15"/>
    <row r="646" ht="15" customHeight="1" x14ac:dyDescent="0.15"/>
    <row r="647" ht="15" customHeight="1" x14ac:dyDescent="0.15"/>
    <row r="648" ht="15" customHeight="1" x14ac:dyDescent="0.15"/>
    <row r="649" ht="15" customHeight="1" x14ac:dyDescent="0.15"/>
    <row r="650" ht="15" customHeight="1" x14ac:dyDescent="0.15"/>
    <row r="651" ht="15" customHeight="1" x14ac:dyDescent="0.15"/>
    <row r="652" ht="15" customHeight="1" x14ac:dyDescent="0.15"/>
    <row r="653" ht="15" customHeight="1" x14ac:dyDescent="0.15"/>
    <row r="654" ht="15" customHeight="1" x14ac:dyDescent="0.15"/>
    <row r="655" ht="15" customHeight="1" x14ac:dyDescent="0.15"/>
    <row r="656" ht="15" customHeight="1" x14ac:dyDescent="0.15"/>
    <row r="657" ht="15" customHeight="1" x14ac:dyDescent="0.15"/>
    <row r="658" ht="15" customHeight="1" x14ac:dyDescent="0.15"/>
    <row r="659" ht="15" customHeight="1" x14ac:dyDescent="0.15"/>
    <row r="660" ht="15" customHeight="1" x14ac:dyDescent="0.15"/>
    <row r="661" ht="15" customHeight="1" x14ac:dyDescent="0.15"/>
    <row r="662" ht="15" customHeight="1" x14ac:dyDescent="0.15"/>
    <row r="663" ht="15" customHeight="1" x14ac:dyDescent="0.15"/>
    <row r="664" ht="15" customHeight="1" x14ac:dyDescent="0.15"/>
    <row r="665" ht="15" customHeight="1" x14ac:dyDescent="0.15"/>
    <row r="666" ht="15" customHeight="1" x14ac:dyDescent="0.15"/>
    <row r="667" ht="15" customHeight="1" x14ac:dyDescent="0.15"/>
    <row r="668" ht="15" customHeight="1" x14ac:dyDescent="0.15"/>
    <row r="669" ht="15" customHeight="1" x14ac:dyDescent="0.15"/>
    <row r="670" ht="15" customHeight="1" x14ac:dyDescent="0.15"/>
    <row r="671" ht="15" customHeight="1" x14ac:dyDescent="0.15"/>
    <row r="672" ht="15" customHeight="1" x14ac:dyDescent="0.15"/>
    <row r="673" ht="15" customHeight="1" x14ac:dyDescent="0.15"/>
    <row r="674" ht="15" customHeight="1" x14ac:dyDescent="0.15"/>
    <row r="675" ht="15" customHeight="1" x14ac:dyDescent="0.15"/>
    <row r="676" ht="15" customHeight="1" x14ac:dyDescent="0.15"/>
    <row r="677" ht="15" customHeight="1" x14ac:dyDescent="0.15"/>
    <row r="678" ht="15" customHeight="1" x14ac:dyDescent="0.15"/>
    <row r="679" ht="15" customHeight="1" x14ac:dyDescent="0.15"/>
    <row r="680" ht="15" customHeight="1" x14ac:dyDescent="0.15"/>
    <row r="681" ht="15" customHeight="1" x14ac:dyDescent="0.15"/>
    <row r="682" ht="15" customHeight="1" x14ac:dyDescent="0.15"/>
    <row r="683" ht="15" customHeight="1" x14ac:dyDescent="0.15"/>
    <row r="684" ht="15" customHeight="1" x14ac:dyDescent="0.15"/>
    <row r="685" ht="15" customHeight="1" x14ac:dyDescent="0.15"/>
    <row r="686" ht="15" customHeight="1" x14ac:dyDescent="0.15"/>
    <row r="687" ht="15" customHeight="1" x14ac:dyDescent="0.15"/>
    <row r="688" ht="15" customHeight="1" x14ac:dyDescent="0.15"/>
    <row r="689" ht="15" customHeight="1" x14ac:dyDescent="0.15"/>
    <row r="690" ht="15" customHeight="1" x14ac:dyDescent="0.15"/>
    <row r="691" ht="15" customHeight="1" x14ac:dyDescent="0.15"/>
    <row r="692" ht="15" customHeight="1" x14ac:dyDescent="0.15"/>
    <row r="693" ht="15" customHeight="1" x14ac:dyDescent="0.15"/>
    <row r="694" ht="15" customHeight="1" x14ac:dyDescent="0.15"/>
    <row r="695" ht="15" customHeight="1" x14ac:dyDescent="0.15"/>
    <row r="696" ht="15" customHeight="1" x14ac:dyDescent="0.15"/>
    <row r="697" ht="15" customHeight="1" x14ac:dyDescent="0.15"/>
    <row r="698" ht="15" customHeight="1" x14ac:dyDescent="0.15"/>
    <row r="699" ht="15" customHeight="1" x14ac:dyDescent="0.15"/>
    <row r="700" ht="15" customHeight="1" x14ac:dyDescent="0.15"/>
    <row r="701" ht="15" customHeight="1" x14ac:dyDescent="0.15"/>
    <row r="702" ht="15" customHeight="1" x14ac:dyDescent="0.15"/>
    <row r="703" ht="15" customHeight="1" x14ac:dyDescent="0.15"/>
    <row r="704" ht="15" customHeight="1" x14ac:dyDescent="0.15"/>
    <row r="705" ht="15" customHeight="1" x14ac:dyDescent="0.15"/>
    <row r="706" ht="15" customHeight="1" x14ac:dyDescent="0.15"/>
    <row r="707" ht="15" customHeight="1" x14ac:dyDescent="0.15"/>
    <row r="708" ht="15" customHeight="1" x14ac:dyDescent="0.15"/>
    <row r="709" ht="15" customHeight="1" x14ac:dyDescent="0.15"/>
    <row r="710" ht="15" customHeight="1" x14ac:dyDescent="0.15"/>
    <row r="711" ht="15" customHeight="1" x14ac:dyDescent="0.15"/>
    <row r="712" ht="15" customHeight="1" x14ac:dyDescent="0.15"/>
    <row r="713" ht="15" customHeight="1" x14ac:dyDescent="0.15"/>
    <row r="714" ht="15" customHeight="1" x14ac:dyDescent="0.15"/>
    <row r="715" ht="15" customHeight="1" x14ac:dyDescent="0.15"/>
    <row r="716" ht="15" customHeight="1" x14ac:dyDescent="0.15"/>
    <row r="717" ht="15" customHeight="1" x14ac:dyDescent="0.15"/>
    <row r="718" ht="15" customHeight="1" x14ac:dyDescent="0.15"/>
    <row r="719" ht="15" customHeight="1" x14ac:dyDescent="0.15"/>
    <row r="720" ht="15" customHeight="1" x14ac:dyDescent="0.15"/>
    <row r="721" ht="15" customHeight="1" x14ac:dyDescent="0.15"/>
    <row r="722" ht="15" customHeight="1" x14ac:dyDescent="0.15"/>
    <row r="723" ht="15" customHeight="1" x14ac:dyDescent="0.15"/>
    <row r="724" ht="15" customHeight="1" x14ac:dyDescent="0.15"/>
    <row r="725" ht="15" customHeight="1" x14ac:dyDescent="0.15"/>
    <row r="726" ht="15" customHeight="1" x14ac:dyDescent="0.15"/>
    <row r="727" ht="15" customHeight="1" x14ac:dyDescent="0.15"/>
    <row r="728" ht="15" customHeight="1" x14ac:dyDescent="0.15"/>
    <row r="729" ht="15" customHeight="1" x14ac:dyDescent="0.15"/>
    <row r="730" ht="15" customHeight="1" x14ac:dyDescent="0.15"/>
    <row r="731" ht="15" customHeight="1" x14ac:dyDescent="0.15"/>
    <row r="732" ht="15" customHeight="1" x14ac:dyDescent="0.15"/>
    <row r="733" ht="15" customHeight="1" x14ac:dyDescent="0.15"/>
    <row r="734" ht="15" customHeight="1" x14ac:dyDescent="0.15"/>
    <row r="735" ht="15" customHeight="1" x14ac:dyDescent="0.15"/>
    <row r="736" ht="15" customHeight="1" x14ac:dyDescent="0.15"/>
    <row r="737" ht="15" customHeight="1" x14ac:dyDescent="0.15"/>
    <row r="738" ht="15" customHeight="1" x14ac:dyDescent="0.15"/>
    <row r="739" ht="15" customHeight="1" x14ac:dyDescent="0.15"/>
    <row r="740" ht="15" customHeight="1" x14ac:dyDescent="0.15"/>
    <row r="741" ht="15" customHeight="1" x14ac:dyDescent="0.15"/>
    <row r="742" ht="15" customHeight="1" x14ac:dyDescent="0.15"/>
    <row r="743" ht="15" customHeight="1" x14ac:dyDescent="0.15"/>
    <row r="744" ht="15" customHeight="1" x14ac:dyDescent="0.15"/>
    <row r="745" ht="15" customHeight="1" x14ac:dyDescent="0.15"/>
    <row r="746" ht="15" customHeight="1" x14ac:dyDescent="0.15"/>
    <row r="747" ht="15" customHeight="1" x14ac:dyDescent="0.15"/>
    <row r="748" ht="15" customHeight="1" x14ac:dyDescent="0.15"/>
    <row r="749" ht="15" customHeight="1" x14ac:dyDescent="0.15"/>
    <row r="750" ht="15" customHeight="1" x14ac:dyDescent="0.15"/>
    <row r="751" ht="15" customHeight="1" x14ac:dyDescent="0.15"/>
    <row r="752" ht="15" customHeight="1" x14ac:dyDescent="0.15"/>
    <row r="753" ht="15" customHeight="1" x14ac:dyDescent="0.15"/>
    <row r="754" ht="15" customHeight="1" x14ac:dyDescent="0.15"/>
    <row r="755" ht="15" customHeight="1" x14ac:dyDescent="0.15"/>
    <row r="756" ht="15" customHeight="1" x14ac:dyDescent="0.15"/>
    <row r="757" ht="15" customHeight="1" x14ac:dyDescent="0.15"/>
    <row r="758" ht="15" customHeight="1" x14ac:dyDescent="0.15"/>
    <row r="759" ht="15" customHeight="1" x14ac:dyDescent="0.15"/>
    <row r="760" ht="15" customHeight="1" x14ac:dyDescent="0.15"/>
    <row r="761" ht="15" customHeight="1" x14ac:dyDescent="0.15"/>
    <row r="762" ht="15" customHeight="1" x14ac:dyDescent="0.15"/>
    <row r="763" ht="15" customHeight="1" x14ac:dyDescent="0.15"/>
    <row r="764" ht="15" customHeight="1" x14ac:dyDescent="0.15"/>
    <row r="765" ht="15" customHeight="1" x14ac:dyDescent="0.15"/>
    <row r="766" ht="15" customHeight="1" x14ac:dyDescent="0.15"/>
    <row r="767" ht="15" customHeight="1" x14ac:dyDescent="0.15"/>
    <row r="768" ht="15" customHeight="1" x14ac:dyDescent="0.15"/>
    <row r="769" ht="15" customHeight="1" x14ac:dyDescent="0.15"/>
    <row r="770" ht="15" customHeight="1" x14ac:dyDescent="0.15"/>
    <row r="771" ht="15" customHeight="1" x14ac:dyDescent="0.15"/>
    <row r="772" ht="15" customHeight="1" x14ac:dyDescent="0.15"/>
    <row r="773" ht="15" customHeight="1" x14ac:dyDescent="0.15"/>
    <row r="774" ht="15" customHeight="1" x14ac:dyDescent="0.15"/>
    <row r="775" ht="15" customHeight="1" x14ac:dyDescent="0.15"/>
    <row r="776" ht="15" customHeight="1" x14ac:dyDescent="0.15"/>
    <row r="777" ht="15" customHeight="1" x14ac:dyDescent="0.15"/>
    <row r="778" ht="15" customHeight="1" x14ac:dyDescent="0.15"/>
    <row r="779" ht="15" customHeight="1" x14ac:dyDescent="0.15"/>
    <row r="780" ht="15" customHeight="1" x14ac:dyDescent="0.15"/>
    <row r="781" ht="15" customHeight="1" x14ac:dyDescent="0.15"/>
    <row r="782" ht="15" customHeight="1" x14ac:dyDescent="0.15"/>
    <row r="783" ht="15" customHeight="1" x14ac:dyDescent="0.15"/>
    <row r="784" ht="15" customHeight="1" x14ac:dyDescent="0.15"/>
    <row r="785" ht="15" customHeight="1" x14ac:dyDescent="0.15"/>
    <row r="786" ht="15" customHeight="1" x14ac:dyDescent="0.15"/>
    <row r="787" ht="15" customHeight="1" x14ac:dyDescent="0.15"/>
    <row r="788" ht="15" customHeight="1" x14ac:dyDescent="0.15"/>
    <row r="789" ht="15" customHeight="1" x14ac:dyDescent="0.15"/>
    <row r="790" ht="15" customHeight="1" x14ac:dyDescent="0.15"/>
    <row r="791" ht="15" customHeight="1" x14ac:dyDescent="0.15"/>
    <row r="792" ht="15" customHeight="1" x14ac:dyDescent="0.15"/>
    <row r="793" ht="15" customHeight="1" x14ac:dyDescent="0.15"/>
    <row r="794" ht="15" customHeight="1" x14ac:dyDescent="0.15"/>
    <row r="795" ht="15" customHeight="1" x14ac:dyDescent="0.15"/>
    <row r="796" ht="15" customHeight="1" x14ac:dyDescent="0.15"/>
    <row r="797" ht="15" customHeight="1" x14ac:dyDescent="0.15"/>
    <row r="798" ht="15" customHeight="1" x14ac:dyDescent="0.15"/>
    <row r="799" ht="15" customHeight="1" x14ac:dyDescent="0.15"/>
    <row r="800" ht="15" customHeight="1" x14ac:dyDescent="0.15"/>
    <row r="801" ht="15" customHeight="1" x14ac:dyDescent="0.15"/>
    <row r="802" ht="15" customHeight="1" x14ac:dyDescent="0.15"/>
    <row r="803" ht="15" customHeight="1" x14ac:dyDescent="0.15"/>
    <row r="804" ht="15" customHeight="1" x14ac:dyDescent="0.15"/>
    <row r="805" ht="15" customHeight="1" x14ac:dyDescent="0.15"/>
    <row r="806" ht="15" customHeight="1" x14ac:dyDescent="0.15"/>
    <row r="807" ht="15" customHeight="1" x14ac:dyDescent="0.15"/>
    <row r="808" ht="15" customHeight="1" x14ac:dyDescent="0.15"/>
    <row r="809" ht="15" customHeight="1" x14ac:dyDescent="0.15"/>
    <row r="810" ht="15" customHeight="1" x14ac:dyDescent="0.15"/>
    <row r="811" ht="15" customHeight="1" x14ac:dyDescent="0.15"/>
    <row r="812" ht="15" customHeight="1" x14ac:dyDescent="0.15"/>
    <row r="813" ht="15" customHeight="1" x14ac:dyDescent="0.15"/>
    <row r="814" ht="15" customHeight="1" x14ac:dyDescent="0.15"/>
    <row r="815" ht="15" customHeight="1" x14ac:dyDescent="0.15"/>
    <row r="816" ht="15" customHeight="1" x14ac:dyDescent="0.15"/>
    <row r="817" ht="15" customHeight="1" x14ac:dyDescent="0.15"/>
    <row r="818" ht="15" customHeight="1" x14ac:dyDescent="0.15"/>
    <row r="819" ht="15" customHeight="1" x14ac:dyDescent="0.15"/>
    <row r="820" ht="15" customHeight="1" x14ac:dyDescent="0.15"/>
    <row r="821" ht="15" customHeight="1" x14ac:dyDescent="0.15"/>
    <row r="822" ht="15" customHeight="1" x14ac:dyDescent="0.15"/>
    <row r="823" ht="15" customHeight="1" x14ac:dyDescent="0.15"/>
    <row r="824" ht="15" customHeight="1" x14ac:dyDescent="0.15"/>
    <row r="825" ht="15" customHeight="1" x14ac:dyDescent="0.15"/>
    <row r="826" ht="15" customHeight="1" x14ac:dyDescent="0.15"/>
    <row r="827" ht="15" customHeight="1" x14ac:dyDescent="0.15"/>
    <row r="828" ht="15" customHeight="1" x14ac:dyDescent="0.15"/>
    <row r="829" ht="15" customHeight="1" x14ac:dyDescent="0.15"/>
    <row r="830" ht="15" customHeight="1" x14ac:dyDescent="0.15"/>
    <row r="831" ht="15" customHeight="1" x14ac:dyDescent="0.15"/>
    <row r="832" ht="15" customHeight="1" x14ac:dyDescent="0.15"/>
    <row r="833" ht="15" customHeight="1" x14ac:dyDescent="0.15"/>
    <row r="834" ht="15" customHeight="1" x14ac:dyDescent="0.15"/>
    <row r="835" ht="15" customHeight="1" x14ac:dyDescent="0.15"/>
    <row r="836" ht="15" customHeight="1" x14ac:dyDescent="0.15"/>
    <row r="837" ht="15" customHeight="1" x14ac:dyDescent="0.15"/>
    <row r="838" ht="15" customHeight="1" x14ac:dyDescent="0.15"/>
    <row r="839" ht="15" customHeight="1" x14ac:dyDescent="0.15"/>
    <row r="840" ht="15" customHeight="1" x14ac:dyDescent="0.15"/>
    <row r="841" ht="15" customHeight="1" x14ac:dyDescent="0.15"/>
    <row r="842" ht="15" customHeight="1" x14ac:dyDescent="0.15"/>
    <row r="843" ht="15" customHeight="1" x14ac:dyDescent="0.15"/>
    <row r="844" ht="15" customHeight="1" x14ac:dyDescent="0.15"/>
    <row r="845" ht="15" customHeight="1" x14ac:dyDescent="0.15"/>
    <row r="846" ht="15" customHeight="1" x14ac:dyDescent="0.15"/>
    <row r="847" ht="15" customHeight="1" x14ac:dyDescent="0.15"/>
    <row r="848" ht="15" customHeight="1" x14ac:dyDescent="0.15"/>
    <row r="849" ht="15" customHeight="1" x14ac:dyDescent="0.15"/>
    <row r="850" ht="15" customHeight="1" x14ac:dyDescent="0.15"/>
    <row r="851" ht="15" customHeight="1" x14ac:dyDescent="0.15"/>
    <row r="852" ht="15" customHeight="1" x14ac:dyDescent="0.15"/>
    <row r="853" ht="15" customHeight="1" x14ac:dyDescent="0.15"/>
    <row r="854" ht="15" customHeight="1" x14ac:dyDescent="0.15"/>
    <row r="855" ht="15" customHeight="1" x14ac:dyDescent="0.15"/>
    <row r="856" ht="15" customHeight="1" x14ac:dyDescent="0.15"/>
    <row r="857" ht="15" customHeight="1" x14ac:dyDescent="0.15"/>
    <row r="858" ht="15" customHeight="1" x14ac:dyDescent="0.15"/>
    <row r="859" ht="15" customHeight="1" x14ac:dyDescent="0.15"/>
    <row r="860" ht="15" customHeight="1" x14ac:dyDescent="0.15"/>
    <row r="861" ht="15" customHeight="1" x14ac:dyDescent="0.15"/>
    <row r="862" ht="15" customHeight="1" x14ac:dyDescent="0.15"/>
    <row r="863" ht="15" customHeight="1" x14ac:dyDescent="0.15"/>
    <row r="864" ht="15" customHeight="1" x14ac:dyDescent="0.15"/>
    <row r="865" ht="15" customHeight="1" x14ac:dyDescent="0.15"/>
    <row r="866" ht="15" customHeight="1" x14ac:dyDescent="0.15"/>
    <row r="867" ht="15" customHeight="1" x14ac:dyDescent="0.15"/>
    <row r="868" ht="15" customHeight="1" x14ac:dyDescent="0.15"/>
    <row r="869" ht="15" customHeight="1" x14ac:dyDescent="0.15"/>
    <row r="870" ht="15" customHeight="1" x14ac:dyDescent="0.15"/>
    <row r="871" ht="15" customHeight="1" x14ac:dyDescent="0.15"/>
    <row r="872" ht="15" customHeight="1" x14ac:dyDescent="0.15"/>
    <row r="873" ht="15" customHeight="1" x14ac:dyDescent="0.15"/>
    <row r="874" ht="15" customHeight="1" x14ac:dyDescent="0.15"/>
    <row r="875" ht="15" customHeight="1" x14ac:dyDescent="0.15"/>
    <row r="876" ht="15" customHeight="1" x14ac:dyDescent="0.15"/>
    <row r="877" ht="15" customHeight="1" x14ac:dyDescent="0.15"/>
    <row r="878" ht="15" customHeight="1" x14ac:dyDescent="0.15"/>
    <row r="879" ht="15" customHeight="1" x14ac:dyDescent="0.15"/>
    <row r="880" ht="15" customHeight="1" x14ac:dyDescent="0.15"/>
    <row r="881" ht="15" customHeight="1" x14ac:dyDescent="0.15"/>
    <row r="882" ht="15" customHeight="1" x14ac:dyDescent="0.15"/>
    <row r="883" ht="15" customHeight="1" x14ac:dyDescent="0.15"/>
    <row r="884" ht="15" customHeight="1" x14ac:dyDescent="0.15"/>
    <row r="885" ht="15" customHeight="1" x14ac:dyDescent="0.15"/>
    <row r="886" ht="15" customHeight="1" x14ac:dyDescent="0.15"/>
    <row r="887" ht="15" customHeight="1" x14ac:dyDescent="0.15"/>
    <row r="888" ht="15" customHeight="1" x14ac:dyDescent="0.15"/>
    <row r="889" ht="15" customHeight="1" x14ac:dyDescent="0.15"/>
    <row r="890" ht="15" customHeight="1" x14ac:dyDescent="0.15"/>
    <row r="891" ht="15" customHeight="1" x14ac:dyDescent="0.15"/>
    <row r="892" ht="15" customHeight="1" x14ac:dyDescent="0.15"/>
    <row r="893" ht="15" customHeight="1" x14ac:dyDescent="0.15"/>
    <row r="894" ht="15" customHeight="1" x14ac:dyDescent="0.15"/>
    <row r="895" ht="15" customHeight="1" x14ac:dyDescent="0.15"/>
    <row r="896" ht="15" customHeight="1" x14ac:dyDescent="0.15"/>
    <row r="897" ht="15" customHeight="1" x14ac:dyDescent="0.15"/>
    <row r="898" ht="15" customHeight="1" x14ac:dyDescent="0.15"/>
    <row r="899" ht="15" customHeight="1" x14ac:dyDescent="0.15"/>
    <row r="900" ht="15" customHeight="1" x14ac:dyDescent="0.15"/>
    <row r="901" ht="15" customHeight="1" x14ac:dyDescent="0.15"/>
    <row r="902" ht="15" customHeight="1" x14ac:dyDescent="0.15"/>
    <row r="903" ht="15" customHeight="1" x14ac:dyDescent="0.15"/>
    <row r="904" ht="15" customHeight="1" x14ac:dyDescent="0.15"/>
    <row r="905" ht="15" customHeight="1" x14ac:dyDescent="0.15"/>
    <row r="906" ht="15" customHeight="1" x14ac:dyDescent="0.15"/>
    <row r="907" ht="15" customHeight="1" x14ac:dyDescent="0.15"/>
    <row r="908" ht="15" customHeight="1" x14ac:dyDescent="0.15"/>
    <row r="909" ht="15" customHeight="1" x14ac:dyDescent="0.15"/>
    <row r="910" ht="15" customHeight="1" x14ac:dyDescent="0.15"/>
    <row r="911" ht="15" customHeight="1" x14ac:dyDescent="0.15"/>
    <row r="912" ht="15" customHeight="1" x14ac:dyDescent="0.15"/>
    <row r="913" ht="15" customHeight="1" x14ac:dyDescent="0.15"/>
    <row r="914" ht="15" customHeight="1" x14ac:dyDescent="0.15"/>
    <row r="915" ht="15" customHeight="1" x14ac:dyDescent="0.15"/>
    <row r="916" ht="15" customHeight="1" x14ac:dyDescent="0.15"/>
    <row r="917" ht="15" customHeight="1" x14ac:dyDescent="0.15"/>
    <row r="918" ht="15" customHeight="1" x14ac:dyDescent="0.15"/>
    <row r="919" ht="15" customHeight="1" x14ac:dyDescent="0.15"/>
    <row r="920" ht="15" customHeight="1" x14ac:dyDescent="0.15"/>
    <row r="921" ht="15" customHeight="1" x14ac:dyDescent="0.15"/>
    <row r="922" ht="15" customHeight="1" x14ac:dyDescent="0.15"/>
    <row r="923" ht="15" customHeight="1" x14ac:dyDescent="0.15"/>
    <row r="924" ht="15" customHeight="1" x14ac:dyDescent="0.15"/>
    <row r="925" ht="15" customHeight="1" x14ac:dyDescent="0.15"/>
    <row r="926" ht="15" customHeight="1" x14ac:dyDescent="0.15"/>
    <row r="927" ht="15" customHeight="1" x14ac:dyDescent="0.15"/>
    <row r="928" ht="15" customHeight="1" x14ac:dyDescent="0.15"/>
    <row r="929" ht="15" customHeight="1" x14ac:dyDescent="0.15"/>
    <row r="930" ht="15" customHeight="1" x14ac:dyDescent="0.15"/>
    <row r="931" ht="15" customHeight="1" x14ac:dyDescent="0.15"/>
    <row r="932" ht="15" customHeight="1" x14ac:dyDescent="0.15"/>
    <row r="933" ht="15" customHeight="1" x14ac:dyDescent="0.15"/>
    <row r="934" ht="15" customHeight="1" x14ac:dyDescent="0.15"/>
    <row r="935" ht="15" customHeight="1" x14ac:dyDescent="0.15"/>
    <row r="936" ht="15" customHeight="1" x14ac:dyDescent="0.15"/>
    <row r="937" ht="15" customHeight="1" x14ac:dyDescent="0.15"/>
    <row r="938" ht="15" customHeight="1" x14ac:dyDescent="0.15"/>
    <row r="939" ht="15" customHeight="1" x14ac:dyDescent="0.15"/>
    <row r="940" ht="15" customHeight="1" x14ac:dyDescent="0.15"/>
    <row r="941" ht="15" customHeight="1" x14ac:dyDescent="0.15"/>
    <row r="942" ht="15" customHeight="1" x14ac:dyDescent="0.15"/>
    <row r="943" ht="15" customHeight="1" x14ac:dyDescent="0.15"/>
    <row r="944" ht="15" customHeight="1" x14ac:dyDescent="0.15"/>
    <row r="945" ht="15" customHeight="1" x14ac:dyDescent="0.15"/>
    <row r="946" ht="15" customHeight="1" x14ac:dyDescent="0.15"/>
    <row r="947" ht="15" customHeight="1" x14ac:dyDescent="0.15"/>
    <row r="948" ht="15" customHeight="1" x14ac:dyDescent="0.15"/>
    <row r="949" ht="15" customHeight="1" x14ac:dyDescent="0.15"/>
    <row r="950" ht="15" customHeight="1" x14ac:dyDescent="0.15"/>
    <row r="951" ht="15" customHeight="1" x14ac:dyDescent="0.15"/>
    <row r="952" ht="15" customHeight="1" x14ac:dyDescent="0.15"/>
    <row r="953" ht="15" customHeight="1" x14ac:dyDescent="0.15"/>
    <row r="954" ht="15" customHeight="1" x14ac:dyDescent="0.15"/>
    <row r="955" ht="15" customHeight="1" x14ac:dyDescent="0.15"/>
    <row r="956" ht="15" customHeight="1" x14ac:dyDescent="0.15"/>
    <row r="957" ht="15" customHeight="1" x14ac:dyDescent="0.15"/>
    <row r="958" ht="15" customHeight="1" x14ac:dyDescent="0.15"/>
    <row r="959" ht="15" customHeight="1" x14ac:dyDescent="0.15"/>
    <row r="960" ht="15" customHeight="1" x14ac:dyDescent="0.15"/>
    <row r="961" ht="15" customHeight="1" x14ac:dyDescent="0.15"/>
    <row r="962" ht="15" customHeight="1" x14ac:dyDescent="0.15"/>
    <row r="963" ht="15" customHeight="1" x14ac:dyDescent="0.15"/>
    <row r="964" ht="15" customHeight="1" x14ac:dyDescent="0.15"/>
    <row r="965" ht="15" customHeight="1" x14ac:dyDescent="0.15"/>
    <row r="966" ht="15" customHeight="1" x14ac:dyDescent="0.15"/>
    <row r="967" ht="15" customHeight="1" x14ac:dyDescent="0.15"/>
    <row r="968" ht="15" customHeight="1" x14ac:dyDescent="0.15"/>
    <row r="969" ht="15" customHeight="1" x14ac:dyDescent="0.15"/>
    <row r="970" ht="15" customHeight="1" x14ac:dyDescent="0.15"/>
    <row r="971" ht="15" customHeight="1" x14ac:dyDescent="0.15"/>
    <row r="972" ht="15" customHeight="1" x14ac:dyDescent="0.15"/>
    <row r="973" ht="15" customHeight="1" x14ac:dyDescent="0.15"/>
    <row r="974" ht="15" customHeight="1" x14ac:dyDescent="0.15"/>
    <row r="975" ht="15" customHeight="1" x14ac:dyDescent="0.15"/>
    <row r="976" ht="15" customHeight="1" x14ac:dyDescent="0.15"/>
    <row r="977" ht="15" customHeight="1" x14ac:dyDescent="0.15"/>
    <row r="978" ht="15" customHeight="1" x14ac:dyDescent="0.15"/>
    <row r="979" ht="15" customHeight="1" x14ac:dyDescent="0.15"/>
    <row r="980" ht="15" customHeight="1" x14ac:dyDescent="0.15"/>
    <row r="981" ht="15" customHeight="1" x14ac:dyDescent="0.15"/>
    <row r="982" ht="15" customHeight="1" x14ac:dyDescent="0.15"/>
    <row r="983" ht="15" customHeight="1" x14ac:dyDescent="0.15"/>
    <row r="984" ht="15" customHeight="1" x14ac:dyDescent="0.15"/>
    <row r="985" ht="15" customHeight="1" x14ac:dyDescent="0.15"/>
    <row r="986" ht="15" customHeight="1" x14ac:dyDescent="0.15"/>
    <row r="987" ht="15" customHeight="1" x14ac:dyDescent="0.15"/>
    <row r="988" ht="15" customHeight="1" x14ac:dyDescent="0.15"/>
    <row r="989" ht="15" customHeight="1" x14ac:dyDescent="0.15"/>
    <row r="990" ht="15" customHeight="1" x14ac:dyDescent="0.15"/>
    <row r="991" ht="15" customHeight="1" x14ac:dyDescent="0.15"/>
    <row r="992" ht="15" customHeight="1" x14ac:dyDescent="0.15"/>
    <row r="993" ht="15" customHeight="1" x14ac:dyDescent="0.15"/>
    <row r="994" ht="15" customHeight="1" x14ac:dyDescent="0.15"/>
    <row r="995" ht="15" customHeight="1" x14ac:dyDescent="0.15"/>
    <row r="996" ht="15" customHeight="1" x14ac:dyDescent="0.15"/>
    <row r="997" ht="15" customHeight="1" x14ac:dyDescent="0.15"/>
    <row r="998" ht="15" customHeight="1" x14ac:dyDescent="0.15"/>
    <row r="999" ht="15" customHeight="1" x14ac:dyDescent="0.15"/>
    <row r="1000" ht="15" customHeight="1" x14ac:dyDescent="0.15"/>
    <row r="1001" ht="15" customHeight="1" x14ac:dyDescent="0.15"/>
    <row r="1002" ht="15" customHeight="1" x14ac:dyDescent="0.15"/>
    <row r="1003" ht="15" customHeight="1" x14ac:dyDescent="0.15"/>
    <row r="1004" ht="15" customHeight="1" x14ac:dyDescent="0.15"/>
    <row r="1005" ht="15" customHeight="1" x14ac:dyDescent="0.15"/>
    <row r="1006" ht="15" customHeight="1" x14ac:dyDescent="0.15"/>
    <row r="1007" ht="15" customHeight="1" x14ac:dyDescent="0.15"/>
    <row r="1008" ht="15" customHeight="1" x14ac:dyDescent="0.15"/>
    <row r="1009" ht="15" customHeight="1" x14ac:dyDescent="0.15"/>
    <row r="1010" ht="15" customHeight="1" x14ac:dyDescent="0.15"/>
    <row r="1011" ht="15" customHeight="1" x14ac:dyDescent="0.15"/>
    <row r="1012" ht="15" customHeight="1" x14ac:dyDescent="0.15"/>
    <row r="1013" ht="15" customHeight="1" x14ac:dyDescent="0.15"/>
    <row r="1014" ht="15" customHeight="1" x14ac:dyDescent="0.15"/>
    <row r="1015" ht="15" customHeight="1" x14ac:dyDescent="0.15"/>
    <row r="1016" ht="15" customHeight="1" x14ac:dyDescent="0.15"/>
    <row r="1017" ht="15" customHeight="1" x14ac:dyDescent="0.15"/>
    <row r="1018" ht="15" customHeight="1" x14ac:dyDescent="0.15"/>
    <row r="1019" ht="15" customHeight="1" x14ac:dyDescent="0.15"/>
    <row r="1020" ht="15" customHeight="1" x14ac:dyDescent="0.15"/>
    <row r="1021" ht="15" customHeight="1" x14ac:dyDescent="0.15"/>
    <row r="1022" ht="15" customHeight="1" x14ac:dyDescent="0.15"/>
    <row r="1023" ht="15" customHeight="1" x14ac:dyDescent="0.15"/>
    <row r="1024" ht="15" customHeight="1" x14ac:dyDescent="0.15"/>
    <row r="1025" ht="15" customHeight="1" x14ac:dyDescent="0.15"/>
    <row r="1026" ht="15" customHeight="1" x14ac:dyDescent="0.15"/>
    <row r="1027" ht="15" customHeight="1" x14ac:dyDescent="0.15"/>
    <row r="1028" ht="15" customHeight="1" x14ac:dyDescent="0.15"/>
    <row r="1029" ht="15" customHeight="1" x14ac:dyDescent="0.15"/>
    <row r="1030" ht="15" customHeight="1" x14ac:dyDescent="0.15"/>
    <row r="1031" ht="15" customHeight="1" x14ac:dyDescent="0.15"/>
    <row r="1032" ht="15" customHeight="1" x14ac:dyDescent="0.15"/>
    <row r="1033" ht="15" customHeight="1" x14ac:dyDescent="0.15"/>
    <row r="1034" ht="15" customHeight="1" x14ac:dyDescent="0.15"/>
    <row r="1035" ht="15" customHeight="1" x14ac:dyDescent="0.15"/>
    <row r="1036" ht="15" customHeight="1" x14ac:dyDescent="0.15"/>
    <row r="1037" ht="15" customHeight="1" x14ac:dyDescent="0.15"/>
    <row r="1038" ht="15" customHeight="1" x14ac:dyDescent="0.15"/>
    <row r="1039" ht="15" customHeight="1" x14ac:dyDescent="0.15"/>
    <row r="1040" ht="15" customHeight="1" x14ac:dyDescent="0.15"/>
    <row r="1041" ht="15" customHeight="1" x14ac:dyDescent="0.15"/>
    <row r="1042" ht="15" customHeight="1" x14ac:dyDescent="0.15"/>
    <row r="1043" ht="15" customHeight="1" x14ac:dyDescent="0.15"/>
    <row r="1044" ht="15" customHeight="1" x14ac:dyDescent="0.15"/>
    <row r="1045" ht="15" customHeight="1" x14ac:dyDescent="0.15"/>
    <row r="1046" ht="15" customHeight="1" x14ac:dyDescent="0.15"/>
    <row r="1047" ht="15" customHeight="1" x14ac:dyDescent="0.15"/>
    <row r="1048" ht="15" customHeight="1" x14ac:dyDescent="0.15"/>
    <row r="1049" ht="15" customHeight="1" x14ac:dyDescent="0.15"/>
    <row r="1050" ht="15" customHeight="1" x14ac:dyDescent="0.15"/>
    <row r="1051" ht="15" customHeight="1" x14ac:dyDescent="0.15"/>
    <row r="1052" ht="15" customHeight="1" x14ac:dyDescent="0.15"/>
    <row r="1053" ht="15" customHeight="1" x14ac:dyDescent="0.15"/>
    <row r="1054" ht="15" customHeight="1" x14ac:dyDescent="0.15"/>
    <row r="1055" ht="15" customHeight="1" x14ac:dyDescent="0.15"/>
    <row r="1056" ht="15" customHeight="1" x14ac:dyDescent="0.15"/>
    <row r="1057" ht="15" customHeight="1" x14ac:dyDescent="0.15"/>
    <row r="1058" ht="15" customHeight="1" x14ac:dyDescent="0.15"/>
    <row r="1059" ht="15" customHeight="1" x14ac:dyDescent="0.15"/>
    <row r="1060" ht="15" customHeight="1" x14ac:dyDescent="0.15"/>
    <row r="1061" ht="15" customHeight="1" x14ac:dyDescent="0.15"/>
    <row r="1062" ht="15" customHeight="1" x14ac:dyDescent="0.15"/>
    <row r="1063" ht="15" customHeight="1" x14ac:dyDescent="0.15"/>
    <row r="1064" ht="15" customHeight="1" x14ac:dyDescent="0.15"/>
    <row r="1065" ht="15" customHeight="1" x14ac:dyDescent="0.15"/>
    <row r="1066" ht="15" customHeight="1" x14ac:dyDescent="0.15"/>
    <row r="1067" ht="15" customHeight="1" x14ac:dyDescent="0.15"/>
    <row r="1068" ht="15" customHeight="1" x14ac:dyDescent="0.15"/>
    <row r="1069" ht="15" customHeight="1" x14ac:dyDescent="0.15"/>
    <row r="1070" ht="15" customHeight="1" x14ac:dyDescent="0.15"/>
    <row r="1071" ht="15" customHeight="1" x14ac:dyDescent="0.15"/>
    <row r="1072" ht="15" customHeight="1" x14ac:dyDescent="0.15"/>
    <row r="1073" ht="15" customHeight="1" x14ac:dyDescent="0.15"/>
    <row r="1074" ht="15" customHeight="1" x14ac:dyDescent="0.15"/>
    <row r="1075" ht="15" customHeight="1" x14ac:dyDescent="0.15"/>
    <row r="1076" ht="15" customHeight="1" x14ac:dyDescent="0.15"/>
    <row r="1077" ht="15" customHeight="1" x14ac:dyDescent="0.15"/>
    <row r="1078" ht="15" customHeight="1" x14ac:dyDescent="0.15"/>
    <row r="1079" ht="15" customHeight="1" x14ac:dyDescent="0.15"/>
    <row r="1080" ht="15" customHeight="1" x14ac:dyDescent="0.15"/>
    <row r="1081" ht="15" customHeight="1" x14ac:dyDescent="0.15"/>
    <row r="1082" ht="15" customHeight="1" x14ac:dyDescent="0.15"/>
    <row r="1083" ht="15" customHeight="1" x14ac:dyDescent="0.15"/>
    <row r="1084" ht="15" customHeight="1" x14ac:dyDescent="0.15"/>
    <row r="1085" ht="15" customHeight="1" x14ac:dyDescent="0.15"/>
    <row r="1086" ht="15" customHeight="1" x14ac:dyDescent="0.15"/>
    <row r="1087" ht="15" customHeight="1" x14ac:dyDescent="0.15"/>
    <row r="1088" ht="15" customHeight="1" x14ac:dyDescent="0.15"/>
    <row r="1089" ht="15" customHeight="1" x14ac:dyDescent="0.15"/>
    <row r="1090" ht="15" customHeight="1" x14ac:dyDescent="0.15"/>
    <row r="1091" ht="15" customHeight="1" x14ac:dyDescent="0.15"/>
    <row r="1092" ht="15" customHeight="1" x14ac:dyDescent="0.15"/>
    <row r="1093" ht="15" customHeight="1" x14ac:dyDescent="0.15"/>
    <row r="1094" ht="15" customHeight="1" x14ac:dyDescent="0.15"/>
    <row r="1095" ht="15" customHeight="1" x14ac:dyDescent="0.15"/>
    <row r="1096" ht="15" customHeight="1" x14ac:dyDescent="0.15"/>
    <row r="1097" ht="15" customHeight="1" x14ac:dyDescent="0.15"/>
    <row r="1098" ht="15" customHeight="1" x14ac:dyDescent="0.15"/>
    <row r="1099" ht="15" customHeight="1" x14ac:dyDescent="0.15"/>
    <row r="1100" ht="15" customHeight="1" x14ac:dyDescent="0.15"/>
    <row r="1101" ht="15" customHeight="1" x14ac:dyDescent="0.15"/>
    <row r="1102" ht="15" customHeight="1" x14ac:dyDescent="0.15"/>
    <row r="1103" ht="15" customHeight="1" x14ac:dyDescent="0.15"/>
    <row r="1104" ht="15" customHeight="1" x14ac:dyDescent="0.15"/>
    <row r="1105" ht="15" customHeight="1" x14ac:dyDescent="0.15"/>
    <row r="1106" ht="15" customHeight="1" x14ac:dyDescent="0.15"/>
    <row r="1107" ht="15" customHeight="1" x14ac:dyDescent="0.15"/>
    <row r="1108" ht="15" customHeight="1" x14ac:dyDescent="0.15"/>
    <row r="1109" ht="15" customHeight="1" x14ac:dyDescent="0.15"/>
    <row r="1110" ht="15" customHeight="1" x14ac:dyDescent="0.15"/>
    <row r="1111" ht="15" customHeight="1" x14ac:dyDescent="0.15"/>
    <row r="1112" ht="15" customHeight="1" x14ac:dyDescent="0.15"/>
    <row r="1113" ht="15" customHeight="1" x14ac:dyDescent="0.15"/>
    <row r="1114" ht="15" customHeight="1" x14ac:dyDescent="0.15"/>
    <row r="1115" ht="15" customHeight="1" x14ac:dyDescent="0.15"/>
    <row r="1116" ht="15" customHeight="1" x14ac:dyDescent="0.15"/>
    <row r="1117" ht="15" customHeight="1" x14ac:dyDescent="0.15"/>
    <row r="1118" ht="15" customHeight="1" x14ac:dyDescent="0.15"/>
    <row r="1119" ht="15" customHeight="1" x14ac:dyDescent="0.15"/>
    <row r="1120" ht="15" customHeight="1" x14ac:dyDescent="0.15"/>
    <row r="1121" ht="15" customHeight="1" x14ac:dyDescent="0.15"/>
    <row r="1122" ht="15" customHeight="1" x14ac:dyDescent="0.15"/>
    <row r="1123" ht="15" customHeight="1" x14ac:dyDescent="0.15"/>
    <row r="1124" ht="15" customHeight="1" x14ac:dyDescent="0.15"/>
    <row r="1125" ht="15" customHeight="1" x14ac:dyDescent="0.15"/>
    <row r="1126" ht="15" customHeight="1" x14ac:dyDescent="0.15"/>
    <row r="1127" ht="15" customHeight="1" x14ac:dyDescent="0.15"/>
    <row r="1128" ht="15" customHeight="1" x14ac:dyDescent="0.15"/>
    <row r="1129" ht="15" customHeight="1" x14ac:dyDescent="0.15"/>
    <row r="1130" ht="15" customHeight="1" x14ac:dyDescent="0.15"/>
    <row r="1131" ht="15" customHeight="1" x14ac:dyDescent="0.15"/>
    <row r="1132" ht="15" customHeight="1" x14ac:dyDescent="0.15"/>
    <row r="1133" ht="15" customHeight="1" x14ac:dyDescent="0.15"/>
    <row r="1134" ht="15" customHeight="1" x14ac:dyDescent="0.15"/>
    <row r="1135" ht="15" customHeight="1" x14ac:dyDescent="0.15"/>
    <row r="1136" ht="15" customHeight="1" x14ac:dyDescent="0.15"/>
    <row r="1137" ht="15" customHeight="1" x14ac:dyDescent="0.15"/>
    <row r="1138" ht="15" customHeight="1" x14ac:dyDescent="0.15"/>
    <row r="1139" ht="15" customHeight="1" x14ac:dyDescent="0.15"/>
    <row r="1140" ht="15" customHeight="1" x14ac:dyDescent="0.15"/>
    <row r="1141" ht="15" customHeight="1" x14ac:dyDescent="0.15"/>
    <row r="1142" ht="15" customHeight="1" x14ac:dyDescent="0.15"/>
    <row r="1143" ht="15" customHeight="1" x14ac:dyDescent="0.15"/>
    <row r="1144" ht="15" customHeight="1" x14ac:dyDescent="0.15"/>
    <row r="1145" ht="15" customHeight="1" x14ac:dyDescent="0.15"/>
    <row r="1146" ht="15" customHeight="1" x14ac:dyDescent="0.15"/>
    <row r="1147" ht="15" customHeight="1" x14ac:dyDescent="0.15"/>
    <row r="1148" ht="15" customHeight="1" x14ac:dyDescent="0.15"/>
    <row r="1149" ht="15" customHeight="1" x14ac:dyDescent="0.15"/>
    <row r="1150" ht="15" customHeight="1" x14ac:dyDescent="0.15"/>
    <row r="1151" ht="15" customHeight="1" x14ac:dyDescent="0.15"/>
    <row r="1152" ht="15" customHeight="1" x14ac:dyDescent="0.15"/>
    <row r="1153" ht="15" customHeight="1" x14ac:dyDescent="0.15"/>
    <row r="1154" ht="15" customHeight="1" x14ac:dyDescent="0.15"/>
    <row r="1155" ht="15" customHeight="1" x14ac:dyDescent="0.15"/>
    <row r="1156" ht="15" customHeight="1" x14ac:dyDescent="0.15"/>
    <row r="1157" ht="15" customHeight="1" x14ac:dyDescent="0.15"/>
    <row r="1158" ht="15" customHeight="1" x14ac:dyDescent="0.15"/>
    <row r="1159" ht="15" customHeight="1" x14ac:dyDescent="0.15"/>
    <row r="1160" ht="15" customHeight="1" x14ac:dyDescent="0.15"/>
    <row r="1161" ht="15" customHeight="1" x14ac:dyDescent="0.15"/>
    <row r="1162" ht="15" customHeight="1" x14ac:dyDescent="0.15"/>
    <row r="1163" ht="15" customHeight="1" x14ac:dyDescent="0.15"/>
    <row r="1164" ht="15" customHeight="1" x14ac:dyDescent="0.15"/>
    <row r="1165" ht="15" customHeight="1" x14ac:dyDescent="0.15"/>
    <row r="1166" ht="15" customHeight="1" x14ac:dyDescent="0.15"/>
    <row r="1167" ht="15" customHeight="1" x14ac:dyDescent="0.15"/>
    <row r="1168" ht="15" customHeight="1" x14ac:dyDescent="0.15"/>
    <row r="1169" ht="15" customHeight="1" x14ac:dyDescent="0.15"/>
    <row r="1170" ht="15" customHeight="1" x14ac:dyDescent="0.15"/>
    <row r="1171" ht="15" customHeight="1" x14ac:dyDescent="0.15"/>
    <row r="1172" ht="15" customHeight="1" x14ac:dyDescent="0.15"/>
    <row r="1173" ht="15" customHeight="1" x14ac:dyDescent="0.15"/>
    <row r="1174" ht="15" customHeight="1" x14ac:dyDescent="0.15"/>
    <row r="1175" ht="15" customHeight="1" x14ac:dyDescent="0.15"/>
    <row r="1176" ht="15" customHeight="1" x14ac:dyDescent="0.15"/>
    <row r="1177" ht="15" customHeight="1" x14ac:dyDescent="0.15"/>
    <row r="1178" ht="15" customHeight="1" x14ac:dyDescent="0.15"/>
    <row r="1179" ht="15" customHeight="1" x14ac:dyDescent="0.15"/>
    <row r="1180" ht="15" customHeight="1" x14ac:dyDescent="0.15"/>
    <row r="1181" ht="15" customHeight="1" x14ac:dyDescent="0.15"/>
    <row r="1182" ht="15" customHeight="1" x14ac:dyDescent="0.15"/>
    <row r="1183" ht="15" customHeight="1" x14ac:dyDescent="0.15"/>
    <row r="1184" ht="15" customHeight="1" x14ac:dyDescent="0.15"/>
    <row r="1185" ht="15" customHeight="1" x14ac:dyDescent="0.15"/>
    <row r="1186" ht="15" customHeight="1" x14ac:dyDescent="0.15"/>
    <row r="1187" ht="15" customHeight="1" x14ac:dyDescent="0.15"/>
    <row r="1188" ht="15" customHeight="1" x14ac:dyDescent="0.15"/>
    <row r="1189" ht="15" customHeight="1" x14ac:dyDescent="0.15"/>
    <row r="1190" ht="15" customHeight="1" x14ac:dyDescent="0.15"/>
    <row r="1191" ht="15" customHeight="1" x14ac:dyDescent="0.15"/>
    <row r="1192" ht="15" customHeight="1" x14ac:dyDescent="0.15"/>
    <row r="1193" ht="15" customHeight="1" x14ac:dyDescent="0.15"/>
    <row r="1194" ht="15" customHeight="1" x14ac:dyDescent="0.15"/>
    <row r="1195" ht="15" customHeight="1" x14ac:dyDescent="0.15"/>
    <row r="1196" ht="15" customHeight="1" x14ac:dyDescent="0.15"/>
    <row r="1197" ht="15" customHeight="1" x14ac:dyDescent="0.15"/>
    <row r="1198" ht="15" customHeight="1" x14ac:dyDescent="0.15"/>
    <row r="1199" ht="15" customHeight="1" x14ac:dyDescent="0.15"/>
    <row r="1200" ht="15" customHeight="1" x14ac:dyDescent="0.15"/>
    <row r="1201" ht="15" customHeight="1" x14ac:dyDescent="0.15"/>
    <row r="1202" ht="15" customHeight="1" x14ac:dyDescent="0.15"/>
    <row r="1203" ht="15" customHeight="1" x14ac:dyDescent="0.15"/>
    <row r="1204" ht="15" customHeight="1" x14ac:dyDescent="0.15"/>
    <row r="1205" ht="15" customHeight="1" x14ac:dyDescent="0.15"/>
    <row r="1206" ht="15" customHeight="1" x14ac:dyDescent="0.15"/>
    <row r="1207" ht="15" customHeight="1" x14ac:dyDescent="0.15"/>
    <row r="1208" ht="15" customHeight="1" x14ac:dyDescent="0.15"/>
    <row r="1209" ht="15" customHeight="1" x14ac:dyDescent="0.15"/>
    <row r="1210" ht="15" customHeight="1" x14ac:dyDescent="0.15"/>
    <row r="1211" ht="15" customHeight="1" x14ac:dyDescent="0.15"/>
    <row r="1212" ht="15" customHeight="1" x14ac:dyDescent="0.15"/>
    <row r="1213" ht="15" customHeight="1" x14ac:dyDescent="0.15"/>
    <row r="1214" ht="15" customHeight="1" x14ac:dyDescent="0.15"/>
    <row r="1215" ht="15" customHeight="1" x14ac:dyDescent="0.15"/>
    <row r="1216" ht="15" customHeight="1" x14ac:dyDescent="0.15"/>
    <row r="1217" ht="15" customHeight="1" x14ac:dyDescent="0.15"/>
    <row r="1218" ht="15" customHeight="1" x14ac:dyDescent="0.15"/>
    <row r="1219" ht="15" customHeight="1" x14ac:dyDescent="0.15"/>
    <row r="1220" ht="15" customHeight="1" x14ac:dyDescent="0.15"/>
    <row r="1221" ht="15" customHeight="1" x14ac:dyDescent="0.15"/>
    <row r="1222" ht="15" customHeight="1" x14ac:dyDescent="0.15"/>
    <row r="1223" ht="15" customHeight="1" x14ac:dyDescent="0.15"/>
    <row r="1224" ht="15" customHeight="1" x14ac:dyDescent="0.15"/>
    <row r="1225" ht="15" customHeight="1" x14ac:dyDescent="0.15"/>
    <row r="1226" ht="15" customHeight="1" x14ac:dyDescent="0.15"/>
    <row r="1227" ht="15" customHeight="1" x14ac:dyDescent="0.15"/>
    <row r="1228" ht="15" customHeight="1" x14ac:dyDescent="0.15"/>
    <row r="1229" ht="15" customHeight="1" x14ac:dyDescent="0.15"/>
    <row r="1230" ht="15" customHeight="1" x14ac:dyDescent="0.15"/>
    <row r="1231" ht="15" customHeight="1" x14ac:dyDescent="0.15"/>
    <row r="1232" ht="15" customHeight="1" x14ac:dyDescent="0.15"/>
    <row r="1233" ht="15" customHeight="1" x14ac:dyDescent="0.15"/>
    <row r="1234" ht="15" customHeight="1" x14ac:dyDescent="0.15"/>
    <row r="1235" ht="15" customHeight="1" x14ac:dyDescent="0.15"/>
    <row r="1236" ht="15" customHeight="1" x14ac:dyDescent="0.15"/>
    <row r="1237" ht="15" customHeight="1" x14ac:dyDescent="0.15"/>
    <row r="1238" ht="15" customHeight="1" x14ac:dyDescent="0.15"/>
    <row r="1239" ht="15" customHeight="1" x14ac:dyDescent="0.15"/>
    <row r="1240" ht="15" customHeight="1" x14ac:dyDescent="0.15"/>
    <row r="1241" ht="15" customHeight="1" x14ac:dyDescent="0.15"/>
    <row r="1242" ht="15" customHeight="1" x14ac:dyDescent="0.15"/>
    <row r="1243" ht="15" customHeight="1" x14ac:dyDescent="0.15"/>
    <row r="1244" ht="15" customHeight="1" x14ac:dyDescent="0.15"/>
    <row r="1245" ht="15" customHeight="1" x14ac:dyDescent="0.15"/>
    <row r="1246" ht="15" customHeight="1" x14ac:dyDescent="0.15"/>
    <row r="1247" ht="15" customHeight="1" x14ac:dyDescent="0.15"/>
    <row r="1248" ht="15" customHeight="1" x14ac:dyDescent="0.15"/>
    <row r="1249" ht="15" customHeight="1" x14ac:dyDescent="0.15"/>
    <row r="1250" ht="15" customHeight="1" x14ac:dyDescent="0.15"/>
    <row r="1251" ht="15" customHeight="1" x14ac:dyDescent="0.15"/>
    <row r="1252" ht="15" customHeight="1" x14ac:dyDescent="0.15"/>
    <row r="1253" ht="15" customHeight="1" x14ac:dyDescent="0.15"/>
    <row r="1254" ht="15" customHeight="1" x14ac:dyDescent="0.15"/>
    <row r="1255" ht="15" customHeight="1" x14ac:dyDescent="0.15"/>
    <row r="1256" ht="15" customHeight="1" x14ac:dyDescent="0.15"/>
    <row r="1257" ht="15" customHeight="1" x14ac:dyDescent="0.15"/>
    <row r="1258" ht="15" customHeight="1" x14ac:dyDescent="0.15"/>
    <row r="1259" ht="15" customHeight="1" x14ac:dyDescent="0.15"/>
    <row r="1260" ht="15" customHeight="1" x14ac:dyDescent="0.15"/>
    <row r="1261" ht="15" customHeight="1" x14ac:dyDescent="0.15"/>
    <row r="1262" ht="15" customHeight="1" x14ac:dyDescent="0.15"/>
    <row r="1263" ht="15" customHeight="1" x14ac:dyDescent="0.15"/>
    <row r="1264" ht="15" customHeight="1" x14ac:dyDescent="0.15"/>
    <row r="1265" ht="15" customHeight="1" x14ac:dyDescent="0.15"/>
    <row r="1266" ht="15" customHeight="1" x14ac:dyDescent="0.15"/>
    <row r="1267" ht="15" customHeight="1" x14ac:dyDescent="0.15"/>
    <row r="1268" ht="15" customHeight="1" x14ac:dyDescent="0.15"/>
    <row r="1269" ht="15" customHeight="1" x14ac:dyDescent="0.15"/>
    <row r="1270" ht="15" customHeight="1" x14ac:dyDescent="0.15"/>
    <row r="1271" ht="15" customHeight="1" x14ac:dyDescent="0.15"/>
    <row r="1272" ht="15" customHeight="1" x14ac:dyDescent="0.15"/>
    <row r="1273" ht="15" customHeight="1" x14ac:dyDescent="0.15"/>
    <row r="1274" ht="15" customHeight="1" x14ac:dyDescent="0.15"/>
    <row r="1275" ht="15" customHeight="1" x14ac:dyDescent="0.15"/>
    <row r="1276" ht="15" customHeight="1" x14ac:dyDescent="0.15"/>
    <row r="1277" ht="15" customHeight="1" x14ac:dyDescent="0.15"/>
    <row r="1278" ht="15" customHeight="1" x14ac:dyDescent="0.15"/>
    <row r="1279" ht="15" customHeight="1" x14ac:dyDescent="0.15"/>
    <row r="1280" ht="15" customHeight="1" x14ac:dyDescent="0.15"/>
    <row r="1281" ht="15" customHeight="1" x14ac:dyDescent="0.15"/>
    <row r="1282" ht="15" customHeight="1" x14ac:dyDescent="0.15"/>
    <row r="1283" ht="15" customHeight="1" x14ac:dyDescent="0.15"/>
    <row r="1284" ht="15" customHeight="1" x14ac:dyDescent="0.15"/>
    <row r="1285" ht="15" customHeight="1" x14ac:dyDescent="0.15"/>
    <row r="1286" ht="15" customHeight="1" x14ac:dyDescent="0.15"/>
    <row r="1287" ht="15" customHeight="1" x14ac:dyDescent="0.15"/>
    <row r="1288" ht="15" customHeight="1" x14ac:dyDescent="0.15"/>
    <row r="1289" ht="15" customHeight="1" x14ac:dyDescent="0.15"/>
    <row r="1290" ht="15" customHeight="1" x14ac:dyDescent="0.15"/>
    <row r="1291" ht="15" customHeight="1" x14ac:dyDescent="0.15"/>
    <row r="1292" ht="15" customHeight="1" x14ac:dyDescent="0.15"/>
    <row r="1293" ht="15" customHeight="1" x14ac:dyDescent="0.15"/>
    <row r="1294" ht="15" customHeight="1" x14ac:dyDescent="0.15"/>
    <row r="1295" ht="15" customHeight="1" x14ac:dyDescent="0.15"/>
    <row r="1296" ht="15" customHeight="1" x14ac:dyDescent="0.15"/>
    <row r="1297" ht="15" customHeight="1" x14ac:dyDescent="0.15"/>
    <row r="1298" ht="15" customHeight="1" x14ac:dyDescent="0.15"/>
    <row r="1299" ht="15" customHeight="1" x14ac:dyDescent="0.15"/>
    <row r="1300" ht="15" customHeight="1" x14ac:dyDescent="0.15"/>
    <row r="1301" ht="15" customHeight="1" x14ac:dyDescent="0.15"/>
    <row r="1302" ht="15" customHeight="1" x14ac:dyDescent="0.15"/>
    <row r="1303" ht="15" customHeight="1" x14ac:dyDescent="0.15"/>
    <row r="1304" ht="15" customHeight="1" x14ac:dyDescent="0.15"/>
    <row r="1305" ht="15" customHeight="1" x14ac:dyDescent="0.15"/>
    <row r="1306" ht="15" customHeight="1" x14ac:dyDescent="0.15"/>
    <row r="1307" ht="15" customHeight="1" x14ac:dyDescent="0.15"/>
    <row r="1308" ht="15" customHeight="1" x14ac:dyDescent="0.15"/>
    <row r="1309" ht="15" customHeight="1" x14ac:dyDescent="0.15"/>
    <row r="1310" ht="15" customHeight="1" x14ac:dyDescent="0.15"/>
    <row r="1311" ht="15" customHeight="1" x14ac:dyDescent="0.15"/>
    <row r="1312" ht="15" customHeight="1" x14ac:dyDescent="0.15"/>
    <row r="1313" ht="15" customHeight="1" x14ac:dyDescent="0.15"/>
    <row r="1314" ht="15" customHeight="1" x14ac:dyDescent="0.15"/>
    <row r="1315" ht="15" customHeight="1" x14ac:dyDescent="0.15"/>
    <row r="1316" ht="15" customHeight="1" x14ac:dyDescent="0.15"/>
    <row r="1317" ht="15" customHeight="1" x14ac:dyDescent="0.15"/>
    <row r="1318" ht="15" customHeight="1" x14ac:dyDescent="0.15"/>
    <row r="1319" ht="15" customHeight="1" x14ac:dyDescent="0.15"/>
    <row r="1320" ht="15" customHeight="1" x14ac:dyDescent="0.15"/>
    <row r="1321" ht="15" customHeight="1" x14ac:dyDescent="0.15"/>
    <row r="1322" ht="15" customHeight="1" x14ac:dyDescent="0.15"/>
    <row r="1323" ht="15" customHeight="1" x14ac:dyDescent="0.15"/>
    <row r="1324" ht="15" customHeight="1" x14ac:dyDescent="0.15"/>
    <row r="1325" ht="15" customHeight="1" x14ac:dyDescent="0.15"/>
    <row r="1326" ht="15" customHeight="1" x14ac:dyDescent="0.15"/>
    <row r="1327" ht="15" customHeight="1" x14ac:dyDescent="0.15"/>
    <row r="1328" ht="15" customHeight="1" x14ac:dyDescent="0.15"/>
    <row r="1329" ht="15" customHeight="1" x14ac:dyDescent="0.15"/>
    <row r="1330" ht="15" customHeight="1" x14ac:dyDescent="0.15"/>
    <row r="1331" ht="15" customHeight="1" x14ac:dyDescent="0.15"/>
    <row r="1332" ht="15" customHeight="1" x14ac:dyDescent="0.15"/>
    <row r="1333" ht="15" customHeight="1" x14ac:dyDescent="0.15"/>
    <row r="1334" ht="15" customHeight="1" x14ac:dyDescent="0.15"/>
    <row r="1335" ht="15" customHeight="1" x14ac:dyDescent="0.15"/>
    <row r="1336" ht="15" customHeight="1" x14ac:dyDescent="0.15"/>
    <row r="1337" ht="15" customHeight="1" x14ac:dyDescent="0.15"/>
    <row r="1338" ht="15" customHeight="1" x14ac:dyDescent="0.15"/>
    <row r="1339" ht="15" customHeight="1" x14ac:dyDescent="0.15"/>
    <row r="1340" ht="15" customHeight="1" x14ac:dyDescent="0.15"/>
    <row r="1341" ht="15" customHeight="1" x14ac:dyDescent="0.15"/>
    <row r="1342" ht="15" customHeight="1" x14ac:dyDescent="0.15"/>
    <row r="1343" ht="15" customHeight="1" x14ac:dyDescent="0.15"/>
    <row r="1344" ht="15" customHeight="1" x14ac:dyDescent="0.15"/>
    <row r="1345" ht="15" customHeight="1" x14ac:dyDescent="0.15"/>
    <row r="1346" ht="15" customHeight="1" x14ac:dyDescent="0.15"/>
    <row r="1347" ht="15" customHeight="1" x14ac:dyDescent="0.15"/>
    <row r="1348" ht="15" customHeight="1" x14ac:dyDescent="0.15"/>
    <row r="1349" ht="15" customHeight="1" x14ac:dyDescent="0.15"/>
    <row r="1350" ht="15" customHeight="1" x14ac:dyDescent="0.15"/>
    <row r="1351" ht="15" customHeight="1" x14ac:dyDescent="0.15"/>
    <row r="1352" ht="15" customHeight="1" x14ac:dyDescent="0.15"/>
    <row r="1353" ht="15" customHeight="1" x14ac:dyDescent="0.15"/>
    <row r="1354" ht="15" customHeight="1" x14ac:dyDescent="0.15"/>
    <row r="1355" ht="15" customHeight="1" x14ac:dyDescent="0.15"/>
    <row r="1356" ht="15" customHeight="1" x14ac:dyDescent="0.15"/>
    <row r="1357" ht="15" customHeight="1" x14ac:dyDescent="0.15"/>
    <row r="1358" ht="15" customHeight="1" x14ac:dyDescent="0.15"/>
    <row r="1359" ht="15" customHeight="1" x14ac:dyDescent="0.15"/>
    <row r="1360" ht="15" customHeight="1" x14ac:dyDescent="0.15"/>
    <row r="1361" ht="15" customHeight="1" x14ac:dyDescent="0.15"/>
    <row r="1362" ht="15" customHeight="1" x14ac:dyDescent="0.15"/>
    <row r="1363" ht="15" customHeight="1" x14ac:dyDescent="0.15"/>
    <row r="1364" ht="15" customHeight="1" x14ac:dyDescent="0.15"/>
    <row r="1365" ht="15" customHeight="1" x14ac:dyDescent="0.15"/>
    <row r="1366" ht="15" customHeight="1" x14ac:dyDescent="0.15"/>
    <row r="1367" ht="15" customHeight="1" x14ac:dyDescent="0.15"/>
    <row r="1368" ht="15" customHeight="1" x14ac:dyDescent="0.15"/>
    <row r="1369" ht="15" customHeight="1" x14ac:dyDescent="0.15"/>
    <row r="1370" ht="15" customHeight="1" x14ac:dyDescent="0.15"/>
    <row r="1371" ht="15" customHeight="1" x14ac:dyDescent="0.15"/>
    <row r="1372" ht="15" customHeight="1" x14ac:dyDescent="0.15"/>
    <row r="1373" ht="15" customHeight="1" x14ac:dyDescent="0.15"/>
    <row r="1374" ht="15" customHeight="1" x14ac:dyDescent="0.15"/>
    <row r="1375" ht="15" customHeight="1" x14ac:dyDescent="0.15"/>
    <row r="1376" ht="15" customHeight="1" x14ac:dyDescent="0.15"/>
    <row r="1377" ht="15" customHeight="1" x14ac:dyDescent="0.15"/>
    <row r="1378" ht="15" customHeight="1" x14ac:dyDescent="0.15"/>
    <row r="1379" ht="15" customHeight="1" x14ac:dyDescent="0.15"/>
    <row r="1380" ht="15" customHeight="1" x14ac:dyDescent="0.15"/>
    <row r="1381" ht="15" customHeight="1" x14ac:dyDescent="0.15"/>
    <row r="1382" ht="15" customHeight="1" x14ac:dyDescent="0.15"/>
    <row r="1383" ht="15" customHeight="1" x14ac:dyDescent="0.15"/>
    <row r="1384" ht="15" customHeight="1" x14ac:dyDescent="0.15"/>
    <row r="1385" ht="15" customHeight="1" x14ac:dyDescent="0.15"/>
    <row r="1386" ht="15" customHeight="1" x14ac:dyDescent="0.15"/>
    <row r="1387" ht="15" customHeight="1" x14ac:dyDescent="0.15"/>
    <row r="1388" ht="15" customHeight="1" x14ac:dyDescent="0.15"/>
    <row r="1389" ht="15" customHeight="1" x14ac:dyDescent="0.15"/>
    <row r="1390" ht="15" customHeight="1" x14ac:dyDescent="0.15"/>
    <row r="1391" ht="15" customHeight="1" x14ac:dyDescent="0.15"/>
    <row r="1392" ht="15" customHeight="1" x14ac:dyDescent="0.15"/>
    <row r="1393" ht="15" customHeight="1" x14ac:dyDescent="0.15"/>
    <row r="1394" ht="15" customHeight="1" x14ac:dyDescent="0.15"/>
    <row r="1395" ht="15" customHeight="1" x14ac:dyDescent="0.15"/>
    <row r="1396" ht="15" customHeight="1" x14ac:dyDescent="0.15"/>
    <row r="1397" ht="15" customHeight="1" x14ac:dyDescent="0.15"/>
    <row r="1398" ht="15" customHeight="1" x14ac:dyDescent="0.15"/>
    <row r="1399" ht="15" customHeight="1" x14ac:dyDescent="0.15"/>
    <row r="1400" ht="15" customHeight="1" x14ac:dyDescent="0.15"/>
    <row r="1401" ht="15" customHeight="1" x14ac:dyDescent="0.15"/>
    <row r="1402" ht="15" customHeight="1" x14ac:dyDescent="0.15"/>
    <row r="1403" ht="15" customHeight="1" x14ac:dyDescent="0.15"/>
    <row r="1404" ht="15" customHeight="1" x14ac:dyDescent="0.15"/>
    <row r="1405" ht="15" customHeight="1" x14ac:dyDescent="0.15"/>
    <row r="1406" ht="15" customHeight="1" x14ac:dyDescent="0.15"/>
    <row r="1407" ht="15" customHeight="1" x14ac:dyDescent="0.15"/>
    <row r="1408" ht="15" customHeight="1" x14ac:dyDescent="0.15"/>
    <row r="1409" ht="15" customHeight="1" x14ac:dyDescent="0.15"/>
    <row r="1410" ht="15" customHeight="1" x14ac:dyDescent="0.15"/>
    <row r="1411" ht="15" customHeight="1" x14ac:dyDescent="0.15"/>
    <row r="1412" ht="15" customHeight="1" x14ac:dyDescent="0.15"/>
    <row r="1413" ht="15" customHeight="1" x14ac:dyDescent="0.15"/>
    <row r="1414" ht="15" customHeight="1" x14ac:dyDescent="0.15"/>
    <row r="1415" ht="15" customHeight="1" x14ac:dyDescent="0.15"/>
    <row r="1416" ht="15" customHeight="1" x14ac:dyDescent="0.15"/>
    <row r="1417" ht="15" customHeight="1" x14ac:dyDescent="0.15"/>
    <row r="1418" ht="15" customHeight="1" x14ac:dyDescent="0.15"/>
    <row r="1419" ht="15" customHeight="1" x14ac:dyDescent="0.15"/>
    <row r="1420" ht="15" customHeight="1" x14ac:dyDescent="0.15"/>
    <row r="1421" ht="15" customHeight="1" x14ac:dyDescent="0.15"/>
    <row r="1422" ht="15" customHeight="1" x14ac:dyDescent="0.15"/>
    <row r="1423" ht="15" customHeight="1" x14ac:dyDescent="0.15"/>
    <row r="1424" ht="15" customHeight="1" x14ac:dyDescent="0.15"/>
    <row r="1425" ht="15" customHeight="1" x14ac:dyDescent="0.15"/>
    <row r="1426" ht="15" customHeight="1" x14ac:dyDescent="0.15"/>
    <row r="1427" ht="15" customHeight="1" x14ac:dyDescent="0.15"/>
    <row r="1428" ht="15" customHeight="1" x14ac:dyDescent="0.15"/>
    <row r="1429" ht="15" customHeight="1" x14ac:dyDescent="0.15"/>
    <row r="1430" ht="15" customHeight="1" x14ac:dyDescent="0.15"/>
    <row r="1431" ht="15" customHeight="1" x14ac:dyDescent="0.15"/>
    <row r="1432" ht="15" customHeight="1" x14ac:dyDescent="0.15"/>
    <row r="1433" ht="15" customHeight="1" x14ac:dyDescent="0.15"/>
    <row r="1434" ht="15" customHeight="1" x14ac:dyDescent="0.15"/>
    <row r="1435" ht="15" customHeight="1" x14ac:dyDescent="0.15"/>
    <row r="1436" ht="15" customHeight="1" x14ac:dyDescent="0.15"/>
    <row r="1437" ht="15" customHeight="1" x14ac:dyDescent="0.15"/>
    <row r="1438" ht="15" customHeight="1" x14ac:dyDescent="0.15"/>
    <row r="1439" ht="15" customHeight="1" x14ac:dyDescent="0.15"/>
    <row r="1440" ht="15" customHeight="1" x14ac:dyDescent="0.15"/>
    <row r="1441" ht="15" customHeight="1" x14ac:dyDescent="0.15"/>
    <row r="1442" ht="15" customHeight="1" x14ac:dyDescent="0.15"/>
    <row r="1443" ht="15" customHeight="1" x14ac:dyDescent="0.15"/>
    <row r="1444" ht="15" customHeight="1" x14ac:dyDescent="0.15"/>
    <row r="1445" ht="15" customHeight="1" x14ac:dyDescent="0.15"/>
    <row r="1446" ht="15" customHeight="1" x14ac:dyDescent="0.15"/>
    <row r="1447" ht="15" customHeight="1" x14ac:dyDescent="0.15"/>
    <row r="1448" ht="15" customHeight="1" x14ac:dyDescent="0.15"/>
    <row r="1449" ht="15" customHeight="1" x14ac:dyDescent="0.15"/>
    <row r="1450" ht="15" customHeight="1" x14ac:dyDescent="0.15"/>
    <row r="1451" ht="15" customHeight="1" x14ac:dyDescent="0.15"/>
    <row r="1452" ht="15" customHeight="1" x14ac:dyDescent="0.15"/>
    <row r="1453" ht="15" customHeight="1" x14ac:dyDescent="0.15"/>
    <row r="1454" ht="15" customHeight="1" x14ac:dyDescent="0.15"/>
    <row r="1455" ht="15" customHeight="1" x14ac:dyDescent="0.15"/>
    <row r="1456" ht="15" customHeight="1" x14ac:dyDescent="0.15"/>
    <row r="1457" ht="15" customHeight="1" x14ac:dyDescent="0.15"/>
    <row r="1458" ht="15" customHeight="1" x14ac:dyDescent="0.15"/>
    <row r="1459" ht="15" customHeight="1" x14ac:dyDescent="0.15"/>
    <row r="1460" ht="15" customHeight="1" x14ac:dyDescent="0.15"/>
    <row r="1461" ht="15" customHeight="1" x14ac:dyDescent="0.15"/>
    <row r="1462" ht="15" customHeight="1" x14ac:dyDescent="0.15"/>
    <row r="1463" ht="15" customHeight="1" x14ac:dyDescent="0.15"/>
    <row r="1464" ht="15" customHeight="1" x14ac:dyDescent="0.15"/>
    <row r="1465" ht="15" customHeight="1" x14ac:dyDescent="0.15"/>
    <row r="1466" ht="15" customHeight="1" x14ac:dyDescent="0.15"/>
    <row r="1467" ht="15" customHeight="1" x14ac:dyDescent="0.15"/>
    <row r="1468" ht="15" customHeight="1" x14ac:dyDescent="0.15"/>
    <row r="1469" ht="15" customHeight="1" x14ac:dyDescent="0.15"/>
    <row r="1470" ht="15" customHeight="1" x14ac:dyDescent="0.15"/>
    <row r="1471" ht="15" customHeight="1" x14ac:dyDescent="0.15"/>
    <row r="1472" ht="15" customHeight="1" x14ac:dyDescent="0.15"/>
    <row r="1473" ht="15" customHeight="1" x14ac:dyDescent="0.15"/>
    <row r="1474" ht="15" customHeight="1" x14ac:dyDescent="0.15"/>
    <row r="1475" ht="15" customHeight="1" x14ac:dyDescent="0.15"/>
    <row r="1476" ht="15" customHeight="1" x14ac:dyDescent="0.15"/>
    <row r="1477" ht="15" customHeight="1" x14ac:dyDescent="0.15"/>
    <row r="1478" ht="15" customHeight="1" x14ac:dyDescent="0.15"/>
    <row r="1479" ht="15" customHeight="1" x14ac:dyDescent="0.15"/>
    <row r="1480" ht="15" customHeight="1" x14ac:dyDescent="0.15"/>
    <row r="1481" ht="15" customHeight="1" x14ac:dyDescent="0.15"/>
    <row r="1482" ht="15" customHeight="1" x14ac:dyDescent="0.15"/>
    <row r="1483" ht="15" customHeight="1" x14ac:dyDescent="0.15"/>
    <row r="1484" ht="15" customHeight="1" x14ac:dyDescent="0.15"/>
    <row r="1485" ht="15" customHeight="1" x14ac:dyDescent="0.15"/>
    <row r="1486" ht="15" customHeight="1" x14ac:dyDescent="0.15"/>
    <row r="1487" ht="15" customHeight="1" x14ac:dyDescent="0.15"/>
    <row r="1488" ht="15" customHeight="1" x14ac:dyDescent="0.15"/>
    <row r="1489" ht="15" customHeight="1" x14ac:dyDescent="0.15"/>
    <row r="1490" ht="15" customHeight="1" x14ac:dyDescent="0.15"/>
    <row r="1491" ht="15" customHeight="1" x14ac:dyDescent="0.15"/>
    <row r="1492" ht="15" customHeight="1" x14ac:dyDescent="0.15"/>
    <row r="1493" ht="15" customHeight="1" x14ac:dyDescent="0.15"/>
    <row r="1494" ht="15" customHeight="1" x14ac:dyDescent="0.15"/>
    <row r="1495" ht="15" customHeight="1" x14ac:dyDescent="0.15"/>
    <row r="1496" ht="15" customHeight="1" x14ac:dyDescent="0.15"/>
    <row r="1497" ht="15" customHeight="1" x14ac:dyDescent="0.15"/>
    <row r="1498" ht="15" customHeight="1" x14ac:dyDescent="0.15"/>
    <row r="1499" ht="15" customHeight="1" x14ac:dyDescent="0.15"/>
    <row r="1500" ht="15" customHeight="1" x14ac:dyDescent="0.15"/>
    <row r="1501" ht="15" customHeight="1" x14ac:dyDescent="0.15"/>
    <row r="1502" ht="15" customHeight="1" x14ac:dyDescent="0.15"/>
    <row r="1503" ht="15" customHeight="1" x14ac:dyDescent="0.15"/>
    <row r="1504" ht="15" customHeight="1" x14ac:dyDescent="0.15"/>
    <row r="1505" ht="15" customHeight="1" x14ac:dyDescent="0.15"/>
    <row r="1506" ht="15" customHeight="1" x14ac:dyDescent="0.15"/>
    <row r="1507" ht="15" customHeight="1" x14ac:dyDescent="0.15"/>
    <row r="1508" ht="15" customHeight="1" x14ac:dyDescent="0.15"/>
    <row r="1509" ht="15" customHeight="1" x14ac:dyDescent="0.15"/>
    <row r="1510" ht="15" customHeight="1" x14ac:dyDescent="0.15"/>
    <row r="1511" ht="15" customHeight="1" x14ac:dyDescent="0.15"/>
    <row r="1512" ht="15" customHeight="1" x14ac:dyDescent="0.15"/>
    <row r="1513" ht="15" customHeight="1" x14ac:dyDescent="0.15"/>
    <row r="1514" ht="15" customHeight="1" x14ac:dyDescent="0.15"/>
    <row r="1515" ht="15" customHeight="1" x14ac:dyDescent="0.15"/>
    <row r="1516" ht="15" customHeight="1" x14ac:dyDescent="0.15"/>
    <row r="1517" ht="15" customHeight="1" x14ac:dyDescent="0.15"/>
    <row r="1518" ht="15" customHeight="1" x14ac:dyDescent="0.15"/>
    <row r="1519" ht="15" customHeight="1" x14ac:dyDescent="0.15"/>
    <row r="1520" ht="15" customHeight="1" x14ac:dyDescent="0.15"/>
    <row r="1521" ht="15" customHeight="1" x14ac:dyDescent="0.15"/>
    <row r="1522" ht="15" customHeight="1" x14ac:dyDescent="0.15"/>
    <row r="1523" ht="15" customHeight="1" x14ac:dyDescent="0.15"/>
    <row r="1524" ht="15" customHeight="1" x14ac:dyDescent="0.15"/>
    <row r="1525" ht="15" customHeight="1" x14ac:dyDescent="0.15"/>
    <row r="1526" ht="15" customHeight="1" x14ac:dyDescent="0.15"/>
    <row r="1527" ht="15" customHeight="1" x14ac:dyDescent="0.15"/>
    <row r="1528" ht="15" customHeight="1" x14ac:dyDescent="0.15"/>
    <row r="1529" ht="15" customHeight="1" x14ac:dyDescent="0.15"/>
    <row r="1530" ht="15" customHeight="1" x14ac:dyDescent="0.15"/>
    <row r="1531" ht="15" customHeight="1" x14ac:dyDescent="0.15"/>
    <row r="1532" ht="15" customHeight="1" x14ac:dyDescent="0.15"/>
    <row r="1533" ht="15" customHeight="1" x14ac:dyDescent="0.15"/>
    <row r="1534" ht="15" customHeight="1" x14ac:dyDescent="0.15"/>
    <row r="1535" ht="15" customHeight="1" x14ac:dyDescent="0.15"/>
    <row r="1536" ht="15" customHeight="1" x14ac:dyDescent="0.15"/>
    <row r="1537" ht="15" customHeight="1" x14ac:dyDescent="0.15"/>
    <row r="1538" ht="15" customHeight="1" x14ac:dyDescent="0.15"/>
    <row r="1539" ht="15" customHeight="1" x14ac:dyDescent="0.15"/>
    <row r="1540" ht="15" customHeight="1" x14ac:dyDescent="0.15"/>
    <row r="1541" ht="15" customHeight="1" x14ac:dyDescent="0.15"/>
    <row r="1542" ht="15" customHeight="1" x14ac:dyDescent="0.15"/>
    <row r="1543" ht="15" customHeight="1" x14ac:dyDescent="0.15"/>
    <row r="1544" ht="15" customHeight="1" x14ac:dyDescent="0.15"/>
    <row r="1545" ht="15" customHeight="1" x14ac:dyDescent="0.15"/>
    <row r="1546" ht="15" customHeight="1" x14ac:dyDescent="0.15"/>
    <row r="1547" ht="15" customHeight="1" x14ac:dyDescent="0.15"/>
    <row r="1548" ht="15" customHeight="1" x14ac:dyDescent="0.15"/>
    <row r="1549" ht="15" customHeight="1" x14ac:dyDescent="0.15"/>
    <row r="1550" ht="15" customHeight="1" x14ac:dyDescent="0.15"/>
    <row r="1551" ht="15" customHeight="1" x14ac:dyDescent="0.15"/>
    <row r="1552" ht="15" customHeight="1" x14ac:dyDescent="0.15"/>
    <row r="1553" ht="15" customHeight="1" x14ac:dyDescent="0.15"/>
    <row r="1554" ht="15" customHeight="1" x14ac:dyDescent="0.15"/>
    <row r="1555" ht="15" customHeight="1" x14ac:dyDescent="0.15"/>
    <row r="1556" ht="15" customHeight="1" x14ac:dyDescent="0.15"/>
    <row r="1557" ht="15" customHeight="1" x14ac:dyDescent="0.15"/>
    <row r="1558" ht="15" customHeight="1" x14ac:dyDescent="0.15"/>
    <row r="1559" ht="15" customHeight="1" x14ac:dyDescent="0.15"/>
    <row r="1560" ht="15" customHeight="1" x14ac:dyDescent="0.15"/>
    <row r="1561" ht="15" customHeight="1" x14ac:dyDescent="0.15"/>
    <row r="1562" ht="15" customHeight="1" x14ac:dyDescent="0.15"/>
    <row r="1563" ht="15" customHeight="1" x14ac:dyDescent="0.15"/>
    <row r="1564" ht="15" customHeight="1" x14ac:dyDescent="0.15"/>
    <row r="1565" ht="15" customHeight="1" x14ac:dyDescent="0.15"/>
    <row r="1566" ht="15" customHeight="1" x14ac:dyDescent="0.15"/>
    <row r="1567" ht="15" customHeight="1" x14ac:dyDescent="0.15"/>
    <row r="1568" ht="15" customHeight="1" x14ac:dyDescent="0.15"/>
    <row r="1569" ht="15" customHeight="1" x14ac:dyDescent="0.15"/>
    <row r="1570" ht="15" customHeight="1" x14ac:dyDescent="0.15"/>
    <row r="1571" ht="15" customHeight="1" x14ac:dyDescent="0.15"/>
    <row r="1572" ht="15" customHeight="1" x14ac:dyDescent="0.15"/>
    <row r="1573" ht="15" customHeight="1" x14ac:dyDescent="0.15"/>
    <row r="1574" ht="15" customHeight="1" x14ac:dyDescent="0.15"/>
    <row r="1575" ht="15" customHeight="1" x14ac:dyDescent="0.15"/>
    <row r="1576" ht="15" customHeight="1" x14ac:dyDescent="0.15"/>
    <row r="1577" ht="15" customHeight="1" x14ac:dyDescent="0.15"/>
    <row r="1578" ht="15" customHeight="1" x14ac:dyDescent="0.15"/>
    <row r="1579" ht="15" customHeight="1" x14ac:dyDescent="0.15"/>
    <row r="1580" ht="15" customHeight="1" x14ac:dyDescent="0.15"/>
    <row r="1581" ht="15" customHeight="1" x14ac:dyDescent="0.15"/>
    <row r="1582" ht="15" customHeight="1" x14ac:dyDescent="0.15"/>
    <row r="1583" ht="15" customHeight="1" x14ac:dyDescent="0.15"/>
    <row r="1584" ht="15" customHeight="1" x14ac:dyDescent="0.15"/>
    <row r="1585" ht="15" customHeight="1" x14ac:dyDescent="0.15"/>
    <row r="1586" ht="15" customHeight="1" x14ac:dyDescent="0.15"/>
    <row r="1587" ht="15" customHeight="1" x14ac:dyDescent="0.15"/>
    <row r="1588" ht="15" customHeight="1" x14ac:dyDescent="0.15"/>
    <row r="1589" ht="15" customHeight="1" x14ac:dyDescent="0.15"/>
    <row r="1590" ht="15" customHeight="1" x14ac:dyDescent="0.15"/>
    <row r="1591" ht="15" customHeight="1" x14ac:dyDescent="0.15"/>
    <row r="1592" ht="15" customHeight="1" x14ac:dyDescent="0.15"/>
    <row r="1593" ht="15" customHeight="1" x14ac:dyDescent="0.15"/>
    <row r="1594" ht="15" customHeight="1" x14ac:dyDescent="0.15"/>
    <row r="1595" ht="15" customHeight="1" x14ac:dyDescent="0.15"/>
    <row r="1596" ht="15" customHeight="1" x14ac:dyDescent="0.15"/>
    <row r="1597" ht="15" customHeight="1" x14ac:dyDescent="0.15"/>
    <row r="1598" ht="15" customHeight="1" x14ac:dyDescent="0.15"/>
    <row r="1599" ht="15" customHeight="1" x14ac:dyDescent="0.15"/>
    <row r="1600" ht="15" customHeight="1" x14ac:dyDescent="0.15"/>
    <row r="1601" ht="15" customHeight="1" x14ac:dyDescent="0.15"/>
    <row r="1602" ht="15" customHeight="1" x14ac:dyDescent="0.15"/>
    <row r="1603" ht="15" customHeight="1" x14ac:dyDescent="0.15"/>
    <row r="1604" ht="15" customHeight="1" x14ac:dyDescent="0.15"/>
    <row r="1605" ht="15" customHeight="1" x14ac:dyDescent="0.15"/>
    <row r="1606" ht="15" customHeight="1" x14ac:dyDescent="0.15"/>
    <row r="1607" ht="15" customHeight="1" x14ac:dyDescent="0.15"/>
    <row r="1608" ht="15" customHeight="1" x14ac:dyDescent="0.15"/>
    <row r="1609" ht="15" customHeight="1" x14ac:dyDescent="0.15"/>
    <row r="1610" ht="15" customHeight="1" x14ac:dyDescent="0.15"/>
    <row r="1611" ht="15" customHeight="1" x14ac:dyDescent="0.15"/>
    <row r="1612" ht="15" customHeight="1" x14ac:dyDescent="0.15"/>
    <row r="1613" ht="15" customHeight="1" x14ac:dyDescent="0.15"/>
    <row r="1614" ht="15" customHeight="1" x14ac:dyDescent="0.15"/>
    <row r="1615" ht="15" customHeight="1" x14ac:dyDescent="0.15"/>
    <row r="1616" ht="15" customHeight="1" x14ac:dyDescent="0.15"/>
    <row r="1617" ht="15" customHeight="1" x14ac:dyDescent="0.15"/>
    <row r="1618" ht="15" customHeight="1" x14ac:dyDescent="0.15"/>
    <row r="1619" ht="15" customHeight="1" x14ac:dyDescent="0.15"/>
    <row r="1620" ht="15" customHeight="1" x14ac:dyDescent="0.15"/>
    <row r="1621" ht="15" customHeight="1" x14ac:dyDescent="0.15"/>
    <row r="1622" ht="15" customHeight="1" x14ac:dyDescent="0.15"/>
    <row r="1623" ht="15" customHeight="1" x14ac:dyDescent="0.15"/>
    <row r="1624" ht="15" customHeight="1" x14ac:dyDescent="0.15"/>
    <row r="1625" ht="15" customHeight="1" x14ac:dyDescent="0.15"/>
    <row r="1626" ht="15" customHeight="1" x14ac:dyDescent="0.15"/>
    <row r="1627" ht="15" customHeight="1" x14ac:dyDescent="0.15"/>
    <row r="1628" ht="15" customHeight="1" x14ac:dyDescent="0.15"/>
    <row r="1629" ht="15" customHeight="1" x14ac:dyDescent="0.15"/>
    <row r="1630" ht="15" customHeight="1" x14ac:dyDescent="0.15"/>
    <row r="1631" ht="15" customHeight="1" x14ac:dyDescent="0.15"/>
    <row r="1632" ht="15" customHeight="1" x14ac:dyDescent="0.15"/>
    <row r="1633" ht="15" customHeight="1" x14ac:dyDescent="0.15"/>
    <row r="1634" ht="15" customHeight="1" x14ac:dyDescent="0.15"/>
    <row r="1635" ht="15" customHeight="1" x14ac:dyDescent="0.15"/>
    <row r="1636" ht="15" customHeight="1" x14ac:dyDescent="0.15"/>
    <row r="1637" ht="15" customHeight="1" x14ac:dyDescent="0.15"/>
    <row r="1638" ht="15" customHeight="1" x14ac:dyDescent="0.15"/>
    <row r="1639" ht="15" customHeight="1" x14ac:dyDescent="0.15"/>
    <row r="1640" ht="15" customHeight="1" x14ac:dyDescent="0.15"/>
    <row r="1641" ht="15" customHeight="1" x14ac:dyDescent="0.15"/>
    <row r="1642" ht="15" customHeight="1" x14ac:dyDescent="0.15"/>
    <row r="1643" ht="15" customHeight="1" x14ac:dyDescent="0.15"/>
    <row r="1644" ht="15" customHeight="1" x14ac:dyDescent="0.15"/>
    <row r="1645" ht="15" customHeight="1" x14ac:dyDescent="0.15"/>
    <row r="1646" ht="15" customHeight="1" x14ac:dyDescent="0.15"/>
    <row r="1647" ht="15" customHeight="1" x14ac:dyDescent="0.15"/>
    <row r="1648" ht="15" customHeight="1" x14ac:dyDescent="0.15"/>
    <row r="1649" ht="15" customHeight="1" x14ac:dyDescent="0.15"/>
    <row r="1650" ht="15" customHeight="1" x14ac:dyDescent="0.15"/>
    <row r="1651" ht="15" customHeight="1" x14ac:dyDescent="0.15"/>
    <row r="1652" ht="15" customHeight="1" x14ac:dyDescent="0.15"/>
    <row r="1653" ht="15" customHeight="1" x14ac:dyDescent="0.15"/>
    <row r="1654" ht="15" customHeight="1" x14ac:dyDescent="0.15"/>
    <row r="1655" ht="15" customHeight="1" x14ac:dyDescent="0.15"/>
    <row r="1656" ht="15" customHeight="1" x14ac:dyDescent="0.15"/>
    <row r="1657" ht="15" customHeight="1" x14ac:dyDescent="0.15"/>
    <row r="1658" ht="15" customHeight="1" x14ac:dyDescent="0.15"/>
    <row r="1659" ht="15" customHeight="1" x14ac:dyDescent="0.15"/>
    <row r="1660" ht="15" customHeight="1" x14ac:dyDescent="0.15"/>
    <row r="1661" ht="15" customHeight="1" x14ac:dyDescent="0.15"/>
    <row r="1662" ht="15" customHeight="1" x14ac:dyDescent="0.15"/>
    <row r="1663" ht="15" customHeight="1" x14ac:dyDescent="0.15"/>
    <row r="1664" ht="15" customHeight="1" x14ac:dyDescent="0.15"/>
    <row r="1665" ht="15" customHeight="1" x14ac:dyDescent="0.15"/>
    <row r="1666" ht="15" customHeight="1" x14ac:dyDescent="0.15"/>
    <row r="1667" ht="15" customHeight="1" x14ac:dyDescent="0.15"/>
    <row r="1668" ht="15" customHeight="1" x14ac:dyDescent="0.15"/>
    <row r="1669" ht="15" customHeight="1" x14ac:dyDescent="0.15"/>
    <row r="1670" ht="15" customHeight="1" x14ac:dyDescent="0.15"/>
    <row r="1671" ht="15" customHeight="1" x14ac:dyDescent="0.15"/>
    <row r="1672" ht="15" customHeight="1" x14ac:dyDescent="0.15"/>
    <row r="1673" ht="15" customHeight="1" x14ac:dyDescent="0.15"/>
    <row r="1674" ht="15" customHeight="1" x14ac:dyDescent="0.15"/>
    <row r="1675" ht="15" customHeight="1" x14ac:dyDescent="0.15"/>
    <row r="1676" ht="15" customHeight="1" x14ac:dyDescent="0.15"/>
    <row r="1677" ht="15" customHeight="1" x14ac:dyDescent="0.15"/>
    <row r="1678" ht="15" customHeight="1" x14ac:dyDescent="0.15"/>
    <row r="1679" ht="15" customHeight="1" x14ac:dyDescent="0.15"/>
    <row r="1680" ht="15" customHeight="1" x14ac:dyDescent="0.15"/>
    <row r="1681" ht="15" customHeight="1" x14ac:dyDescent="0.15"/>
    <row r="1682" ht="15" customHeight="1" x14ac:dyDescent="0.15"/>
    <row r="1683" ht="15" customHeight="1" x14ac:dyDescent="0.15"/>
    <row r="1684" ht="15" customHeight="1" x14ac:dyDescent="0.15"/>
    <row r="1685" ht="15" customHeight="1" x14ac:dyDescent="0.15"/>
    <row r="1686" ht="15" customHeight="1" x14ac:dyDescent="0.15"/>
    <row r="1687" ht="15" customHeight="1" x14ac:dyDescent="0.15"/>
    <row r="1688" ht="15" customHeight="1" x14ac:dyDescent="0.15"/>
    <row r="1689" ht="15" customHeight="1" x14ac:dyDescent="0.15"/>
    <row r="1690" ht="15" customHeight="1" x14ac:dyDescent="0.15"/>
    <row r="1691" ht="15" customHeight="1" x14ac:dyDescent="0.15"/>
    <row r="1692" ht="15" customHeight="1" x14ac:dyDescent="0.15"/>
    <row r="1693" ht="15" customHeight="1" x14ac:dyDescent="0.15"/>
    <row r="1694" ht="15" customHeight="1" x14ac:dyDescent="0.15"/>
    <row r="1695" ht="15" customHeight="1" x14ac:dyDescent="0.15"/>
    <row r="1696" ht="15" customHeight="1" x14ac:dyDescent="0.15"/>
    <row r="1697" ht="15" customHeight="1" x14ac:dyDescent="0.15"/>
    <row r="1698" ht="15" customHeight="1" x14ac:dyDescent="0.15"/>
    <row r="1699" ht="15" customHeight="1" x14ac:dyDescent="0.15"/>
    <row r="1700" ht="15" customHeight="1" x14ac:dyDescent="0.15"/>
    <row r="1701" ht="15" customHeight="1" x14ac:dyDescent="0.15"/>
    <row r="1702" ht="15" customHeight="1" x14ac:dyDescent="0.15"/>
    <row r="1703" ht="15" customHeight="1" x14ac:dyDescent="0.15"/>
    <row r="1704" ht="15" customHeight="1" x14ac:dyDescent="0.15"/>
    <row r="1705" ht="15" customHeight="1" x14ac:dyDescent="0.15"/>
    <row r="1706" ht="15" customHeight="1" x14ac:dyDescent="0.15"/>
    <row r="1707" ht="15" customHeight="1" x14ac:dyDescent="0.15"/>
    <row r="1708" ht="15" customHeight="1" x14ac:dyDescent="0.15"/>
    <row r="1709" ht="15" customHeight="1" x14ac:dyDescent="0.15"/>
    <row r="1710" ht="15" customHeight="1" x14ac:dyDescent="0.15"/>
    <row r="1711" ht="15" customHeight="1" x14ac:dyDescent="0.15"/>
    <row r="1712" ht="15" customHeight="1" x14ac:dyDescent="0.15"/>
    <row r="1713" ht="15" customHeight="1" x14ac:dyDescent="0.15"/>
    <row r="1714" ht="15" customHeight="1" x14ac:dyDescent="0.15"/>
    <row r="1715" ht="15" customHeight="1" x14ac:dyDescent="0.15"/>
    <row r="1716" ht="15" customHeight="1" x14ac:dyDescent="0.15"/>
    <row r="1717" ht="15" customHeight="1" x14ac:dyDescent="0.15"/>
    <row r="1718" ht="15" customHeight="1" x14ac:dyDescent="0.15"/>
    <row r="1719" ht="15" customHeight="1" x14ac:dyDescent="0.15"/>
    <row r="1720" ht="15" customHeight="1" x14ac:dyDescent="0.15"/>
    <row r="1721" ht="15" customHeight="1" x14ac:dyDescent="0.15"/>
    <row r="1722" ht="15" customHeight="1" x14ac:dyDescent="0.15"/>
    <row r="1723" ht="15" customHeight="1" x14ac:dyDescent="0.15"/>
    <row r="1724" ht="15" customHeight="1" x14ac:dyDescent="0.15"/>
    <row r="1725" ht="15" customHeight="1" x14ac:dyDescent="0.15"/>
    <row r="1726" ht="15" customHeight="1" x14ac:dyDescent="0.15"/>
    <row r="1727" ht="15" customHeight="1" x14ac:dyDescent="0.15"/>
    <row r="1728" ht="15" customHeight="1" x14ac:dyDescent="0.15"/>
    <row r="1729" ht="15" customHeight="1" x14ac:dyDescent="0.15"/>
    <row r="1730" ht="15" customHeight="1" x14ac:dyDescent="0.15"/>
    <row r="1731" ht="15" customHeight="1" x14ac:dyDescent="0.15"/>
    <row r="1732" ht="15" customHeight="1" x14ac:dyDescent="0.15"/>
    <row r="1733" ht="15" customHeight="1" x14ac:dyDescent="0.15"/>
    <row r="1734" ht="15" customHeight="1" x14ac:dyDescent="0.15"/>
    <row r="1735" ht="15" customHeight="1" x14ac:dyDescent="0.15"/>
    <row r="1736" ht="15" customHeight="1" x14ac:dyDescent="0.15"/>
    <row r="1737" ht="15" customHeight="1" x14ac:dyDescent="0.15"/>
    <row r="1738" ht="15" customHeight="1" x14ac:dyDescent="0.15"/>
    <row r="1739" ht="15" customHeight="1" x14ac:dyDescent="0.15"/>
    <row r="1740" ht="15" customHeight="1" x14ac:dyDescent="0.15"/>
    <row r="1741" ht="15" customHeight="1" x14ac:dyDescent="0.15"/>
    <row r="1742" ht="15" customHeight="1" x14ac:dyDescent="0.15"/>
    <row r="1743" ht="15" customHeight="1" x14ac:dyDescent="0.15"/>
    <row r="1744" ht="15" customHeight="1" x14ac:dyDescent="0.15"/>
    <row r="1745" ht="15" customHeight="1" x14ac:dyDescent="0.15"/>
    <row r="1746" ht="15" customHeight="1" x14ac:dyDescent="0.15"/>
    <row r="1747" ht="15" customHeight="1" x14ac:dyDescent="0.15"/>
    <row r="1748" ht="15" customHeight="1" x14ac:dyDescent="0.15"/>
    <row r="1749" ht="15" customHeight="1" x14ac:dyDescent="0.15"/>
    <row r="1750" ht="15" customHeight="1" x14ac:dyDescent="0.15"/>
    <row r="1751" ht="15" customHeight="1" x14ac:dyDescent="0.15"/>
    <row r="1752" ht="15" customHeight="1" x14ac:dyDescent="0.15"/>
    <row r="1753" ht="15" customHeight="1" x14ac:dyDescent="0.15"/>
    <row r="1754" ht="15" customHeight="1" x14ac:dyDescent="0.15"/>
    <row r="1755" ht="15" customHeight="1" x14ac:dyDescent="0.15"/>
    <row r="1756" ht="15" customHeight="1" x14ac:dyDescent="0.15"/>
    <row r="1757" ht="15" customHeight="1" x14ac:dyDescent="0.15"/>
    <row r="1758" ht="15" customHeight="1" x14ac:dyDescent="0.15"/>
    <row r="1759" ht="15" customHeight="1" x14ac:dyDescent="0.15"/>
    <row r="1760" ht="15" customHeight="1" x14ac:dyDescent="0.15"/>
    <row r="1761" ht="15" customHeight="1" x14ac:dyDescent="0.15"/>
    <row r="1762" ht="15" customHeight="1" x14ac:dyDescent="0.15"/>
    <row r="1763" ht="15" customHeight="1" x14ac:dyDescent="0.15"/>
    <row r="1764" ht="15" customHeight="1" x14ac:dyDescent="0.15"/>
    <row r="1765" ht="15" customHeight="1" x14ac:dyDescent="0.15"/>
    <row r="1766" ht="15" customHeight="1" x14ac:dyDescent="0.15"/>
    <row r="1767" ht="15" customHeight="1" x14ac:dyDescent="0.15"/>
    <row r="1768" ht="15" customHeight="1" x14ac:dyDescent="0.15"/>
    <row r="1769" ht="15" customHeight="1" x14ac:dyDescent="0.15"/>
    <row r="1770" ht="15" customHeight="1" x14ac:dyDescent="0.15"/>
    <row r="1771" ht="15" customHeight="1" x14ac:dyDescent="0.15"/>
    <row r="1772" ht="15" customHeight="1" x14ac:dyDescent="0.15"/>
    <row r="1773" ht="15" customHeight="1" x14ac:dyDescent="0.15"/>
    <row r="1774" ht="15" customHeight="1" x14ac:dyDescent="0.15"/>
    <row r="1775" ht="15" customHeight="1" x14ac:dyDescent="0.15"/>
    <row r="1776" ht="15" customHeight="1" x14ac:dyDescent="0.15"/>
    <row r="1777" ht="15" customHeight="1" x14ac:dyDescent="0.15"/>
    <row r="1778" ht="15" customHeight="1" x14ac:dyDescent="0.15"/>
    <row r="1779" ht="15" customHeight="1" x14ac:dyDescent="0.15"/>
    <row r="1780" ht="15" customHeight="1" x14ac:dyDescent="0.15"/>
    <row r="1781" ht="15" customHeight="1" x14ac:dyDescent="0.15"/>
    <row r="1782" ht="15" customHeight="1" x14ac:dyDescent="0.15"/>
    <row r="1783" ht="15" customHeight="1" x14ac:dyDescent="0.15"/>
    <row r="1784" ht="15" customHeight="1" x14ac:dyDescent="0.15"/>
    <row r="1785" ht="15" customHeight="1" x14ac:dyDescent="0.15"/>
    <row r="1786" ht="15" customHeight="1" x14ac:dyDescent="0.15"/>
    <row r="1787" ht="15" customHeight="1" x14ac:dyDescent="0.15"/>
    <row r="1788" ht="15" customHeight="1" x14ac:dyDescent="0.15"/>
    <row r="1789" ht="15" customHeight="1" x14ac:dyDescent="0.15"/>
    <row r="1790" ht="15" customHeight="1" x14ac:dyDescent="0.15"/>
    <row r="1791" ht="15" customHeight="1" x14ac:dyDescent="0.15"/>
    <row r="1792" ht="15" customHeight="1" x14ac:dyDescent="0.15"/>
    <row r="1793" ht="15" customHeight="1" x14ac:dyDescent="0.15"/>
    <row r="1794" ht="15" customHeight="1" x14ac:dyDescent="0.15"/>
    <row r="1795" ht="15" customHeight="1" x14ac:dyDescent="0.15"/>
    <row r="1796" ht="15" customHeight="1" x14ac:dyDescent="0.15"/>
    <row r="1797" ht="15" customHeight="1" x14ac:dyDescent="0.15"/>
    <row r="1798" ht="15" customHeight="1" x14ac:dyDescent="0.15"/>
    <row r="1799" ht="15" customHeight="1" x14ac:dyDescent="0.15"/>
    <row r="1800" ht="15" customHeight="1" x14ac:dyDescent="0.15"/>
    <row r="1801" ht="15" customHeight="1" x14ac:dyDescent="0.15"/>
    <row r="1802" ht="15" customHeight="1" x14ac:dyDescent="0.15"/>
    <row r="1803" ht="15" customHeight="1" x14ac:dyDescent="0.15"/>
    <row r="1804" ht="15" customHeight="1" x14ac:dyDescent="0.15"/>
    <row r="1805" ht="15" customHeight="1" x14ac:dyDescent="0.15"/>
    <row r="1806" ht="15" customHeight="1" x14ac:dyDescent="0.15"/>
    <row r="1807" ht="15" customHeight="1" x14ac:dyDescent="0.15"/>
    <row r="1808" ht="15" customHeight="1" x14ac:dyDescent="0.15"/>
    <row r="1809" ht="15" customHeight="1" x14ac:dyDescent="0.15"/>
    <row r="1810" ht="15" customHeight="1" x14ac:dyDescent="0.15"/>
    <row r="1811" ht="15" customHeight="1" x14ac:dyDescent="0.15"/>
    <row r="1812" ht="15" customHeight="1" x14ac:dyDescent="0.15"/>
    <row r="1813" ht="15" customHeight="1" x14ac:dyDescent="0.15"/>
    <row r="1814" ht="15" customHeight="1" x14ac:dyDescent="0.15"/>
    <row r="1815" ht="15" customHeight="1" x14ac:dyDescent="0.15"/>
    <row r="1816" ht="15" customHeight="1" x14ac:dyDescent="0.15"/>
    <row r="1817" ht="15" customHeight="1" x14ac:dyDescent="0.15"/>
    <row r="1818" ht="15" customHeight="1" x14ac:dyDescent="0.15"/>
    <row r="1819" ht="15" customHeight="1" x14ac:dyDescent="0.15"/>
    <row r="1820" ht="15" customHeight="1" x14ac:dyDescent="0.15"/>
    <row r="1821" ht="15" customHeight="1" x14ac:dyDescent="0.15"/>
    <row r="1822" ht="15" customHeight="1" x14ac:dyDescent="0.15"/>
    <row r="1823" ht="15" customHeight="1" x14ac:dyDescent="0.15"/>
    <row r="1824" ht="15" customHeight="1" x14ac:dyDescent="0.15"/>
    <row r="1825" ht="15" customHeight="1" x14ac:dyDescent="0.15"/>
    <row r="1826" ht="15" customHeight="1" x14ac:dyDescent="0.15"/>
    <row r="1827" ht="15" customHeight="1" x14ac:dyDescent="0.15"/>
    <row r="1828" ht="15" customHeight="1" x14ac:dyDescent="0.15"/>
    <row r="1829" ht="15" customHeight="1" x14ac:dyDescent="0.15"/>
    <row r="1830" ht="15" customHeight="1" x14ac:dyDescent="0.15"/>
    <row r="1831" ht="15" customHeight="1" x14ac:dyDescent="0.15"/>
    <row r="1832" ht="15" customHeight="1" x14ac:dyDescent="0.15"/>
    <row r="1833" ht="15" customHeight="1" x14ac:dyDescent="0.15"/>
    <row r="1834" ht="15" customHeight="1" x14ac:dyDescent="0.15"/>
    <row r="1835" ht="15" customHeight="1" x14ac:dyDescent="0.15"/>
    <row r="1836" ht="15" customHeight="1" x14ac:dyDescent="0.15"/>
    <row r="1837" ht="15" customHeight="1" x14ac:dyDescent="0.15"/>
    <row r="1838" ht="15" customHeight="1" x14ac:dyDescent="0.15"/>
    <row r="1839" ht="15" customHeight="1" x14ac:dyDescent="0.15"/>
    <row r="1840" ht="15" customHeight="1" x14ac:dyDescent="0.15"/>
    <row r="1841" ht="15" customHeight="1" x14ac:dyDescent="0.15"/>
    <row r="1842" ht="15" customHeight="1" x14ac:dyDescent="0.15"/>
    <row r="1843" ht="15" customHeight="1" x14ac:dyDescent="0.15"/>
    <row r="1844" ht="15" customHeight="1" x14ac:dyDescent="0.15"/>
    <row r="1845" ht="15" customHeight="1" x14ac:dyDescent="0.15"/>
    <row r="1846" ht="15" customHeight="1" x14ac:dyDescent="0.15"/>
    <row r="1847" ht="15" customHeight="1" x14ac:dyDescent="0.15"/>
    <row r="1848" ht="15" customHeight="1" x14ac:dyDescent="0.15"/>
    <row r="1849" ht="15" customHeight="1" x14ac:dyDescent="0.15"/>
    <row r="1850" ht="15" customHeight="1" x14ac:dyDescent="0.15"/>
    <row r="1851" ht="15" customHeight="1" x14ac:dyDescent="0.15"/>
    <row r="1852" ht="15" customHeight="1" x14ac:dyDescent="0.15"/>
    <row r="1853" ht="15" customHeight="1" x14ac:dyDescent="0.15"/>
    <row r="1854" ht="15" customHeight="1" x14ac:dyDescent="0.15"/>
    <row r="1855" ht="15" customHeight="1" x14ac:dyDescent="0.15"/>
    <row r="1856" ht="15" customHeight="1" x14ac:dyDescent="0.15"/>
    <row r="1857" ht="15" customHeight="1" x14ac:dyDescent="0.15"/>
    <row r="1858" ht="15" customHeight="1" x14ac:dyDescent="0.15"/>
    <row r="1859" ht="15" customHeight="1" x14ac:dyDescent="0.15"/>
    <row r="1860" ht="15" customHeight="1" x14ac:dyDescent="0.15"/>
    <row r="1861" ht="15" customHeight="1" x14ac:dyDescent="0.15"/>
    <row r="1862" ht="15" customHeight="1" x14ac:dyDescent="0.15"/>
    <row r="1863" ht="15" customHeight="1" x14ac:dyDescent="0.15"/>
    <row r="1864" ht="15" customHeight="1" x14ac:dyDescent="0.15"/>
    <row r="1865" ht="15" customHeight="1" x14ac:dyDescent="0.15"/>
    <row r="1866" ht="15" customHeight="1" x14ac:dyDescent="0.15"/>
    <row r="1867" ht="15" customHeight="1" x14ac:dyDescent="0.15"/>
    <row r="1868" ht="15" customHeight="1" x14ac:dyDescent="0.15"/>
    <row r="1869" ht="15" customHeight="1" x14ac:dyDescent="0.15"/>
    <row r="1870" ht="15" customHeight="1" x14ac:dyDescent="0.15"/>
    <row r="1871" ht="15" customHeight="1" x14ac:dyDescent="0.15"/>
    <row r="1872" ht="15" customHeight="1" x14ac:dyDescent="0.15"/>
    <row r="1873" ht="15" customHeight="1" x14ac:dyDescent="0.15"/>
    <row r="1874" ht="15" customHeight="1" x14ac:dyDescent="0.15"/>
    <row r="1875" ht="15" customHeight="1" x14ac:dyDescent="0.15"/>
    <row r="1876" ht="15" customHeight="1" x14ac:dyDescent="0.15"/>
    <row r="1877" ht="15" customHeight="1" x14ac:dyDescent="0.15"/>
    <row r="1878" ht="15" customHeight="1" x14ac:dyDescent="0.15"/>
    <row r="1879" ht="15" customHeight="1" x14ac:dyDescent="0.15"/>
    <row r="1880" ht="15" customHeight="1" x14ac:dyDescent="0.15"/>
    <row r="1881" ht="15" customHeight="1" x14ac:dyDescent="0.15"/>
    <row r="1882" ht="15" customHeight="1" x14ac:dyDescent="0.15"/>
    <row r="1883" ht="15" customHeight="1" x14ac:dyDescent="0.15"/>
    <row r="1884" ht="15" customHeight="1" x14ac:dyDescent="0.15"/>
    <row r="1885" ht="15" customHeight="1" x14ac:dyDescent="0.15"/>
    <row r="1886" ht="15" customHeight="1" x14ac:dyDescent="0.15"/>
    <row r="1887" ht="15" customHeight="1" x14ac:dyDescent="0.15"/>
    <row r="1888" ht="15" customHeight="1" x14ac:dyDescent="0.15"/>
    <row r="1889" ht="15" customHeight="1" x14ac:dyDescent="0.15"/>
    <row r="1890" ht="15" customHeight="1" x14ac:dyDescent="0.15"/>
    <row r="1891" ht="15" customHeight="1" x14ac:dyDescent="0.15"/>
    <row r="1892" ht="15" customHeight="1" x14ac:dyDescent="0.15"/>
    <row r="1893" ht="15" customHeight="1" x14ac:dyDescent="0.15"/>
    <row r="1894" ht="15" customHeight="1" x14ac:dyDescent="0.15"/>
    <row r="1895" ht="15" customHeight="1" x14ac:dyDescent="0.15"/>
    <row r="1896" ht="15" customHeight="1" x14ac:dyDescent="0.15"/>
    <row r="1897" ht="15" customHeight="1" x14ac:dyDescent="0.15"/>
    <row r="1898" ht="15" customHeight="1" x14ac:dyDescent="0.15"/>
    <row r="1899" ht="15" customHeight="1" x14ac:dyDescent="0.15"/>
    <row r="1900" ht="15" customHeight="1" x14ac:dyDescent="0.15"/>
    <row r="1901" ht="15" customHeight="1" x14ac:dyDescent="0.15"/>
    <row r="1902" ht="15" customHeight="1" x14ac:dyDescent="0.15"/>
    <row r="1903" ht="15" customHeight="1" x14ac:dyDescent="0.15"/>
    <row r="1904" ht="15" customHeight="1" x14ac:dyDescent="0.15"/>
    <row r="1905" ht="15" customHeight="1" x14ac:dyDescent="0.15"/>
    <row r="1906" ht="15" customHeight="1" x14ac:dyDescent="0.15"/>
    <row r="1907" ht="15" customHeight="1" x14ac:dyDescent="0.15"/>
    <row r="1908" ht="15" customHeight="1" x14ac:dyDescent="0.15"/>
    <row r="1909" ht="15" customHeight="1" x14ac:dyDescent="0.15"/>
    <row r="1910" ht="15" customHeight="1" x14ac:dyDescent="0.15"/>
    <row r="1911" ht="15" customHeight="1" x14ac:dyDescent="0.15"/>
    <row r="1912" ht="15" customHeight="1" x14ac:dyDescent="0.15"/>
    <row r="1913" ht="15" customHeight="1" x14ac:dyDescent="0.15"/>
    <row r="1914" ht="15" customHeight="1" x14ac:dyDescent="0.15"/>
    <row r="1915" ht="15" customHeight="1" x14ac:dyDescent="0.15"/>
    <row r="1916" ht="15" customHeight="1" x14ac:dyDescent="0.15"/>
    <row r="1917" ht="15" customHeight="1" x14ac:dyDescent="0.15"/>
    <row r="1918" ht="15" customHeight="1" x14ac:dyDescent="0.15"/>
    <row r="1919" ht="15" customHeight="1" x14ac:dyDescent="0.15"/>
    <row r="1920" ht="15" customHeight="1" x14ac:dyDescent="0.15"/>
    <row r="1921" ht="15" customHeight="1" x14ac:dyDescent="0.15"/>
    <row r="1922" ht="15" customHeight="1" x14ac:dyDescent="0.15"/>
    <row r="1923" ht="15" customHeight="1" x14ac:dyDescent="0.15"/>
    <row r="1924" ht="15" customHeight="1" x14ac:dyDescent="0.15"/>
    <row r="1925" ht="15" customHeight="1" x14ac:dyDescent="0.15"/>
    <row r="1926" ht="15" customHeight="1" x14ac:dyDescent="0.15"/>
    <row r="1927" ht="15" customHeight="1" x14ac:dyDescent="0.15"/>
    <row r="1928" ht="15" customHeight="1" x14ac:dyDescent="0.15"/>
    <row r="1929" ht="15" customHeight="1" x14ac:dyDescent="0.15"/>
    <row r="1930" ht="15" customHeight="1" x14ac:dyDescent="0.15"/>
    <row r="1931" ht="15" customHeight="1" x14ac:dyDescent="0.15"/>
    <row r="1932" ht="15" customHeight="1" x14ac:dyDescent="0.15"/>
    <row r="1933" ht="15" customHeight="1" x14ac:dyDescent="0.15"/>
    <row r="1934" ht="15" customHeight="1" x14ac:dyDescent="0.15"/>
    <row r="1935" ht="15" customHeight="1" x14ac:dyDescent="0.15"/>
    <row r="1936" ht="15" customHeight="1" x14ac:dyDescent="0.15"/>
    <row r="1937" ht="15" customHeight="1" x14ac:dyDescent="0.15"/>
    <row r="1938" ht="15" customHeight="1" x14ac:dyDescent="0.15"/>
    <row r="1939" ht="15" customHeight="1" x14ac:dyDescent="0.15"/>
    <row r="1940" ht="15" customHeight="1" x14ac:dyDescent="0.15"/>
    <row r="1941" ht="15" customHeight="1" x14ac:dyDescent="0.15"/>
    <row r="1942" ht="15" customHeight="1" x14ac:dyDescent="0.15"/>
    <row r="1943" ht="15" customHeight="1" x14ac:dyDescent="0.15"/>
    <row r="1944" ht="15" customHeight="1" x14ac:dyDescent="0.15"/>
    <row r="1945" ht="15" customHeight="1" x14ac:dyDescent="0.15"/>
    <row r="1946" ht="15" customHeight="1" x14ac:dyDescent="0.15"/>
    <row r="1947" ht="15" customHeight="1" x14ac:dyDescent="0.15"/>
    <row r="1948" ht="15" customHeight="1" x14ac:dyDescent="0.15"/>
    <row r="1949" ht="15" customHeight="1" x14ac:dyDescent="0.15"/>
    <row r="1950" ht="15" customHeight="1" x14ac:dyDescent="0.15"/>
    <row r="1951" ht="15" customHeight="1" x14ac:dyDescent="0.15"/>
    <row r="1952" ht="15" customHeight="1" x14ac:dyDescent="0.15"/>
    <row r="1953" ht="15" customHeight="1" x14ac:dyDescent="0.15"/>
    <row r="1954" ht="15" customHeight="1" x14ac:dyDescent="0.15"/>
    <row r="1955" ht="15" customHeight="1" x14ac:dyDescent="0.15"/>
    <row r="1956" ht="15" customHeight="1" x14ac:dyDescent="0.15"/>
    <row r="1957" ht="15" customHeight="1" x14ac:dyDescent="0.15"/>
    <row r="1958" ht="15" customHeight="1" x14ac:dyDescent="0.15"/>
    <row r="1959" ht="15" customHeight="1" x14ac:dyDescent="0.15"/>
    <row r="1960" ht="15" customHeight="1" x14ac:dyDescent="0.15"/>
    <row r="1961" ht="15" customHeight="1" x14ac:dyDescent="0.15"/>
    <row r="1962" ht="15" customHeight="1" x14ac:dyDescent="0.15"/>
    <row r="1963" ht="15" customHeight="1" x14ac:dyDescent="0.15"/>
    <row r="1964" ht="15" customHeight="1" x14ac:dyDescent="0.15"/>
    <row r="1965" ht="15" customHeight="1" x14ac:dyDescent="0.15"/>
    <row r="1966" ht="15" customHeight="1" x14ac:dyDescent="0.15"/>
    <row r="1967" ht="15" customHeight="1" x14ac:dyDescent="0.15"/>
    <row r="1968" ht="15" customHeight="1" x14ac:dyDescent="0.15"/>
    <row r="1969" ht="15" customHeight="1" x14ac:dyDescent="0.15"/>
    <row r="1970" ht="15" customHeight="1" x14ac:dyDescent="0.15"/>
    <row r="1971" ht="15" customHeight="1" x14ac:dyDescent="0.15"/>
    <row r="1972" ht="15" customHeight="1" x14ac:dyDescent="0.15"/>
    <row r="1973" ht="15" customHeight="1" x14ac:dyDescent="0.15"/>
    <row r="1974" ht="15" customHeight="1" x14ac:dyDescent="0.15"/>
    <row r="1975" ht="15" customHeight="1" x14ac:dyDescent="0.15"/>
    <row r="1976" ht="15" customHeight="1" x14ac:dyDescent="0.15"/>
    <row r="1977" ht="15" customHeight="1" x14ac:dyDescent="0.15"/>
    <row r="1978" ht="15" customHeight="1" x14ac:dyDescent="0.15"/>
    <row r="1979" ht="15" customHeight="1" x14ac:dyDescent="0.15"/>
    <row r="1980" ht="15" customHeight="1" x14ac:dyDescent="0.15"/>
    <row r="1981" ht="15" customHeight="1" x14ac:dyDescent="0.15"/>
    <row r="1982" ht="15" customHeight="1" x14ac:dyDescent="0.15"/>
    <row r="1983" ht="15" customHeight="1" x14ac:dyDescent="0.15"/>
    <row r="1984" ht="15" customHeight="1" x14ac:dyDescent="0.15"/>
    <row r="1985" ht="15" customHeight="1" x14ac:dyDescent="0.15"/>
    <row r="1986" ht="15" customHeight="1" x14ac:dyDescent="0.15"/>
    <row r="1987" ht="15" customHeight="1" x14ac:dyDescent="0.15"/>
    <row r="1988" ht="15" customHeight="1" x14ac:dyDescent="0.15"/>
    <row r="1989" ht="15" customHeight="1" x14ac:dyDescent="0.15"/>
    <row r="1990" ht="15" customHeight="1" x14ac:dyDescent="0.15"/>
    <row r="1991" ht="15" customHeight="1" x14ac:dyDescent="0.15"/>
    <row r="1992" ht="15" customHeight="1" x14ac:dyDescent="0.15"/>
    <row r="1993" ht="15" customHeight="1" x14ac:dyDescent="0.15"/>
    <row r="1994" ht="15" customHeight="1" x14ac:dyDescent="0.15"/>
    <row r="1995" ht="15" customHeight="1" x14ac:dyDescent="0.15"/>
    <row r="1996" ht="15" customHeight="1" x14ac:dyDescent="0.15"/>
    <row r="1997" ht="15" customHeight="1" x14ac:dyDescent="0.15"/>
    <row r="1998" ht="15" customHeight="1" x14ac:dyDescent="0.15"/>
    <row r="1999" ht="15" customHeight="1" x14ac:dyDescent="0.15"/>
    <row r="2000" ht="15" customHeight="1" x14ac:dyDescent="0.15"/>
    <row r="2001" ht="15" customHeight="1" x14ac:dyDescent="0.15"/>
    <row r="2002" ht="15" customHeight="1" x14ac:dyDescent="0.15"/>
    <row r="2003" ht="15" customHeight="1" x14ac:dyDescent="0.15"/>
    <row r="2004" ht="15" customHeight="1" x14ac:dyDescent="0.15"/>
    <row r="2005" ht="15" customHeight="1" x14ac:dyDescent="0.15"/>
    <row r="2006" ht="15" customHeight="1" x14ac:dyDescent="0.15"/>
    <row r="2007" ht="15" customHeight="1" x14ac:dyDescent="0.15"/>
    <row r="2008" ht="15" customHeight="1" x14ac:dyDescent="0.15"/>
    <row r="2009" ht="15" customHeight="1" x14ac:dyDescent="0.15"/>
    <row r="2010" ht="15" customHeight="1" x14ac:dyDescent="0.15"/>
    <row r="2011" ht="15" customHeight="1" x14ac:dyDescent="0.15"/>
    <row r="2012" ht="15" customHeight="1" x14ac:dyDescent="0.15"/>
    <row r="2013" ht="15" customHeight="1" x14ac:dyDescent="0.15"/>
    <row r="2014" ht="15" customHeight="1" x14ac:dyDescent="0.15"/>
    <row r="2015" ht="15" customHeight="1" x14ac:dyDescent="0.15"/>
    <row r="2016" ht="15" customHeight="1" x14ac:dyDescent="0.15"/>
    <row r="2017" ht="15" customHeight="1" x14ac:dyDescent="0.15"/>
    <row r="2018" ht="15" customHeight="1" x14ac:dyDescent="0.15"/>
    <row r="2019" ht="15" customHeight="1" x14ac:dyDescent="0.15"/>
    <row r="2020" ht="15" customHeight="1" x14ac:dyDescent="0.15"/>
    <row r="2021" ht="15" customHeight="1" x14ac:dyDescent="0.15"/>
    <row r="2022" ht="15" customHeight="1" x14ac:dyDescent="0.15"/>
    <row r="2023" ht="15" customHeight="1" x14ac:dyDescent="0.15"/>
    <row r="2024" ht="15" customHeight="1" x14ac:dyDescent="0.15"/>
    <row r="2025" ht="15" customHeight="1" x14ac:dyDescent="0.15"/>
    <row r="2026" ht="15" customHeight="1" x14ac:dyDescent="0.15"/>
    <row r="2027" ht="15" customHeight="1" x14ac:dyDescent="0.15"/>
    <row r="2028" ht="15" customHeight="1" x14ac:dyDescent="0.15"/>
    <row r="2029" ht="15" customHeight="1" x14ac:dyDescent="0.15"/>
    <row r="2030" ht="15" customHeight="1" x14ac:dyDescent="0.15"/>
    <row r="2031" ht="15" customHeight="1" x14ac:dyDescent="0.15"/>
    <row r="2032" ht="15" customHeight="1" x14ac:dyDescent="0.15"/>
    <row r="2033" ht="15" customHeight="1" x14ac:dyDescent="0.15"/>
    <row r="2034" ht="15" customHeight="1" x14ac:dyDescent="0.15"/>
    <row r="2035" ht="15" customHeight="1" x14ac:dyDescent="0.15"/>
    <row r="2036" ht="15" customHeight="1" x14ac:dyDescent="0.15"/>
    <row r="2037" ht="15" customHeight="1" x14ac:dyDescent="0.15"/>
    <row r="2038" ht="15" customHeight="1" x14ac:dyDescent="0.15"/>
    <row r="2039" ht="15" customHeight="1" x14ac:dyDescent="0.15"/>
    <row r="2040" ht="15" customHeight="1" x14ac:dyDescent="0.15"/>
    <row r="2041" ht="15" customHeight="1" x14ac:dyDescent="0.15"/>
    <row r="2042" ht="15" customHeight="1" x14ac:dyDescent="0.15"/>
    <row r="2043" ht="15" customHeight="1" x14ac:dyDescent="0.15"/>
    <row r="2044" ht="15" customHeight="1" x14ac:dyDescent="0.15"/>
    <row r="2045" ht="15" customHeight="1" x14ac:dyDescent="0.15"/>
    <row r="2046" ht="15" customHeight="1" x14ac:dyDescent="0.15"/>
    <row r="2047" ht="15" customHeight="1" x14ac:dyDescent="0.15"/>
    <row r="2048" ht="15" customHeight="1" x14ac:dyDescent="0.15"/>
    <row r="2049" ht="15" customHeight="1" x14ac:dyDescent="0.15"/>
    <row r="2050" ht="15" customHeight="1" x14ac:dyDescent="0.15"/>
    <row r="2051" ht="15" customHeight="1" x14ac:dyDescent="0.15"/>
    <row r="2052" ht="15" customHeight="1" x14ac:dyDescent="0.15"/>
    <row r="2053" ht="15" customHeight="1" x14ac:dyDescent="0.15"/>
    <row r="2054" ht="15" customHeight="1" x14ac:dyDescent="0.15"/>
    <row r="2055" ht="15" customHeight="1" x14ac:dyDescent="0.15"/>
    <row r="2056" ht="15" customHeight="1" x14ac:dyDescent="0.15"/>
    <row r="2057" ht="15" customHeight="1" x14ac:dyDescent="0.15"/>
    <row r="2058" ht="15" customHeight="1" x14ac:dyDescent="0.15"/>
    <row r="2059" ht="15" customHeight="1" x14ac:dyDescent="0.15"/>
    <row r="2060" ht="15" customHeight="1" x14ac:dyDescent="0.15"/>
    <row r="2061" ht="15" customHeight="1" x14ac:dyDescent="0.15"/>
    <row r="2062" ht="15" customHeight="1" x14ac:dyDescent="0.15"/>
    <row r="2063" ht="15" customHeight="1" x14ac:dyDescent="0.15"/>
    <row r="2064" ht="15" customHeight="1" x14ac:dyDescent="0.15"/>
    <row r="2065" ht="15" customHeight="1" x14ac:dyDescent="0.15"/>
    <row r="2066" ht="15" customHeight="1" x14ac:dyDescent="0.15"/>
    <row r="2067" ht="15" customHeight="1" x14ac:dyDescent="0.15"/>
    <row r="2068" ht="15" customHeight="1" x14ac:dyDescent="0.15"/>
    <row r="2069" ht="15" customHeight="1" x14ac:dyDescent="0.15"/>
    <row r="2070" ht="15" customHeight="1" x14ac:dyDescent="0.15"/>
    <row r="2071" ht="15" customHeight="1" x14ac:dyDescent="0.15"/>
    <row r="2072" ht="15" customHeight="1" x14ac:dyDescent="0.15"/>
    <row r="2073" ht="15" customHeight="1" x14ac:dyDescent="0.15"/>
    <row r="2074" ht="15" customHeight="1" x14ac:dyDescent="0.15"/>
    <row r="2075" ht="15" customHeight="1" x14ac:dyDescent="0.15"/>
    <row r="2076" ht="15" customHeight="1" x14ac:dyDescent="0.15"/>
    <row r="2077" ht="15" customHeight="1" x14ac:dyDescent="0.15"/>
    <row r="2078" ht="15" customHeight="1" x14ac:dyDescent="0.15"/>
    <row r="2079" ht="15" customHeight="1" x14ac:dyDescent="0.15"/>
    <row r="2080" ht="15" customHeight="1" x14ac:dyDescent="0.15"/>
    <row r="2081" ht="15" customHeight="1" x14ac:dyDescent="0.15"/>
    <row r="2082" ht="15" customHeight="1" x14ac:dyDescent="0.15"/>
    <row r="2083" ht="15" customHeight="1" x14ac:dyDescent="0.15"/>
    <row r="2084" ht="15" customHeight="1" x14ac:dyDescent="0.15"/>
    <row r="2085" ht="15" customHeight="1" x14ac:dyDescent="0.15"/>
    <row r="2086" ht="15" customHeight="1" x14ac:dyDescent="0.15"/>
    <row r="2087" ht="15" customHeight="1" x14ac:dyDescent="0.15"/>
    <row r="2088" ht="15" customHeight="1" x14ac:dyDescent="0.15"/>
    <row r="2089" ht="15" customHeight="1" x14ac:dyDescent="0.15"/>
    <row r="2090" ht="15" customHeight="1" x14ac:dyDescent="0.15"/>
    <row r="2091" ht="15" customHeight="1" x14ac:dyDescent="0.15"/>
    <row r="2092" ht="15" customHeight="1" x14ac:dyDescent="0.15"/>
    <row r="2093" ht="15" customHeight="1" x14ac:dyDescent="0.15"/>
    <row r="2094" ht="15" customHeight="1" x14ac:dyDescent="0.15"/>
    <row r="2095" ht="15" customHeight="1" x14ac:dyDescent="0.15"/>
    <row r="2096" ht="15" customHeight="1" x14ac:dyDescent="0.15"/>
    <row r="2097" ht="15" customHeight="1" x14ac:dyDescent="0.15"/>
    <row r="2098" ht="15" customHeight="1" x14ac:dyDescent="0.15"/>
    <row r="2099" ht="15" customHeight="1" x14ac:dyDescent="0.15"/>
    <row r="2100" ht="15" customHeight="1" x14ac:dyDescent="0.15"/>
    <row r="2101" ht="15" customHeight="1" x14ac:dyDescent="0.15"/>
    <row r="2102" ht="15" customHeight="1" x14ac:dyDescent="0.15"/>
    <row r="2103" ht="15" customHeight="1" x14ac:dyDescent="0.15"/>
    <row r="2104" ht="15" customHeight="1" x14ac:dyDescent="0.15"/>
    <row r="2105" ht="15" customHeight="1" x14ac:dyDescent="0.15"/>
    <row r="2106" ht="15" customHeight="1" x14ac:dyDescent="0.15"/>
    <row r="2107" ht="15" customHeight="1" x14ac:dyDescent="0.15"/>
    <row r="2108" ht="15" customHeight="1" x14ac:dyDescent="0.15"/>
    <row r="2109" ht="15" customHeight="1" x14ac:dyDescent="0.15"/>
    <row r="2110" ht="15" customHeight="1" x14ac:dyDescent="0.15"/>
    <row r="2111" ht="15" customHeight="1" x14ac:dyDescent="0.15"/>
    <row r="2112" ht="15" customHeight="1" x14ac:dyDescent="0.15"/>
    <row r="2113" ht="15" customHeight="1" x14ac:dyDescent="0.15"/>
    <row r="2114" ht="15" customHeight="1" x14ac:dyDescent="0.15"/>
    <row r="2115" ht="15" customHeight="1" x14ac:dyDescent="0.15"/>
    <row r="2116" ht="15" customHeight="1" x14ac:dyDescent="0.15"/>
    <row r="2117" ht="15" customHeight="1" x14ac:dyDescent="0.15"/>
    <row r="2118" ht="15" customHeight="1" x14ac:dyDescent="0.15"/>
    <row r="2119" ht="15" customHeight="1" x14ac:dyDescent="0.15"/>
    <row r="2120" ht="15" customHeight="1" x14ac:dyDescent="0.15"/>
    <row r="2121" ht="15" customHeight="1" x14ac:dyDescent="0.15"/>
    <row r="2122" ht="15" customHeight="1" x14ac:dyDescent="0.15"/>
    <row r="2123" ht="15" customHeight="1" x14ac:dyDescent="0.15"/>
    <row r="2124" ht="15" customHeight="1" x14ac:dyDescent="0.15"/>
    <row r="2125" ht="15" customHeight="1" x14ac:dyDescent="0.15"/>
    <row r="2126" ht="15" customHeight="1" x14ac:dyDescent="0.15"/>
    <row r="2127" ht="15" customHeight="1" x14ac:dyDescent="0.15"/>
    <row r="2128" ht="15" customHeight="1" x14ac:dyDescent="0.15"/>
    <row r="2129" ht="15" customHeight="1" x14ac:dyDescent="0.15"/>
    <row r="2130" ht="15" customHeight="1" x14ac:dyDescent="0.15"/>
    <row r="2131" ht="15" customHeight="1" x14ac:dyDescent="0.15"/>
    <row r="2132" ht="15" customHeight="1" x14ac:dyDescent="0.15"/>
    <row r="2133" ht="15" customHeight="1" x14ac:dyDescent="0.15"/>
    <row r="2134" ht="15" customHeight="1" x14ac:dyDescent="0.15"/>
    <row r="2135" ht="15" customHeight="1" x14ac:dyDescent="0.15"/>
    <row r="2136" ht="15" customHeight="1" x14ac:dyDescent="0.15"/>
    <row r="2137" ht="15" customHeight="1" x14ac:dyDescent="0.15"/>
    <row r="2138" ht="15" customHeight="1" x14ac:dyDescent="0.15"/>
    <row r="2139" ht="15" customHeight="1" x14ac:dyDescent="0.15"/>
    <row r="2140" ht="15" customHeight="1" x14ac:dyDescent="0.15"/>
    <row r="2141" ht="15" customHeight="1" x14ac:dyDescent="0.15"/>
    <row r="2142" ht="15" customHeight="1" x14ac:dyDescent="0.15"/>
    <row r="2143" ht="15" customHeight="1" x14ac:dyDescent="0.15"/>
    <row r="2144" ht="15" customHeight="1" x14ac:dyDescent="0.15"/>
    <row r="2145" ht="15" customHeight="1" x14ac:dyDescent="0.15"/>
    <row r="2146" ht="15" customHeight="1" x14ac:dyDescent="0.15"/>
    <row r="2147" ht="15" customHeight="1" x14ac:dyDescent="0.15"/>
    <row r="2148" ht="15" customHeight="1" x14ac:dyDescent="0.15"/>
    <row r="2149" ht="15" customHeight="1" x14ac:dyDescent="0.15"/>
    <row r="2150" ht="15" customHeight="1" x14ac:dyDescent="0.15"/>
    <row r="2151" ht="15" customHeight="1" x14ac:dyDescent="0.15"/>
    <row r="2152" ht="15" customHeight="1" x14ac:dyDescent="0.15"/>
    <row r="2153" ht="15" customHeight="1" x14ac:dyDescent="0.15"/>
    <row r="2154" ht="15" customHeight="1" x14ac:dyDescent="0.15"/>
    <row r="2155" ht="15" customHeight="1" x14ac:dyDescent="0.15"/>
    <row r="2156" ht="15" customHeight="1" x14ac:dyDescent="0.15"/>
    <row r="2157" ht="15" customHeight="1" x14ac:dyDescent="0.15"/>
    <row r="2158" ht="15" customHeight="1" x14ac:dyDescent="0.15"/>
    <row r="2159" ht="15" customHeight="1" x14ac:dyDescent="0.15"/>
    <row r="2160" ht="15" customHeight="1" x14ac:dyDescent="0.15"/>
    <row r="2161" ht="15" customHeight="1" x14ac:dyDescent="0.15"/>
    <row r="2162" ht="15" customHeight="1" x14ac:dyDescent="0.15"/>
    <row r="2163" ht="15" customHeight="1" x14ac:dyDescent="0.15"/>
    <row r="2164" ht="15" customHeight="1" x14ac:dyDescent="0.15"/>
    <row r="2165" ht="15" customHeight="1" x14ac:dyDescent="0.15"/>
    <row r="2166" ht="15" customHeight="1" x14ac:dyDescent="0.15"/>
    <row r="2167" ht="15" customHeight="1" x14ac:dyDescent="0.15"/>
    <row r="2168" ht="15" customHeight="1" x14ac:dyDescent="0.15"/>
    <row r="2169" ht="15" customHeight="1" x14ac:dyDescent="0.15"/>
    <row r="2170" ht="15" customHeight="1" x14ac:dyDescent="0.15"/>
    <row r="2171" ht="15" customHeight="1" x14ac:dyDescent="0.15"/>
    <row r="2172" ht="15" customHeight="1" x14ac:dyDescent="0.15"/>
    <row r="2173" ht="15" customHeight="1" x14ac:dyDescent="0.15"/>
    <row r="2174" ht="15" customHeight="1" x14ac:dyDescent="0.15"/>
    <row r="2175" ht="15" customHeight="1" x14ac:dyDescent="0.15"/>
    <row r="2176" ht="15" customHeight="1" x14ac:dyDescent="0.15"/>
    <row r="2177" ht="15" customHeight="1" x14ac:dyDescent="0.15"/>
    <row r="2178" ht="15" customHeight="1" x14ac:dyDescent="0.15"/>
    <row r="2179" ht="15" customHeight="1" x14ac:dyDescent="0.15"/>
    <row r="2180" ht="15" customHeight="1" x14ac:dyDescent="0.15"/>
    <row r="2181" ht="15" customHeight="1" x14ac:dyDescent="0.15"/>
    <row r="2182" ht="15" customHeight="1" x14ac:dyDescent="0.15"/>
    <row r="2183" ht="15" customHeight="1" x14ac:dyDescent="0.15"/>
    <row r="2184" ht="15" customHeight="1" x14ac:dyDescent="0.15"/>
    <row r="2185" ht="15" customHeight="1" x14ac:dyDescent="0.15"/>
    <row r="2186" ht="15" customHeight="1" x14ac:dyDescent="0.15"/>
    <row r="2187" ht="15" customHeight="1" x14ac:dyDescent="0.15"/>
    <row r="2188" ht="15" customHeight="1" x14ac:dyDescent="0.15"/>
    <row r="2189" ht="15" customHeight="1" x14ac:dyDescent="0.15"/>
    <row r="2190" ht="15" customHeight="1" x14ac:dyDescent="0.15"/>
    <row r="2191" ht="15" customHeight="1" x14ac:dyDescent="0.15"/>
    <row r="2192" ht="15" customHeight="1" x14ac:dyDescent="0.15"/>
    <row r="2193" ht="15" customHeight="1" x14ac:dyDescent="0.15"/>
    <row r="2194" ht="15" customHeight="1" x14ac:dyDescent="0.15"/>
    <row r="2195" ht="15" customHeight="1" x14ac:dyDescent="0.15"/>
    <row r="2196" ht="15" customHeight="1" x14ac:dyDescent="0.15"/>
    <row r="2197" ht="15" customHeight="1" x14ac:dyDescent="0.15"/>
    <row r="2198" ht="15" customHeight="1" x14ac:dyDescent="0.15"/>
    <row r="2199" ht="15" customHeight="1" x14ac:dyDescent="0.15"/>
    <row r="2200" ht="15" customHeight="1" x14ac:dyDescent="0.15"/>
    <row r="2201" ht="15" customHeight="1" x14ac:dyDescent="0.15"/>
    <row r="2202" ht="15" customHeight="1" x14ac:dyDescent="0.15"/>
    <row r="2203" ht="15" customHeight="1" x14ac:dyDescent="0.15"/>
    <row r="2204" ht="15" customHeight="1" x14ac:dyDescent="0.15"/>
    <row r="2205" ht="15" customHeight="1" x14ac:dyDescent="0.15"/>
    <row r="2206" ht="15" customHeight="1" x14ac:dyDescent="0.15"/>
    <row r="2207" ht="15" customHeight="1" x14ac:dyDescent="0.15"/>
    <row r="2208" ht="15" customHeight="1" x14ac:dyDescent="0.15"/>
    <row r="2209" ht="15" customHeight="1" x14ac:dyDescent="0.15"/>
    <row r="2210" ht="15" customHeight="1" x14ac:dyDescent="0.15"/>
    <row r="2211" ht="15" customHeight="1" x14ac:dyDescent="0.15"/>
    <row r="2212" ht="15" customHeight="1" x14ac:dyDescent="0.15"/>
    <row r="2213" ht="15" customHeight="1" x14ac:dyDescent="0.15"/>
    <row r="2214" ht="15" customHeight="1" x14ac:dyDescent="0.15"/>
    <row r="2215" ht="15" customHeight="1" x14ac:dyDescent="0.15"/>
    <row r="2216" ht="15" customHeight="1" x14ac:dyDescent="0.15"/>
    <row r="2217" ht="15" customHeight="1" x14ac:dyDescent="0.15"/>
    <row r="2218" ht="15" customHeight="1" x14ac:dyDescent="0.15"/>
    <row r="2219" ht="15" customHeight="1" x14ac:dyDescent="0.15"/>
    <row r="2220" ht="15" customHeight="1" x14ac:dyDescent="0.15"/>
    <row r="2221" ht="15" customHeight="1" x14ac:dyDescent="0.15"/>
    <row r="2222" ht="15" customHeight="1" x14ac:dyDescent="0.15"/>
    <row r="2223" ht="15" customHeight="1" x14ac:dyDescent="0.15"/>
    <row r="2224" ht="15" customHeight="1" x14ac:dyDescent="0.15"/>
    <row r="2225" ht="15" customHeight="1" x14ac:dyDescent="0.15"/>
    <row r="2226" ht="15" customHeight="1" x14ac:dyDescent="0.15"/>
    <row r="2227" ht="15" customHeight="1" x14ac:dyDescent="0.15"/>
    <row r="2228" ht="15" customHeight="1" x14ac:dyDescent="0.15"/>
    <row r="2229" ht="15" customHeight="1" x14ac:dyDescent="0.15"/>
    <row r="2230" ht="15" customHeight="1" x14ac:dyDescent="0.15"/>
    <row r="2231" ht="15" customHeight="1" x14ac:dyDescent="0.15"/>
    <row r="2232" ht="15" customHeight="1" x14ac:dyDescent="0.15"/>
    <row r="2233" ht="15" customHeight="1" x14ac:dyDescent="0.15"/>
    <row r="2234" ht="15" customHeight="1" x14ac:dyDescent="0.15"/>
    <row r="2235" ht="15" customHeight="1" x14ac:dyDescent="0.15"/>
    <row r="2236" ht="15" customHeight="1" x14ac:dyDescent="0.15"/>
    <row r="2237" ht="15" customHeight="1" x14ac:dyDescent="0.15"/>
    <row r="2238" ht="15" customHeight="1" x14ac:dyDescent="0.15"/>
    <row r="2239" ht="15" customHeight="1" x14ac:dyDescent="0.15"/>
    <row r="2240" ht="15" customHeight="1" x14ac:dyDescent="0.15"/>
    <row r="2241" ht="15" customHeight="1" x14ac:dyDescent="0.15"/>
    <row r="2242" ht="15" customHeight="1" x14ac:dyDescent="0.15"/>
    <row r="2243" ht="15" customHeight="1" x14ac:dyDescent="0.15"/>
    <row r="2244" ht="15" customHeight="1" x14ac:dyDescent="0.15"/>
    <row r="2245" ht="15" customHeight="1" x14ac:dyDescent="0.15"/>
    <row r="2246" ht="15" customHeight="1" x14ac:dyDescent="0.15"/>
    <row r="2247" ht="15" customHeight="1" x14ac:dyDescent="0.15"/>
    <row r="2248" ht="15" customHeight="1" x14ac:dyDescent="0.15"/>
    <row r="2249" ht="15" customHeight="1" x14ac:dyDescent="0.15"/>
    <row r="2250" ht="15" customHeight="1" x14ac:dyDescent="0.15"/>
    <row r="2251" ht="15" customHeight="1" x14ac:dyDescent="0.15"/>
    <row r="2252" ht="15" customHeight="1" x14ac:dyDescent="0.15"/>
    <row r="2253" ht="15" customHeight="1" x14ac:dyDescent="0.15"/>
    <row r="2254" ht="15" customHeight="1" x14ac:dyDescent="0.15"/>
    <row r="2255" ht="15" customHeight="1" x14ac:dyDescent="0.15"/>
    <row r="2256" ht="15" customHeight="1" x14ac:dyDescent="0.15"/>
    <row r="2257" ht="15" customHeight="1" x14ac:dyDescent="0.15"/>
    <row r="2258" ht="15" customHeight="1" x14ac:dyDescent="0.15"/>
    <row r="2259" ht="15" customHeight="1" x14ac:dyDescent="0.15"/>
    <row r="2260" ht="15" customHeight="1" x14ac:dyDescent="0.15"/>
    <row r="2261" ht="15" customHeight="1" x14ac:dyDescent="0.15"/>
    <row r="2262" ht="15" customHeight="1" x14ac:dyDescent="0.15"/>
    <row r="2263" ht="15" customHeight="1" x14ac:dyDescent="0.15"/>
    <row r="2264" ht="15" customHeight="1" x14ac:dyDescent="0.15"/>
    <row r="2265" ht="15" customHeight="1" x14ac:dyDescent="0.15"/>
    <row r="2266" ht="15" customHeight="1" x14ac:dyDescent="0.15"/>
    <row r="2267" ht="15" customHeight="1" x14ac:dyDescent="0.15"/>
    <row r="2268" ht="15" customHeight="1" x14ac:dyDescent="0.15"/>
    <row r="2269" ht="15" customHeight="1" x14ac:dyDescent="0.15"/>
    <row r="2270" ht="15" customHeight="1" x14ac:dyDescent="0.15"/>
    <row r="2271" ht="15" customHeight="1" x14ac:dyDescent="0.15"/>
    <row r="2272" ht="15" customHeight="1" x14ac:dyDescent="0.15"/>
    <row r="2273" ht="15" customHeight="1" x14ac:dyDescent="0.15"/>
    <row r="2274" ht="15" customHeight="1" x14ac:dyDescent="0.15"/>
    <row r="2275" ht="15" customHeight="1" x14ac:dyDescent="0.15"/>
    <row r="2276" ht="15" customHeight="1" x14ac:dyDescent="0.15"/>
    <row r="2277" ht="15" customHeight="1" x14ac:dyDescent="0.15"/>
    <row r="2278" ht="15" customHeight="1" x14ac:dyDescent="0.15"/>
    <row r="2279" ht="15" customHeight="1" x14ac:dyDescent="0.15"/>
    <row r="2280" ht="15" customHeight="1" x14ac:dyDescent="0.15"/>
    <row r="2281" ht="15" customHeight="1" x14ac:dyDescent="0.15"/>
    <row r="2282" ht="15" customHeight="1" x14ac:dyDescent="0.15"/>
    <row r="2283" ht="15" customHeight="1" x14ac:dyDescent="0.15"/>
    <row r="2284" ht="15" customHeight="1" x14ac:dyDescent="0.15"/>
    <row r="2285" ht="15" customHeight="1" x14ac:dyDescent="0.15"/>
    <row r="2286" ht="15" customHeight="1" x14ac:dyDescent="0.15"/>
    <row r="2287" ht="15" customHeight="1" x14ac:dyDescent="0.15"/>
    <row r="2288" ht="15" customHeight="1" x14ac:dyDescent="0.15"/>
    <row r="2289" ht="15" customHeight="1" x14ac:dyDescent="0.15"/>
    <row r="2290" ht="15" customHeight="1" x14ac:dyDescent="0.15"/>
    <row r="2291" ht="15" customHeight="1" x14ac:dyDescent="0.15"/>
    <row r="2292" ht="15" customHeight="1" x14ac:dyDescent="0.15"/>
    <row r="2293" ht="15" customHeight="1" x14ac:dyDescent="0.15"/>
    <row r="2294" ht="15" customHeight="1" x14ac:dyDescent="0.15"/>
    <row r="2295" ht="15" customHeight="1" x14ac:dyDescent="0.15"/>
    <row r="2296" ht="15" customHeight="1" x14ac:dyDescent="0.15"/>
    <row r="2297" ht="15" customHeight="1" x14ac:dyDescent="0.15"/>
    <row r="2298" ht="15" customHeight="1" x14ac:dyDescent="0.15"/>
    <row r="2299" ht="15" customHeight="1" x14ac:dyDescent="0.15"/>
    <row r="2300" ht="15" customHeight="1" x14ac:dyDescent="0.15"/>
    <row r="2301" ht="15" customHeight="1" x14ac:dyDescent="0.15"/>
    <row r="2302" ht="15" customHeight="1" x14ac:dyDescent="0.15"/>
    <row r="2303" ht="15" customHeight="1" x14ac:dyDescent="0.15"/>
    <row r="2304" ht="15" customHeight="1" x14ac:dyDescent="0.15"/>
    <row r="2305" ht="15" customHeight="1" x14ac:dyDescent="0.15"/>
    <row r="2306" ht="15" customHeight="1" x14ac:dyDescent="0.15"/>
    <row r="2307" ht="15" customHeight="1" x14ac:dyDescent="0.15"/>
    <row r="2308" ht="15" customHeight="1" x14ac:dyDescent="0.15"/>
    <row r="2309" ht="15" customHeight="1" x14ac:dyDescent="0.15"/>
    <row r="2310" ht="15" customHeight="1" x14ac:dyDescent="0.15"/>
    <row r="2311" ht="15" customHeight="1" x14ac:dyDescent="0.15"/>
    <row r="2312" ht="15" customHeight="1" x14ac:dyDescent="0.15"/>
    <row r="2313" ht="15" customHeight="1" x14ac:dyDescent="0.15"/>
    <row r="2314" ht="15" customHeight="1" x14ac:dyDescent="0.15"/>
    <row r="2315" ht="15" customHeight="1" x14ac:dyDescent="0.15"/>
    <row r="2316" ht="15" customHeight="1" x14ac:dyDescent="0.15"/>
    <row r="2317" ht="15" customHeight="1" x14ac:dyDescent="0.15"/>
    <row r="2318" ht="15" customHeight="1" x14ac:dyDescent="0.15"/>
    <row r="2319" ht="15" customHeight="1" x14ac:dyDescent="0.15"/>
    <row r="2320" ht="15" customHeight="1" x14ac:dyDescent="0.15"/>
    <row r="2321" ht="15" customHeight="1" x14ac:dyDescent="0.15"/>
    <row r="2322" ht="15" customHeight="1" x14ac:dyDescent="0.15"/>
    <row r="2323" ht="15" customHeight="1" x14ac:dyDescent="0.15"/>
    <row r="2324" ht="15" customHeight="1" x14ac:dyDescent="0.15"/>
    <row r="2325" ht="15" customHeight="1" x14ac:dyDescent="0.15"/>
    <row r="2326" ht="15" customHeight="1" x14ac:dyDescent="0.15"/>
    <row r="2327" ht="15" customHeight="1" x14ac:dyDescent="0.15"/>
    <row r="2328" ht="15" customHeight="1" x14ac:dyDescent="0.15"/>
    <row r="2329" ht="15" customHeight="1" x14ac:dyDescent="0.15"/>
    <row r="2330" ht="15" customHeight="1" x14ac:dyDescent="0.15"/>
    <row r="2331" ht="15" customHeight="1" x14ac:dyDescent="0.15"/>
    <row r="2332" ht="15" customHeight="1" x14ac:dyDescent="0.15"/>
    <row r="2333" ht="15" customHeight="1" x14ac:dyDescent="0.15"/>
    <row r="2334" ht="15" customHeight="1" x14ac:dyDescent="0.15"/>
    <row r="2335" ht="15" customHeight="1" x14ac:dyDescent="0.15"/>
    <row r="2336" ht="15" customHeight="1" x14ac:dyDescent="0.15"/>
    <row r="2337" ht="15" customHeight="1" x14ac:dyDescent="0.15"/>
    <row r="2338" ht="15" customHeight="1" x14ac:dyDescent="0.15"/>
    <row r="2339" ht="15" customHeight="1" x14ac:dyDescent="0.15"/>
    <row r="2340" ht="15" customHeight="1" x14ac:dyDescent="0.15"/>
    <row r="2341" ht="15" customHeight="1" x14ac:dyDescent="0.15"/>
    <row r="2342" ht="15" customHeight="1" x14ac:dyDescent="0.15"/>
    <row r="2343" ht="15" customHeight="1" x14ac:dyDescent="0.15"/>
    <row r="2344" ht="15" customHeight="1" x14ac:dyDescent="0.15"/>
    <row r="2345" ht="15" customHeight="1" x14ac:dyDescent="0.15"/>
    <row r="2346" ht="15" customHeight="1" x14ac:dyDescent="0.15"/>
    <row r="2347" ht="15" customHeight="1" x14ac:dyDescent="0.15"/>
    <row r="2348" ht="15" customHeight="1" x14ac:dyDescent="0.15"/>
    <row r="2349" ht="15" customHeight="1" x14ac:dyDescent="0.15"/>
    <row r="2350" ht="15" customHeight="1" x14ac:dyDescent="0.15"/>
    <row r="2351" ht="15" customHeight="1" x14ac:dyDescent="0.15"/>
    <row r="2352" ht="15" customHeight="1" x14ac:dyDescent="0.15"/>
    <row r="2353" ht="15" customHeight="1" x14ac:dyDescent="0.15"/>
    <row r="2354" ht="15" customHeight="1" x14ac:dyDescent="0.15"/>
    <row r="2355" ht="15" customHeight="1" x14ac:dyDescent="0.15"/>
    <row r="2356" ht="15" customHeight="1" x14ac:dyDescent="0.15"/>
    <row r="2357" ht="15" customHeight="1" x14ac:dyDescent="0.15"/>
    <row r="2358" ht="15" customHeight="1" x14ac:dyDescent="0.15"/>
    <row r="2359" ht="15" customHeight="1" x14ac:dyDescent="0.15"/>
    <row r="2360" ht="15" customHeight="1" x14ac:dyDescent="0.15"/>
    <row r="2361" ht="15" customHeight="1" x14ac:dyDescent="0.15"/>
    <row r="2362" ht="15" customHeight="1" x14ac:dyDescent="0.15"/>
    <row r="2363" ht="15" customHeight="1" x14ac:dyDescent="0.15"/>
    <row r="2364" ht="15" customHeight="1" x14ac:dyDescent="0.15"/>
    <row r="2365" ht="15" customHeight="1" x14ac:dyDescent="0.15"/>
    <row r="2366" ht="15" customHeight="1" x14ac:dyDescent="0.15"/>
    <row r="2367" ht="15" customHeight="1" x14ac:dyDescent="0.15"/>
    <row r="2368" ht="15" customHeight="1" x14ac:dyDescent="0.15"/>
    <row r="2369" ht="15" customHeight="1" x14ac:dyDescent="0.15"/>
    <row r="2370" ht="15" customHeight="1" x14ac:dyDescent="0.15"/>
    <row r="2371" ht="15" customHeight="1" x14ac:dyDescent="0.15"/>
    <row r="2372" ht="15" customHeight="1" x14ac:dyDescent="0.15"/>
    <row r="2373" ht="15" customHeight="1" x14ac:dyDescent="0.15"/>
    <row r="2374" ht="15" customHeight="1" x14ac:dyDescent="0.15"/>
    <row r="2375" ht="15" customHeight="1" x14ac:dyDescent="0.15"/>
    <row r="2376" ht="15" customHeight="1" x14ac:dyDescent="0.15"/>
    <row r="2377" ht="15" customHeight="1" x14ac:dyDescent="0.15"/>
    <row r="2378" ht="15" customHeight="1" x14ac:dyDescent="0.15"/>
    <row r="2379" ht="15" customHeight="1" x14ac:dyDescent="0.15"/>
    <row r="2380" ht="15" customHeight="1" x14ac:dyDescent="0.15"/>
    <row r="2381" ht="15" customHeight="1" x14ac:dyDescent="0.15"/>
    <row r="2382" ht="15" customHeight="1" x14ac:dyDescent="0.15"/>
    <row r="2383" ht="15" customHeight="1" x14ac:dyDescent="0.15"/>
    <row r="2384" ht="15" customHeight="1" x14ac:dyDescent="0.15"/>
    <row r="2385" ht="15" customHeight="1" x14ac:dyDescent="0.15"/>
    <row r="2386" ht="15" customHeight="1" x14ac:dyDescent="0.15"/>
    <row r="2387" ht="15" customHeight="1" x14ac:dyDescent="0.15"/>
    <row r="2388" ht="15" customHeight="1" x14ac:dyDescent="0.15"/>
    <row r="2389" ht="15" customHeight="1" x14ac:dyDescent="0.15"/>
    <row r="2390" ht="15" customHeight="1" x14ac:dyDescent="0.15"/>
    <row r="2391" ht="15" customHeight="1" x14ac:dyDescent="0.15"/>
    <row r="2392" ht="15" customHeight="1" x14ac:dyDescent="0.15"/>
    <row r="2393" ht="15" customHeight="1" x14ac:dyDescent="0.15"/>
    <row r="2394" ht="15" customHeight="1" x14ac:dyDescent="0.15"/>
    <row r="2395" ht="15" customHeight="1" x14ac:dyDescent="0.15"/>
    <row r="2396" ht="15" customHeight="1" x14ac:dyDescent="0.15"/>
    <row r="2397" ht="15" customHeight="1" x14ac:dyDescent="0.15"/>
    <row r="2398" ht="15" customHeight="1" x14ac:dyDescent="0.15"/>
    <row r="2399" ht="15" customHeight="1" x14ac:dyDescent="0.15"/>
    <row r="2400" ht="15" customHeight="1" x14ac:dyDescent="0.15"/>
    <row r="2401" ht="15" customHeight="1" x14ac:dyDescent="0.15"/>
    <row r="2402" ht="15" customHeight="1" x14ac:dyDescent="0.15"/>
    <row r="2403" ht="15" customHeight="1" x14ac:dyDescent="0.15"/>
    <row r="2404" ht="15" customHeight="1" x14ac:dyDescent="0.15"/>
    <row r="2405" ht="15" customHeight="1" x14ac:dyDescent="0.15"/>
    <row r="2406" ht="15" customHeight="1" x14ac:dyDescent="0.15"/>
    <row r="2407" ht="15" customHeight="1" x14ac:dyDescent="0.15"/>
    <row r="2408" ht="15" customHeight="1" x14ac:dyDescent="0.15"/>
    <row r="2409" ht="15" customHeight="1" x14ac:dyDescent="0.15"/>
    <row r="2410" ht="15" customHeight="1" x14ac:dyDescent="0.15"/>
    <row r="2411" ht="15" customHeight="1" x14ac:dyDescent="0.15"/>
    <row r="2412" ht="15" customHeight="1" x14ac:dyDescent="0.15"/>
    <row r="2413" ht="15" customHeight="1" x14ac:dyDescent="0.15"/>
    <row r="2414" ht="15" customHeight="1" x14ac:dyDescent="0.15"/>
    <row r="2415" ht="15" customHeight="1" x14ac:dyDescent="0.15"/>
    <row r="2416" ht="15" customHeight="1" x14ac:dyDescent="0.15"/>
    <row r="2417" ht="15" customHeight="1" x14ac:dyDescent="0.15"/>
    <row r="2418" ht="15" customHeight="1" x14ac:dyDescent="0.15"/>
    <row r="2419" ht="15" customHeight="1" x14ac:dyDescent="0.15"/>
    <row r="2420" ht="15" customHeight="1" x14ac:dyDescent="0.15"/>
    <row r="2421" ht="15" customHeight="1" x14ac:dyDescent="0.15"/>
    <row r="2422" ht="15" customHeight="1" x14ac:dyDescent="0.15"/>
    <row r="2423" ht="15" customHeight="1" x14ac:dyDescent="0.15"/>
    <row r="2424" ht="15" customHeight="1" x14ac:dyDescent="0.15"/>
    <row r="2425" ht="15" customHeight="1" x14ac:dyDescent="0.15"/>
    <row r="2426" ht="15" customHeight="1" x14ac:dyDescent="0.15"/>
    <row r="2427" ht="15" customHeight="1" x14ac:dyDescent="0.15"/>
    <row r="2428" ht="15" customHeight="1" x14ac:dyDescent="0.15"/>
    <row r="2429" ht="15" customHeight="1" x14ac:dyDescent="0.15"/>
    <row r="2430" ht="15" customHeight="1" x14ac:dyDescent="0.15"/>
    <row r="2431" ht="15" customHeight="1" x14ac:dyDescent="0.15"/>
    <row r="2432" ht="15" customHeight="1" x14ac:dyDescent="0.15"/>
    <row r="2433" ht="15" customHeight="1" x14ac:dyDescent="0.15"/>
    <row r="2434" ht="15" customHeight="1" x14ac:dyDescent="0.15"/>
    <row r="2435" ht="15" customHeight="1" x14ac:dyDescent="0.15"/>
    <row r="2436" ht="15" customHeight="1" x14ac:dyDescent="0.15"/>
    <row r="2437" ht="15" customHeight="1" x14ac:dyDescent="0.15"/>
    <row r="2438" ht="15" customHeight="1" x14ac:dyDescent="0.15"/>
    <row r="2439" ht="15" customHeight="1" x14ac:dyDescent="0.15"/>
    <row r="2440" ht="15" customHeight="1" x14ac:dyDescent="0.15"/>
    <row r="2441" ht="15" customHeight="1" x14ac:dyDescent="0.15"/>
    <row r="2442" ht="15" customHeight="1" x14ac:dyDescent="0.15"/>
    <row r="2443" ht="15" customHeight="1" x14ac:dyDescent="0.15"/>
    <row r="2444" ht="15" customHeight="1" x14ac:dyDescent="0.15"/>
    <row r="2445" ht="15" customHeight="1" x14ac:dyDescent="0.15"/>
    <row r="2446" ht="15" customHeight="1" x14ac:dyDescent="0.15"/>
    <row r="2447" ht="15" customHeight="1" x14ac:dyDescent="0.15"/>
    <row r="2448" ht="15" customHeight="1" x14ac:dyDescent="0.15"/>
    <row r="2449" ht="15" customHeight="1" x14ac:dyDescent="0.15"/>
    <row r="2450" ht="15" customHeight="1" x14ac:dyDescent="0.15"/>
    <row r="2451" ht="15" customHeight="1" x14ac:dyDescent="0.15"/>
    <row r="2452" ht="15" customHeight="1" x14ac:dyDescent="0.15"/>
    <row r="2453" ht="15" customHeight="1" x14ac:dyDescent="0.15"/>
    <row r="2454" ht="15" customHeight="1" x14ac:dyDescent="0.15"/>
    <row r="2455" ht="15" customHeight="1" x14ac:dyDescent="0.15"/>
    <row r="2456" ht="15" customHeight="1" x14ac:dyDescent="0.15"/>
    <row r="2457" ht="15" customHeight="1" x14ac:dyDescent="0.15"/>
    <row r="2458" ht="15" customHeight="1" x14ac:dyDescent="0.15"/>
    <row r="2459" ht="15" customHeight="1" x14ac:dyDescent="0.15"/>
    <row r="2460" ht="15" customHeight="1" x14ac:dyDescent="0.15"/>
    <row r="2461" ht="15" customHeight="1" x14ac:dyDescent="0.15"/>
    <row r="2462" ht="15" customHeight="1" x14ac:dyDescent="0.15"/>
    <row r="2463" ht="15" customHeight="1" x14ac:dyDescent="0.15"/>
    <row r="2464" ht="15" customHeight="1" x14ac:dyDescent="0.15"/>
    <row r="2465" ht="15" customHeight="1" x14ac:dyDescent="0.15"/>
    <row r="2466" ht="15" customHeight="1" x14ac:dyDescent="0.15"/>
    <row r="2467" ht="15" customHeight="1" x14ac:dyDescent="0.15"/>
    <row r="2468" ht="15" customHeight="1" x14ac:dyDescent="0.15"/>
    <row r="2469" ht="15" customHeight="1" x14ac:dyDescent="0.15"/>
    <row r="2470" ht="15" customHeight="1" x14ac:dyDescent="0.15"/>
    <row r="2471" ht="15" customHeight="1" x14ac:dyDescent="0.15"/>
    <row r="2472" ht="15" customHeight="1" x14ac:dyDescent="0.15"/>
    <row r="2473" ht="15" customHeight="1" x14ac:dyDescent="0.15"/>
    <row r="2474" ht="15" customHeight="1" x14ac:dyDescent="0.15"/>
    <row r="2475" ht="15" customHeight="1" x14ac:dyDescent="0.15"/>
    <row r="2476" ht="15" customHeight="1" x14ac:dyDescent="0.15"/>
    <row r="2477" ht="15" customHeight="1" x14ac:dyDescent="0.15"/>
    <row r="2478" ht="15" customHeight="1" x14ac:dyDescent="0.15"/>
    <row r="2479" ht="15" customHeight="1" x14ac:dyDescent="0.15"/>
    <row r="2480" ht="15" customHeight="1" x14ac:dyDescent="0.15"/>
    <row r="2481" ht="15" customHeight="1" x14ac:dyDescent="0.15"/>
    <row r="2482" ht="15" customHeight="1" x14ac:dyDescent="0.15"/>
    <row r="2483" ht="15" customHeight="1" x14ac:dyDescent="0.15"/>
    <row r="2484" ht="15" customHeight="1" x14ac:dyDescent="0.15"/>
    <row r="2485" ht="15" customHeight="1" x14ac:dyDescent="0.15"/>
    <row r="2486" ht="15" customHeight="1" x14ac:dyDescent="0.15"/>
    <row r="2487" ht="15" customHeight="1" x14ac:dyDescent="0.15"/>
    <row r="2488" ht="15" customHeight="1" x14ac:dyDescent="0.15"/>
    <row r="2489" ht="15" customHeight="1" x14ac:dyDescent="0.15"/>
    <row r="2490" ht="15" customHeight="1" x14ac:dyDescent="0.15"/>
    <row r="2491" ht="15" customHeight="1" x14ac:dyDescent="0.15"/>
    <row r="2492" ht="15" customHeight="1" x14ac:dyDescent="0.15"/>
    <row r="2493" ht="15" customHeight="1" x14ac:dyDescent="0.15"/>
    <row r="2494" ht="15" customHeight="1" x14ac:dyDescent="0.15"/>
    <row r="2495" ht="15" customHeight="1" x14ac:dyDescent="0.15"/>
    <row r="2496" ht="15" customHeight="1" x14ac:dyDescent="0.15"/>
    <row r="2497" ht="15" customHeight="1" x14ac:dyDescent="0.15"/>
    <row r="2498" ht="15" customHeight="1" x14ac:dyDescent="0.15"/>
    <row r="2499" ht="15" customHeight="1" x14ac:dyDescent="0.15"/>
    <row r="2500" ht="15" customHeight="1" x14ac:dyDescent="0.15"/>
    <row r="2501" ht="15" customHeight="1" x14ac:dyDescent="0.15"/>
    <row r="2502" ht="15" customHeight="1" x14ac:dyDescent="0.15"/>
    <row r="2503" ht="15" customHeight="1" x14ac:dyDescent="0.15"/>
    <row r="2504" ht="15" customHeight="1" x14ac:dyDescent="0.15"/>
    <row r="2505" ht="15" customHeight="1" x14ac:dyDescent="0.15"/>
    <row r="2506" ht="15" customHeight="1" x14ac:dyDescent="0.15"/>
    <row r="2507" ht="15" customHeight="1" x14ac:dyDescent="0.15"/>
    <row r="2508" ht="15" customHeight="1" x14ac:dyDescent="0.15"/>
    <row r="2509" ht="15" customHeight="1" x14ac:dyDescent="0.15"/>
    <row r="2510" ht="15" customHeight="1" x14ac:dyDescent="0.15"/>
    <row r="2511" ht="15" customHeight="1" x14ac:dyDescent="0.15"/>
    <row r="2512" ht="15" customHeight="1" x14ac:dyDescent="0.15"/>
    <row r="2513" ht="15" customHeight="1" x14ac:dyDescent="0.15"/>
    <row r="2514" ht="15" customHeight="1" x14ac:dyDescent="0.15"/>
    <row r="2515" ht="15" customHeight="1" x14ac:dyDescent="0.15"/>
    <row r="2516" ht="15" customHeight="1" x14ac:dyDescent="0.15"/>
    <row r="2517" ht="15" customHeight="1" x14ac:dyDescent="0.15"/>
    <row r="2518" ht="15" customHeight="1" x14ac:dyDescent="0.15"/>
    <row r="2519" ht="15" customHeight="1" x14ac:dyDescent="0.15"/>
    <row r="2520" ht="15" customHeight="1" x14ac:dyDescent="0.15"/>
    <row r="2521" ht="15" customHeight="1" x14ac:dyDescent="0.15"/>
    <row r="2522" ht="15" customHeight="1" x14ac:dyDescent="0.15"/>
    <row r="2523" ht="15" customHeight="1" x14ac:dyDescent="0.15"/>
    <row r="2524" ht="15" customHeight="1" x14ac:dyDescent="0.15"/>
    <row r="2525" ht="15" customHeight="1" x14ac:dyDescent="0.15"/>
    <row r="2526" ht="15" customHeight="1" x14ac:dyDescent="0.15"/>
    <row r="2527" ht="15" customHeight="1" x14ac:dyDescent="0.15"/>
    <row r="2528" ht="15" customHeight="1" x14ac:dyDescent="0.15"/>
    <row r="2529" ht="15" customHeight="1" x14ac:dyDescent="0.15"/>
    <row r="2530" ht="15" customHeight="1" x14ac:dyDescent="0.15"/>
    <row r="2531" ht="15" customHeight="1" x14ac:dyDescent="0.15"/>
    <row r="2532" ht="15" customHeight="1" x14ac:dyDescent="0.15"/>
    <row r="2533" ht="15" customHeight="1" x14ac:dyDescent="0.15"/>
    <row r="2534" ht="15" customHeight="1" x14ac:dyDescent="0.15"/>
    <row r="2535" ht="15" customHeight="1" x14ac:dyDescent="0.15"/>
    <row r="2536" ht="15" customHeight="1" x14ac:dyDescent="0.15"/>
    <row r="2537" ht="15" customHeight="1" x14ac:dyDescent="0.15"/>
    <row r="2538" ht="15" customHeight="1" x14ac:dyDescent="0.15"/>
    <row r="2539" ht="15" customHeight="1" x14ac:dyDescent="0.15"/>
    <row r="2540" ht="15" customHeight="1" x14ac:dyDescent="0.15"/>
    <row r="2541" ht="15" customHeight="1" x14ac:dyDescent="0.15"/>
    <row r="2542" ht="15" customHeight="1" x14ac:dyDescent="0.15"/>
    <row r="2543" ht="15" customHeight="1" x14ac:dyDescent="0.15"/>
    <row r="2544" ht="15" customHeight="1" x14ac:dyDescent="0.15"/>
    <row r="2545" ht="15" customHeight="1" x14ac:dyDescent="0.15"/>
    <row r="2546" ht="15" customHeight="1" x14ac:dyDescent="0.15"/>
    <row r="2547" ht="15" customHeight="1" x14ac:dyDescent="0.15"/>
    <row r="2548" ht="15" customHeight="1" x14ac:dyDescent="0.15"/>
    <row r="2549" ht="15" customHeight="1" x14ac:dyDescent="0.15"/>
    <row r="2550" ht="15" customHeight="1" x14ac:dyDescent="0.15"/>
    <row r="2551" ht="15" customHeight="1" x14ac:dyDescent="0.15"/>
    <row r="2552" ht="15" customHeight="1" x14ac:dyDescent="0.15"/>
    <row r="2553" ht="15" customHeight="1" x14ac:dyDescent="0.15"/>
    <row r="2554" ht="15" customHeight="1" x14ac:dyDescent="0.15"/>
    <row r="2555" ht="15" customHeight="1" x14ac:dyDescent="0.15"/>
    <row r="2556" ht="15" customHeight="1" x14ac:dyDescent="0.15"/>
    <row r="2557" ht="15" customHeight="1" x14ac:dyDescent="0.15"/>
    <row r="2558" ht="15" customHeight="1" x14ac:dyDescent="0.15"/>
    <row r="2559" ht="15" customHeight="1" x14ac:dyDescent="0.15"/>
    <row r="2560" ht="15" customHeight="1" x14ac:dyDescent="0.15"/>
    <row r="2561" ht="15" customHeight="1" x14ac:dyDescent="0.15"/>
    <row r="2562" ht="15" customHeight="1" x14ac:dyDescent="0.15"/>
    <row r="2563" ht="15" customHeight="1" x14ac:dyDescent="0.15"/>
    <row r="2564" ht="15" customHeight="1" x14ac:dyDescent="0.15"/>
    <row r="2565" ht="15" customHeight="1" x14ac:dyDescent="0.15"/>
    <row r="2566" ht="15" customHeight="1" x14ac:dyDescent="0.15"/>
    <row r="2567" ht="15" customHeight="1" x14ac:dyDescent="0.15"/>
    <row r="2568" ht="15" customHeight="1" x14ac:dyDescent="0.15"/>
    <row r="2569" ht="15" customHeight="1" x14ac:dyDescent="0.15"/>
    <row r="2570" ht="15" customHeight="1" x14ac:dyDescent="0.15"/>
    <row r="2571" ht="15" customHeight="1" x14ac:dyDescent="0.15"/>
    <row r="2572" ht="15" customHeight="1" x14ac:dyDescent="0.15"/>
    <row r="2573" ht="15" customHeight="1" x14ac:dyDescent="0.15"/>
    <row r="2574" ht="15" customHeight="1" x14ac:dyDescent="0.15"/>
    <row r="2575" ht="15" customHeight="1" x14ac:dyDescent="0.15"/>
    <row r="2576" ht="15" customHeight="1" x14ac:dyDescent="0.15"/>
    <row r="2577" ht="15" customHeight="1" x14ac:dyDescent="0.15"/>
    <row r="2578" ht="15" customHeight="1" x14ac:dyDescent="0.15"/>
    <row r="2579" ht="15" customHeight="1" x14ac:dyDescent="0.15"/>
    <row r="2580" ht="15" customHeight="1" x14ac:dyDescent="0.15"/>
    <row r="2581" ht="15" customHeight="1" x14ac:dyDescent="0.15"/>
    <row r="2582" ht="15" customHeight="1" x14ac:dyDescent="0.15"/>
    <row r="2583" ht="15" customHeight="1" x14ac:dyDescent="0.15"/>
    <row r="2584" ht="15" customHeight="1" x14ac:dyDescent="0.15"/>
    <row r="2585" ht="15" customHeight="1" x14ac:dyDescent="0.15"/>
    <row r="2586" ht="15" customHeight="1" x14ac:dyDescent="0.15"/>
    <row r="2587" ht="15" customHeight="1" x14ac:dyDescent="0.15"/>
    <row r="2588" ht="15" customHeight="1" x14ac:dyDescent="0.15"/>
    <row r="2589" ht="15" customHeight="1" x14ac:dyDescent="0.15"/>
    <row r="2590" ht="15" customHeight="1" x14ac:dyDescent="0.15"/>
    <row r="2591" ht="15" customHeight="1" x14ac:dyDescent="0.15"/>
    <row r="2592" ht="15" customHeight="1" x14ac:dyDescent="0.15"/>
    <row r="2593" ht="15" customHeight="1" x14ac:dyDescent="0.15"/>
    <row r="2594" ht="15" customHeight="1" x14ac:dyDescent="0.15"/>
    <row r="2595" ht="15" customHeight="1" x14ac:dyDescent="0.15"/>
    <row r="2596" ht="15" customHeight="1" x14ac:dyDescent="0.15"/>
    <row r="2597" ht="15" customHeight="1" x14ac:dyDescent="0.15"/>
    <row r="2598" ht="15" customHeight="1" x14ac:dyDescent="0.15"/>
    <row r="2599" ht="15" customHeight="1" x14ac:dyDescent="0.15"/>
    <row r="2600" ht="15" customHeight="1" x14ac:dyDescent="0.15"/>
    <row r="2601" ht="15" customHeight="1" x14ac:dyDescent="0.15"/>
    <row r="2602" ht="15" customHeight="1" x14ac:dyDescent="0.15"/>
    <row r="2603" ht="15" customHeight="1" x14ac:dyDescent="0.15"/>
    <row r="2604" ht="15" customHeight="1" x14ac:dyDescent="0.15"/>
    <row r="2605" ht="15" customHeight="1" x14ac:dyDescent="0.15"/>
    <row r="2606" ht="15" customHeight="1" x14ac:dyDescent="0.15"/>
    <row r="2607" ht="15" customHeight="1" x14ac:dyDescent="0.15"/>
    <row r="2608" ht="15" customHeight="1" x14ac:dyDescent="0.15"/>
    <row r="2609" ht="15" customHeight="1" x14ac:dyDescent="0.15"/>
    <row r="2610" ht="15" customHeight="1" x14ac:dyDescent="0.15"/>
    <row r="2611" ht="15" customHeight="1" x14ac:dyDescent="0.15"/>
    <row r="2612" ht="15" customHeight="1" x14ac:dyDescent="0.15"/>
    <row r="2613" ht="15" customHeight="1" x14ac:dyDescent="0.15"/>
    <row r="2614" ht="15" customHeight="1" x14ac:dyDescent="0.15"/>
    <row r="2615" ht="15" customHeight="1" x14ac:dyDescent="0.15"/>
    <row r="2616" ht="15" customHeight="1" x14ac:dyDescent="0.15"/>
    <row r="2617" ht="15" customHeight="1" x14ac:dyDescent="0.15"/>
    <row r="2618" ht="15" customHeight="1" x14ac:dyDescent="0.15"/>
    <row r="2619" ht="15" customHeight="1" x14ac:dyDescent="0.15"/>
    <row r="2620" ht="15" customHeight="1" x14ac:dyDescent="0.15"/>
    <row r="2621" ht="15" customHeight="1" x14ac:dyDescent="0.15"/>
    <row r="2622" ht="15" customHeight="1" x14ac:dyDescent="0.15"/>
    <row r="2623" ht="15" customHeight="1" x14ac:dyDescent="0.15"/>
    <row r="2624" ht="15" customHeight="1" x14ac:dyDescent="0.15"/>
    <row r="2625" ht="15" customHeight="1" x14ac:dyDescent="0.15"/>
    <row r="2626" ht="15" customHeight="1" x14ac:dyDescent="0.15"/>
    <row r="2627" ht="15" customHeight="1" x14ac:dyDescent="0.15"/>
    <row r="2628" ht="15" customHeight="1" x14ac:dyDescent="0.15"/>
    <row r="2629" ht="15" customHeight="1" x14ac:dyDescent="0.15"/>
    <row r="2630" ht="15" customHeight="1" x14ac:dyDescent="0.15"/>
    <row r="2631" ht="15" customHeight="1" x14ac:dyDescent="0.15"/>
    <row r="2632" ht="15" customHeight="1" x14ac:dyDescent="0.15"/>
    <row r="2633" ht="15" customHeight="1" x14ac:dyDescent="0.15"/>
    <row r="2634" ht="15" customHeight="1" x14ac:dyDescent="0.15"/>
    <row r="2635" ht="15" customHeight="1" x14ac:dyDescent="0.15"/>
    <row r="2636" ht="15" customHeight="1" x14ac:dyDescent="0.15"/>
    <row r="2637" ht="15" customHeight="1" x14ac:dyDescent="0.15"/>
    <row r="2638" ht="15" customHeight="1" x14ac:dyDescent="0.15"/>
    <row r="2639" ht="15" customHeight="1" x14ac:dyDescent="0.15"/>
    <row r="2640" ht="15" customHeight="1" x14ac:dyDescent="0.15"/>
    <row r="2641" ht="15" customHeight="1" x14ac:dyDescent="0.15"/>
    <row r="2642" ht="15" customHeight="1" x14ac:dyDescent="0.15"/>
    <row r="2643" ht="15" customHeight="1" x14ac:dyDescent="0.15"/>
    <row r="2644" ht="15" customHeight="1" x14ac:dyDescent="0.15"/>
    <row r="2645" ht="15" customHeight="1" x14ac:dyDescent="0.15"/>
    <row r="2646" ht="15" customHeight="1" x14ac:dyDescent="0.15"/>
    <row r="2647" ht="15" customHeight="1" x14ac:dyDescent="0.15"/>
    <row r="2648" ht="15" customHeight="1" x14ac:dyDescent="0.15"/>
    <row r="2649" ht="15" customHeight="1" x14ac:dyDescent="0.15"/>
    <row r="2650" ht="15" customHeight="1" x14ac:dyDescent="0.15"/>
    <row r="2651" ht="15" customHeight="1" x14ac:dyDescent="0.15"/>
    <row r="2652" ht="15" customHeight="1" x14ac:dyDescent="0.15"/>
    <row r="2653" ht="15" customHeight="1" x14ac:dyDescent="0.15"/>
    <row r="2654" ht="15" customHeight="1" x14ac:dyDescent="0.15"/>
    <row r="2655" ht="15" customHeight="1" x14ac:dyDescent="0.15"/>
    <row r="2656" ht="15" customHeight="1" x14ac:dyDescent="0.15"/>
    <row r="2657" ht="15" customHeight="1" x14ac:dyDescent="0.15"/>
    <row r="2658" ht="15" customHeight="1" x14ac:dyDescent="0.15"/>
    <row r="2659" ht="15" customHeight="1" x14ac:dyDescent="0.15"/>
    <row r="2660" ht="15" customHeight="1" x14ac:dyDescent="0.15"/>
    <row r="2661" ht="15" customHeight="1" x14ac:dyDescent="0.15"/>
    <row r="2662" ht="15" customHeight="1" x14ac:dyDescent="0.15"/>
    <row r="2663" ht="15" customHeight="1" x14ac:dyDescent="0.15"/>
    <row r="2664" ht="15" customHeight="1" x14ac:dyDescent="0.15"/>
    <row r="2665" ht="15" customHeight="1" x14ac:dyDescent="0.15"/>
    <row r="2666" ht="15" customHeight="1" x14ac:dyDescent="0.15"/>
    <row r="2667" ht="15" customHeight="1" x14ac:dyDescent="0.15"/>
    <row r="2668" ht="15" customHeight="1" x14ac:dyDescent="0.15"/>
    <row r="2669" ht="15" customHeight="1" x14ac:dyDescent="0.15"/>
    <row r="2670" ht="15" customHeight="1" x14ac:dyDescent="0.15"/>
    <row r="2671" ht="15" customHeight="1" x14ac:dyDescent="0.15"/>
    <row r="2672" ht="15" customHeight="1" x14ac:dyDescent="0.15"/>
    <row r="2673" ht="15" customHeight="1" x14ac:dyDescent="0.15"/>
    <row r="2674" ht="15" customHeight="1" x14ac:dyDescent="0.15"/>
    <row r="2675" ht="15" customHeight="1" x14ac:dyDescent="0.15"/>
    <row r="2676" ht="15" customHeight="1" x14ac:dyDescent="0.15"/>
    <row r="2677" ht="15" customHeight="1" x14ac:dyDescent="0.15"/>
    <row r="2678" ht="15" customHeight="1" x14ac:dyDescent="0.15"/>
    <row r="2679" ht="15" customHeight="1" x14ac:dyDescent="0.15"/>
    <row r="2680" ht="15" customHeight="1" x14ac:dyDescent="0.15"/>
    <row r="2681" ht="15" customHeight="1" x14ac:dyDescent="0.15"/>
    <row r="2682" ht="15" customHeight="1" x14ac:dyDescent="0.15"/>
    <row r="2683" ht="15" customHeight="1" x14ac:dyDescent="0.15"/>
    <row r="2684" ht="15" customHeight="1" x14ac:dyDescent="0.15"/>
    <row r="2685" ht="15" customHeight="1" x14ac:dyDescent="0.15"/>
    <row r="2686" ht="15" customHeight="1" x14ac:dyDescent="0.15"/>
    <row r="2687" ht="15" customHeight="1" x14ac:dyDescent="0.15"/>
    <row r="2688" ht="15" customHeight="1" x14ac:dyDescent="0.15"/>
    <row r="2689" ht="15" customHeight="1" x14ac:dyDescent="0.15"/>
    <row r="2690" ht="15" customHeight="1" x14ac:dyDescent="0.15"/>
    <row r="2691" ht="15" customHeight="1" x14ac:dyDescent="0.15"/>
    <row r="2692" ht="15" customHeight="1" x14ac:dyDescent="0.15"/>
    <row r="2693" ht="15" customHeight="1" x14ac:dyDescent="0.15"/>
    <row r="2694" ht="15" customHeight="1" x14ac:dyDescent="0.15"/>
    <row r="2695" ht="15" customHeight="1" x14ac:dyDescent="0.15"/>
    <row r="2696" ht="15" customHeight="1" x14ac:dyDescent="0.15"/>
    <row r="2697" ht="15" customHeight="1" x14ac:dyDescent="0.15"/>
    <row r="2698" ht="15" customHeight="1" x14ac:dyDescent="0.15"/>
    <row r="2699" ht="15" customHeight="1" x14ac:dyDescent="0.15"/>
    <row r="2700" ht="15" customHeight="1" x14ac:dyDescent="0.15"/>
    <row r="2701" ht="15" customHeight="1" x14ac:dyDescent="0.15"/>
    <row r="2702" ht="15" customHeight="1" x14ac:dyDescent="0.15"/>
    <row r="2703" ht="15" customHeight="1" x14ac:dyDescent="0.15"/>
    <row r="2704" ht="15" customHeight="1" x14ac:dyDescent="0.15"/>
    <row r="2705" ht="15" customHeight="1" x14ac:dyDescent="0.15"/>
    <row r="2706" ht="15" customHeight="1" x14ac:dyDescent="0.15"/>
    <row r="2707" ht="15" customHeight="1" x14ac:dyDescent="0.15"/>
    <row r="2708" ht="15" customHeight="1" x14ac:dyDescent="0.15"/>
    <row r="2709" ht="15" customHeight="1" x14ac:dyDescent="0.15"/>
    <row r="2710" ht="15" customHeight="1" x14ac:dyDescent="0.15"/>
    <row r="2711" ht="15" customHeight="1" x14ac:dyDescent="0.15"/>
    <row r="2712" ht="15" customHeight="1" x14ac:dyDescent="0.15"/>
    <row r="2713" ht="15" customHeight="1" x14ac:dyDescent="0.15"/>
  </sheetData>
  <mergeCells count="91">
    <mergeCell ref="M138:O138"/>
    <mergeCell ref="I114:K114"/>
    <mergeCell ref="O135:R135"/>
    <mergeCell ref="O136:R136"/>
    <mergeCell ref="S135:T135"/>
    <mergeCell ref="U135:W135"/>
    <mergeCell ref="S136:T136"/>
    <mergeCell ref="U136:W136"/>
    <mergeCell ref="M137:O137"/>
    <mergeCell ref="L114:N114"/>
    <mergeCell ref="S134:T134"/>
    <mergeCell ref="U134:W134"/>
    <mergeCell ref="F114:G114"/>
    <mergeCell ref="D127:I128"/>
    <mergeCell ref="J127:L128"/>
    <mergeCell ref="O134:R134"/>
    <mergeCell ref="D122:I122"/>
    <mergeCell ref="J122:L122"/>
    <mergeCell ref="M122:AB122"/>
    <mergeCell ref="D123:I124"/>
    <mergeCell ref="J123:L124"/>
    <mergeCell ref="D125:I126"/>
    <mergeCell ref="J125:L126"/>
    <mergeCell ref="O106:Q106"/>
    <mergeCell ref="S106:U106"/>
    <mergeCell ref="X106:AA106"/>
    <mergeCell ref="F107:I108"/>
    <mergeCell ref="J107:M107"/>
    <mergeCell ref="N107:N108"/>
    <mergeCell ref="O107:Q108"/>
    <mergeCell ref="R107:R108"/>
    <mergeCell ref="S107:V107"/>
    <mergeCell ref="W107:W108"/>
    <mergeCell ref="X107:X108"/>
    <mergeCell ref="Y107:AB108"/>
    <mergeCell ref="J108:M108"/>
    <mergeCell ref="S108:V108"/>
    <mergeCell ref="I109:I110"/>
    <mergeCell ref="J109:M110"/>
    <mergeCell ref="T105:W105"/>
    <mergeCell ref="Z101:Z102"/>
    <mergeCell ref="AA101:AC102"/>
    <mergeCell ref="N102:O102"/>
    <mergeCell ref="Q102:R102"/>
    <mergeCell ref="T102:U102"/>
    <mergeCell ref="W102:X102"/>
    <mergeCell ref="L103:N103"/>
    <mergeCell ref="K104:M104"/>
    <mergeCell ref="O104:Q104"/>
    <mergeCell ref="S104:U104"/>
    <mergeCell ref="W104:Y104"/>
    <mergeCell ref="I101:I102"/>
    <mergeCell ref="J101:K102"/>
    <mergeCell ref="L101:L102"/>
    <mergeCell ref="M101:M102"/>
    <mergeCell ref="N101:Y101"/>
    <mergeCell ref="N100:P100"/>
    <mergeCell ref="R100:T100"/>
    <mergeCell ref="V100:X100"/>
    <mergeCell ref="Z100:AA100"/>
    <mergeCell ref="AD100:AF100"/>
    <mergeCell ref="U90:W90"/>
    <mergeCell ref="Z93:AA93"/>
    <mergeCell ref="Q95:R95"/>
    <mergeCell ref="T95:U95"/>
    <mergeCell ref="W95:X95"/>
    <mergeCell ref="AD96:AF96"/>
    <mergeCell ref="Z97:AB97"/>
    <mergeCell ref="P99:T99"/>
    <mergeCell ref="V99:W99"/>
    <mergeCell ref="Y99:Z99"/>
    <mergeCell ref="AA99:AB99"/>
    <mergeCell ref="AD99:AF99"/>
    <mergeCell ref="P96:R96"/>
    <mergeCell ref="T96:U96"/>
    <mergeCell ref="V96:W96"/>
    <mergeCell ref="Y96:Z96"/>
    <mergeCell ref="AA96:AB96"/>
    <mergeCell ref="F81:H82"/>
    <mergeCell ref="J81:J82"/>
    <mergeCell ref="K81:L82"/>
    <mergeCell ref="M81:M82"/>
    <mergeCell ref="O81:O82"/>
    <mergeCell ref="R84:T84"/>
    <mergeCell ref="V84:X84"/>
    <mergeCell ref="AD84:AG84"/>
    <mergeCell ref="R85:T85"/>
    <mergeCell ref="J88:K89"/>
    <mergeCell ref="L88:L89"/>
    <mergeCell ref="M88:R88"/>
    <mergeCell ref="M89:R89"/>
  </mergeCells>
  <phoneticPr fontId="2"/>
  <pageMargins left="0.7" right="0.7" top="0.75" bottom="0.75" header="0.3" footer="0.3"/>
  <pageSetup paperSize="9" orientation="portrait" blackAndWhite="1" verticalDpi="300" r:id="rId1"/>
  <headerFooter alignWithMargins="0"/>
  <rowBreaks count="4" manualBreakCount="4">
    <brk id="42" max="32" man="1"/>
    <brk id="77" max="32" man="1"/>
    <brk id="115" max="32" man="1"/>
    <brk id="144" max="32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Y2678"/>
  <sheetViews>
    <sheetView tabSelected="1" view="pageBreakPreview" topLeftCell="A25" zoomScale="85" zoomScaleNormal="100" zoomScaleSheetLayoutView="85" workbookViewId="0">
      <selection activeCell="AS61" sqref="AS60:AT61"/>
    </sheetView>
  </sheetViews>
  <sheetFormatPr defaultColWidth="2.625" defaultRowHeight="12" x14ac:dyDescent="0.15"/>
  <cols>
    <col min="1" max="25" width="2.625" style="32" customWidth="1"/>
    <col min="26" max="26" width="2.5" style="32" customWidth="1"/>
    <col min="27" max="281" width="2.625" style="32"/>
    <col min="282" max="282" width="2.5" style="32" customWidth="1"/>
    <col min="283" max="537" width="2.625" style="32"/>
    <col min="538" max="538" width="2.5" style="32" customWidth="1"/>
    <col min="539" max="793" width="2.625" style="32"/>
    <col min="794" max="794" width="2.5" style="32" customWidth="1"/>
    <col min="795" max="1049" width="2.625" style="32"/>
    <col min="1050" max="1050" width="2.5" style="32" customWidth="1"/>
    <col min="1051" max="1305" width="2.625" style="32"/>
    <col min="1306" max="1306" width="2.5" style="32" customWidth="1"/>
    <col min="1307" max="1561" width="2.625" style="32"/>
    <col min="1562" max="1562" width="2.5" style="32" customWidth="1"/>
    <col min="1563" max="1817" width="2.625" style="32"/>
    <col min="1818" max="1818" width="2.5" style="32" customWidth="1"/>
    <col min="1819" max="2073" width="2.625" style="32"/>
    <col min="2074" max="2074" width="2.5" style="32" customWidth="1"/>
    <col min="2075" max="2329" width="2.625" style="32"/>
    <col min="2330" max="2330" width="2.5" style="32" customWidth="1"/>
    <col min="2331" max="2585" width="2.625" style="32"/>
    <col min="2586" max="2586" width="2.5" style="32" customWidth="1"/>
    <col min="2587" max="2841" width="2.625" style="32"/>
    <col min="2842" max="2842" width="2.5" style="32" customWidth="1"/>
    <col min="2843" max="3097" width="2.625" style="32"/>
    <col min="3098" max="3098" width="2.5" style="32" customWidth="1"/>
    <col min="3099" max="3353" width="2.625" style="32"/>
    <col min="3354" max="3354" width="2.5" style="32" customWidth="1"/>
    <col min="3355" max="3609" width="2.625" style="32"/>
    <col min="3610" max="3610" width="2.5" style="32" customWidth="1"/>
    <col min="3611" max="3865" width="2.625" style="32"/>
    <col min="3866" max="3866" width="2.5" style="32" customWidth="1"/>
    <col min="3867" max="4121" width="2.625" style="32"/>
    <col min="4122" max="4122" width="2.5" style="32" customWidth="1"/>
    <col min="4123" max="4377" width="2.625" style="32"/>
    <col min="4378" max="4378" width="2.5" style="32" customWidth="1"/>
    <col min="4379" max="4633" width="2.625" style="32"/>
    <col min="4634" max="4634" width="2.5" style="32" customWidth="1"/>
    <col min="4635" max="4889" width="2.625" style="32"/>
    <col min="4890" max="4890" width="2.5" style="32" customWidth="1"/>
    <col min="4891" max="5145" width="2.625" style="32"/>
    <col min="5146" max="5146" width="2.5" style="32" customWidth="1"/>
    <col min="5147" max="5401" width="2.625" style="32"/>
    <col min="5402" max="5402" width="2.5" style="32" customWidth="1"/>
    <col min="5403" max="5657" width="2.625" style="32"/>
    <col min="5658" max="5658" width="2.5" style="32" customWidth="1"/>
    <col min="5659" max="5913" width="2.625" style="32"/>
    <col min="5914" max="5914" width="2.5" style="32" customWidth="1"/>
    <col min="5915" max="6169" width="2.625" style="32"/>
    <col min="6170" max="6170" width="2.5" style="32" customWidth="1"/>
    <col min="6171" max="6425" width="2.625" style="32"/>
    <col min="6426" max="6426" width="2.5" style="32" customWidth="1"/>
    <col min="6427" max="6681" width="2.625" style="32"/>
    <col min="6682" max="6682" width="2.5" style="32" customWidth="1"/>
    <col min="6683" max="6937" width="2.625" style="32"/>
    <col min="6938" max="6938" width="2.5" style="32" customWidth="1"/>
    <col min="6939" max="7193" width="2.625" style="32"/>
    <col min="7194" max="7194" width="2.5" style="32" customWidth="1"/>
    <col min="7195" max="7449" width="2.625" style="32"/>
    <col min="7450" max="7450" width="2.5" style="32" customWidth="1"/>
    <col min="7451" max="7705" width="2.625" style="32"/>
    <col min="7706" max="7706" width="2.5" style="32" customWidth="1"/>
    <col min="7707" max="7961" width="2.625" style="32"/>
    <col min="7962" max="7962" width="2.5" style="32" customWidth="1"/>
    <col min="7963" max="8217" width="2.625" style="32"/>
    <col min="8218" max="8218" width="2.5" style="32" customWidth="1"/>
    <col min="8219" max="8473" width="2.625" style="32"/>
    <col min="8474" max="8474" width="2.5" style="32" customWidth="1"/>
    <col min="8475" max="8729" width="2.625" style="32"/>
    <col min="8730" max="8730" width="2.5" style="32" customWidth="1"/>
    <col min="8731" max="8985" width="2.625" style="32"/>
    <col min="8986" max="8986" width="2.5" style="32" customWidth="1"/>
    <col min="8987" max="9241" width="2.625" style="32"/>
    <col min="9242" max="9242" width="2.5" style="32" customWidth="1"/>
    <col min="9243" max="9497" width="2.625" style="32"/>
    <col min="9498" max="9498" width="2.5" style="32" customWidth="1"/>
    <col min="9499" max="9753" width="2.625" style="32"/>
    <col min="9754" max="9754" width="2.5" style="32" customWidth="1"/>
    <col min="9755" max="10009" width="2.625" style="32"/>
    <col min="10010" max="10010" width="2.5" style="32" customWidth="1"/>
    <col min="10011" max="10265" width="2.625" style="32"/>
    <col min="10266" max="10266" width="2.5" style="32" customWidth="1"/>
    <col min="10267" max="10521" width="2.625" style="32"/>
    <col min="10522" max="10522" width="2.5" style="32" customWidth="1"/>
    <col min="10523" max="10777" width="2.625" style="32"/>
    <col min="10778" max="10778" width="2.5" style="32" customWidth="1"/>
    <col min="10779" max="11033" width="2.625" style="32"/>
    <col min="11034" max="11034" width="2.5" style="32" customWidth="1"/>
    <col min="11035" max="11289" width="2.625" style="32"/>
    <col min="11290" max="11290" width="2.5" style="32" customWidth="1"/>
    <col min="11291" max="11545" width="2.625" style="32"/>
    <col min="11546" max="11546" width="2.5" style="32" customWidth="1"/>
    <col min="11547" max="11801" width="2.625" style="32"/>
    <col min="11802" max="11802" width="2.5" style="32" customWidth="1"/>
    <col min="11803" max="12057" width="2.625" style="32"/>
    <col min="12058" max="12058" width="2.5" style="32" customWidth="1"/>
    <col min="12059" max="12313" width="2.625" style="32"/>
    <col min="12314" max="12314" width="2.5" style="32" customWidth="1"/>
    <col min="12315" max="12569" width="2.625" style="32"/>
    <col min="12570" max="12570" width="2.5" style="32" customWidth="1"/>
    <col min="12571" max="12825" width="2.625" style="32"/>
    <col min="12826" max="12826" width="2.5" style="32" customWidth="1"/>
    <col min="12827" max="13081" width="2.625" style="32"/>
    <col min="13082" max="13082" width="2.5" style="32" customWidth="1"/>
    <col min="13083" max="13337" width="2.625" style="32"/>
    <col min="13338" max="13338" width="2.5" style="32" customWidth="1"/>
    <col min="13339" max="13593" width="2.625" style="32"/>
    <col min="13594" max="13594" width="2.5" style="32" customWidth="1"/>
    <col min="13595" max="13849" width="2.625" style="32"/>
    <col min="13850" max="13850" width="2.5" style="32" customWidth="1"/>
    <col min="13851" max="14105" width="2.625" style="32"/>
    <col min="14106" max="14106" width="2.5" style="32" customWidth="1"/>
    <col min="14107" max="14361" width="2.625" style="32"/>
    <col min="14362" max="14362" width="2.5" style="32" customWidth="1"/>
    <col min="14363" max="14617" width="2.625" style="32"/>
    <col min="14618" max="14618" width="2.5" style="32" customWidth="1"/>
    <col min="14619" max="14873" width="2.625" style="32"/>
    <col min="14874" max="14874" width="2.5" style="32" customWidth="1"/>
    <col min="14875" max="15129" width="2.625" style="32"/>
    <col min="15130" max="15130" width="2.5" style="32" customWidth="1"/>
    <col min="15131" max="15385" width="2.625" style="32"/>
    <col min="15386" max="15386" width="2.5" style="32" customWidth="1"/>
    <col min="15387" max="15641" width="2.625" style="32"/>
    <col min="15642" max="15642" width="2.5" style="32" customWidth="1"/>
    <col min="15643" max="15897" width="2.625" style="32"/>
    <col min="15898" max="15898" width="2.5" style="32" customWidth="1"/>
    <col min="15899" max="16153" width="2.625" style="32"/>
    <col min="16154" max="16154" width="2.5" style="32" customWidth="1"/>
    <col min="16155" max="16384" width="2.625" style="32"/>
  </cols>
  <sheetData>
    <row r="1" spans="2:24" ht="15" customHeight="1" x14ac:dyDescent="0.15"/>
    <row r="2" spans="2:24" ht="15" customHeight="1" x14ac:dyDescent="0.15">
      <c r="B2" s="12" t="s">
        <v>399</v>
      </c>
      <c r="W2" s="46" t="s">
        <v>266</v>
      </c>
      <c r="X2" s="33"/>
    </row>
    <row r="3" spans="2:24" ht="15" customHeight="1" x14ac:dyDescent="0.15"/>
    <row r="4" spans="2:24" ht="15" customHeight="1" x14ac:dyDescent="0.15">
      <c r="C4" s="12" t="s">
        <v>134</v>
      </c>
    </row>
    <row r="5" spans="2:24" ht="15" customHeight="1" x14ac:dyDescent="0.15"/>
    <row r="6" spans="2:24" ht="15" customHeight="1" x14ac:dyDescent="0.15">
      <c r="D6" s="32" t="s">
        <v>267</v>
      </c>
    </row>
    <row r="7" spans="2:24" ht="15" customHeight="1" x14ac:dyDescent="0.15">
      <c r="D7" s="32" t="s">
        <v>268</v>
      </c>
    </row>
    <row r="8" spans="2:24" ht="15" customHeight="1" x14ac:dyDescent="0.15">
      <c r="D8" s="32" t="s">
        <v>269</v>
      </c>
    </row>
    <row r="9" spans="2:24" ht="15" customHeight="1" x14ac:dyDescent="0.15"/>
    <row r="10" spans="2:24" ht="15" customHeight="1" x14ac:dyDescent="0.15"/>
    <row r="11" spans="2:24" ht="15" customHeight="1" x14ac:dyDescent="0.15">
      <c r="E11" s="32" t="s">
        <v>270</v>
      </c>
      <c r="Q11" s="34"/>
      <c r="R11" s="34"/>
    </row>
    <row r="12" spans="2:24" ht="15" customHeight="1" x14ac:dyDescent="0.15"/>
    <row r="13" spans="2:24" ht="15" customHeight="1" x14ac:dyDescent="0.15">
      <c r="H13" s="35" t="s">
        <v>138</v>
      </c>
      <c r="J13" s="35" t="s">
        <v>139</v>
      </c>
      <c r="K13" s="36" t="s">
        <v>140</v>
      </c>
      <c r="L13" s="32" t="s">
        <v>271</v>
      </c>
    </row>
    <row r="14" spans="2:24" ht="15" customHeight="1" x14ac:dyDescent="0.15">
      <c r="J14" s="35" t="s">
        <v>142</v>
      </c>
      <c r="K14" s="36" t="s">
        <v>140</v>
      </c>
      <c r="L14" s="32" t="s">
        <v>143</v>
      </c>
    </row>
    <row r="15" spans="2:24" ht="15" customHeight="1" x14ac:dyDescent="0.15">
      <c r="J15" s="35" t="s">
        <v>272</v>
      </c>
      <c r="K15" s="36" t="s">
        <v>140</v>
      </c>
      <c r="L15" s="32" t="s">
        <v>273</v>
      </c>
    </row>
    <row r="16" spans="2:24" ht="15" customHeight="1" x14ac:dyDescent="0.15">
      <c r="J16" s="35" t="s">
        <v>146</v>
      </c>
      <c r="K16" s="36" t="s">
        <v>140</v>
      </c>
      <c r="L16" s="32" t="s">
        <v>400</v>
      </c>
    </row>
    <row r="17" spans="3:24" s="76" customFormat="1" ht="15" customHeight="1" x14ac:dyDescent="0.15">
      <c r="J17" s="77"/>
      <c r="K17" s="78"/>
    </row>
    <row r="18" spans="3:24" s="76" customFormat="1" ht="15" customHeight="1" x14ac:dyDescent="0.15">
      <c r="S18" s="34"/>
      <c r="T18" s="34"/>
    </row>
    <row r="19" spans="3:24" s="76" customFormat="1" ht="15" customHeight="1" x14ac:dyDescent="0.15">
      <c r="C19" s="12" t="s">
        <v>148</v>
      </c>
      <c r="X19" s="33" t="s">
        <v>149</v>
      </c>
    </row>
    <row r="20" spans="3:24" s="76" customFormat="1" ht="15" customHeight="1" x14ac:dyDescent="0.15"/>
    <row r="21" spans="3:24" s="76" customFormat="1" ht="15" customHeight="1" x14ac:dyDescent="0.15">
      <c r="D21" s="76" t="s">
        <v>150</v>
      </c>
    </row>
    <row r="22" spans="3:24" s="76" customFormat="1" ht="15" customHeight="1" x14ac:dyDescent="0.15">
      <c r="D22" s="76" t="s">
        <v>151</v>
      </c>
    </row>
    <row r="23" spans="3:24" s="76" customFormat="1" ht="15" customHeight="1" x14ac:dyDescent="0.15">
      <c r="D23" s="76" t="s">
        <v>152</v>
      </c>
    </row>
    <row r="24" spans="3:24" s="76" customFormat="1" ht="15" customHeight="1" x14ac:dyDescent="0.15"/>
    <row r="25" spans="3:24" s="76" customFormat="1" ht="15" customHeight="1" x14ac:dyDescent="0.15">
      <c r="D25" s="12" t="s">
        <v>153</v>
      </c>
    </row>
    <row r="26" spans="3:24" s="76" customFormat="1" ht="15" customHeight="1" x14ac:dyDescent="0.15"/>
    <row r="27" spans="3:24" s="76" customFormat="1" ht="15" customHeight="1" x14ac:dyDescent="0.15">
      <c r="E27" s="12" t="s">
        <v>154</v>
      </c>
    </row>
    <row r="28" spans="3:24" s="76" customFormat="1" ht="15" customHeight="1" x14ac:dyDescent="0.15"/>
    <row r="29" spans="3:24" s="76" customFormat="1" ht="15" customHeight="1" x14ac:dyDescent="0.15">
      <c r="F29" s="76" t="s">
        <v>155</v>
      </c>
    </row>
    <row r="30" spans="3:24" s="76" customFormat="1" ht="15" customHeight="1" x14ac:dyDescent="0.15"/>
    <row r="31" spans="3:24" s="76" customFormat="1" ht="15" customHeight="1" x14ac:dyDescent="0.15">
      <c r="H31" s="77" t="s">
        <v>138</v>
      </c>
      <c r="J31" s="77" t="s">
        <v>139</v>
      </c>
      <c r="K31" s="78" t="s">
        <v>140</v>
      </c>
      <c r="L31" s="76" t="s">
        <v>401</v>
      </c>
    </row>
    <row r="32" spans="3:24" s="76" customFormat="1" ht="15" customHeight="1" x14ac:dyDescent="0.15">
      <c r="J32" s="77" t="s">
        <v>156</v>
      </c>
      <c r="K32" s="78" t="s">
        <v>140</v>
      </c>
      <c r="L32" s="76" t="s">
        <v>157</v>
      </c>
    </row>
    <row r="33" spans="4:12" s="76" customFormat="1" ht="15" customHeight="1" x14ac:dyDescent="0.15">
      <c r="J33" s="77" t="s">
        <v>158</v>
      </c>
      <c r="K33" s="78" t="s">
        <v>140</v>
      </c>
      <c r="L33" s="76" t="s">
        <v>159</v>
      </c>
    </row>
    <row r="34" spans="4:12" s="76" customFormat="1" ht="15" customHeight="1" x14ac:dyDescent="0.15">
      <c r="J34" s="77" t="s">
        <v>160</v>
      </c>
      <c r="K34" s="78" t="s">
        <v>140</v>
      </c>
      <c r="L34" s="76" t="s">
        <v>161</v>
      </c>
    </row>
    <row r="35" spans="4:12" s="76" customFormat="1" ht="15" customHeight="1" x14ac:dyDescent="0.15">
      <c r="J35" s="77" t="s">
        <v>162</v>
      </c>
      <c r="K35" s="78" t="s">
        <v>140</v>
      </c>
      <c r="L35" s="76" t="s">
        <v>163</v>
      </c>
    </row>
    <row r="36" spans="4:12" s="76" customFormat="1" ht="15" customHeight="1" x14ac:dyDescent="0.15">
      <c r="J36" s="77" t="s">
        <v>164</v>
      </c>
      <c r="K36" s="78" t="s">
        <v>140</v>
      </c>
      <c r="L36" s="76" t="s">
        <v>165</v>
      </c>
    </row>
    <row r="37" spans="4:12" s="76" customFormat="1" ht="15" customHeight="1" x14ac:dyDescent="0.15">
      <c r="J37" s="77"/>
      <c r="K37" s="78"/>
    </row>
    <row r="38" spans="4:12" s="76" customFormat="1" ht="15" customHeight="1" x14ac:dyDescent="0.15">
      <c r="E38" s="12" t="s">
        <v>166</v>
      </c>
    </row>
    <row r="39" spans="4:12" s="76" customFormat="1" ht="15" customHeight="1" x14ac:dyDescent="0.15"/>
    <row r="40" spans="4:12" s="76" customFormat="1" ht="15" customHeight="1" x14ac:dyDescent="0.15">
      <c r="F40" s="76" t="s">
        <v>167</v>
      </c>
    </row>
    <row r="41" spans="4:12" s="76" customFormat="1" ht="15" customHeight="1" x14ac:dyDescent="0.15"/>
    <row r="42" spans="4:12" s="76" customFormat="1" ht="15" customHeight="1" x14ac:dyDescent="0.15">
      <c r="H42" s="77" t="s">
        <v>138</v>
      </c>
      <c r="J42" s="77" t="s">
        <v>139</v>
      </c>
      <c r="K42" s="78" t="s">
        <v>140</v>
      </c>
      <c r="L42" s="76" t="s">
        <v>401</v>
      </c>
    </row>
    <row r="43" spans="4:12" s="76" customFormat="1" ht="15" customHeight="1" x14ac:dyDescent="0.15">
      <c r="J43" s="77" t="s">
        <v>156</v>
      </c>
      <c r="K43" s="78" t="s">
        <v>140</v>
      </c>
      <c r="L43" s="76" t="s">
        <v>157</v>
      </c>
    </row>
    <row r="44" spans="4:12" s="76" customFormat="1" ht="15" customHeight="1" x14ac:dyDescent="0.15">
      <c r="J44" s="77" t="s">
        <v>168</v>
      </c>
      <c r="K44" s="78" t="s">
        <v>140</v>
      </c>
      <c r="L44" s="76" t="s">
        <v>169</v>
      </c>
    </row>
    <row r="45" spans="4:12" s="76" customFormat="1" ht="15" customHeight="1" x14ac:dyDescent="0.15">
      <c r="J45" s="77"/>
      <c r="K45" s="78"/>
    </row>
    <row r="46" spans="4:12" s="76" customFormat="1" ht="15" customHeight="1" x14ac:dyDescent="0.15">
      <c r="D46" s="12" t="s">
        <v>170</v>
      </c>
    </row>
    <row r="47" spans="4:12" s="76" customFormat="1" ht="15" customHeight="1" x14ac:dyDescent="0.15"/>
    <row r="48" spans="4:12" s="76" customFormat="1" ht="15" customHeight="1" x14ac:dyDescent="0.15">
      <c r="F48" s="76" t="s">
        <v>171</v>
      </c>
    </row>
    <row r="49" spans="3:24" s="76" customFormat="1" ht="15" customHeight="1" x14ac:dyDescent="0.15"/>
    <row r="50" spans="3:24" s="76" customFormat="1" ht="15" customHeight="1" x14ac:dyDescent="0.15">
      <c r="H50" s="77" t="s">
        <v>138</v>
      </c>
      <c r="J50" s="77" t="s">
        <v>139</v>
      </c>
      <c r="K50" s="78" t="s">
        <v>140</v>
      </c>
      <c r="L50" s="76" t="s">
        <v>401</v>
      </c>
    </row>
    <row r="51" spans="3:24" s="76" customFormat="1" ht="15" customHeight="1" x14ac:dyDescent="0.15">
      <c r="J51" s="77" t="s">
        <v>156</v>
      </c>
      <c r="K51" s="78" t="s">
        <v>140</v>
      </c>
      <c r="L51" s="76" t="s">
        <v>157</v>
      </c>
    </row>
    <row r="52" spans="3:24" s="76" customFormat="1" ht="15" customHeight="1" x14ac:dyDescent="0.15">
      <c r="J52" s="77" t="s">
        <v>172</v>
      </c>
      <c r="K52" s="78" t="s">
        <v>140</v>
      </c>
      <c r="L52" s="76" t="s">
        <v>173</v>
      </c>
    </row>
    <row r="53" spans="3:24" s="76" customFormat="1" ht="15" customHeight="1" x14ac:dyDescent="0.15"/>
    <row r="54" spans="3:24" s="76" customFormat="1" ht="15" customHeight="1" x14ac:dyDescent="0.15"/>
    <row r="55" spans="3:24" s="76" customFormat="1" ht="15" customHeight="1" x14ac:dyDescent="0.15"/>
    <row r="56" spans="3:24" s="76" customFormat="1" ht="15" customHeight="1" x14ac:dyDescent="0.15"/>
    <row r="57" spans="3:24" s="76" customFormat="1" ht="15" customHeight="1" x14ac:dyDescent="0.15"/>
    <row r="58" spans="3:24" s="76" customFormat="1" ht="15" customHeight="1" x14ac:dyDescent="0.15"/>
    <row r="59" spans="3:24" s="76" customFormat="1" ht="15" customHeight="1" x14ac:dyDescent="0.15"/>
    <row r="60" spans="3:24" s="76" customFormat="1" ht="15" customHeight="1" x14ac:dyDescent="0.15"/>
    <row r="61" spans="3:24" s="76" customFormat="1" ht="15" customHeight="1" x14ac:dyDescent="0.15"/>
    <row r="62" spans="3:24" s="76" customFormat="1" ht="15" customHeight="1" x14ac:dyDescent="0.15"/>
    <row r="63" spans="3:24" ht="15" customHeight="1" x14ac:dyDescent="0.15">
      <c r="T63" s="34"/>
      <c r="U63" s="34"/>
    </row>
    <row r="64" spans="3:24" ht="15" customHeight="1" x14ac:dyDescent="0.15">
      <c r="C64" s="12" t="s">
        <v>148</v>
      </c>
      <c r="X64" s="46" t="s">
        <v>266</v>
      </c>
    </row>
    <row r="65" spans="3:10" ht="15" customHeight="1" x14ac:dyDescent="0.15"/>
    <row r="66" spans="3:10" ht="18" customHeight="1" x14ac:dyDescent="0.15">
      <c r="D66" s="32" t="s">
        <v>274</v>
      </c>
    </row>
    <row r="67" spans="3:10" ht="18" customHeight="1" x14ac:dyDescent="0.15">
      <c r="D67" s="32" t="s">
        <v>275</v>
      </c>
    </row>
    <row r="68" spans="3:10" ht="18" customHeight="1" x14ac:dyDescent="0.15">
      <c r="D68" s="32" t="s">
        <v>276</v>
      </c>
    </row>
    <row r="69" spans="3:10" ht="18" customHeight="1" x14ac:dyDescent="0.15">
      <c r="D69" s="32" t="s">
        <v>277</v>
      </c>
    </row>
    <row r="70" spans="3:10" ht="18" customHeight="1" x14ac:dyDescent="0.15"/>
    <row r="71" spans="3:10" ht="18" customHeight="1" x14ac:dyDescent="0.15"/>
    <row r="72" spans="3:10" ht="18" customHeight="1" x14ac:dyDescent="0.15"/>
    <row r="73" spans="3:10" ht="15" customHeight="1" x14ac:dyDescent="0.15"/>
    <row r="74" spans="3:10" ht="15" customHeight="1" x14ac:dyDescent="0.15">
      <c r="C74" s="32" t="s">
        <v>174</v>
      </c>
    </row>
    <row r="75" spans="3:10" ht="15" customHeight="1" x14ac:dyDescent="0.15"/>
    <row r="76" spans="3:10" ht="15" customHeight="1" x14ac:dyDescent="0.15"/>
    <row r="77" spans="3:10" ht="15" customHeight="1" x14ac:dyDescent="0.15"/>
    <row r="78" spans="3:10" ht="15" customHeight="1" x14ac:dyDescent="0.15">
      <c r="G78" s="35"/>
      <c r="I78" s="35"/>
      <c r="J78" s="36"/>
    </row>
    <row r="79" spans="3:10" ht="15" customHeight="1" x14ac:dyDescent="0.15">
      <c r="I79" s="35"/>
      <c r="J79" s="36"/>
    </row>
    <row r="80" spans="3:10" ht="15" customHeight="1" x14ac:dyDescent="0.15"/>
    <row r="81" spans="4:25" ht="15" customHeight="1" x14ac:dyDescent="0.15">
      <c r="Q81" s="37"/>
      <c r="R81" s="37"/>
    </row>
    <row r="82" spans="4:25" ht="15" customHeight="1" x14ac:dyDescent="0.15"/>
    <row r="83" spans="4:25" ht="15" customHeight="1" x14ac:dyDescent="0.15">
      <c r="L83" s="32" t="s">
        <v>175</v>
      </c>
    </row>
    <row r="84" spans="4:25" ht="15" customHeight="1" x14ac:dyDescent="0.15">
      <c r="D84" s="32" t="s">
        <v>176</v>
      </c>
    </row>
    <row r="85" spans="4:25" ht="15" customHeight="1" x14ac:dyDescent="0.15"/>
    <row r="86" spans="4:25" ht="15" customHeight="1" x14ac:dyDescent="0.15">
      <c r="E86" s="32" t="s">
        <v>177</v>
      </c>
    </row>
    <row r="87" spans="4:25" ht="15" customHeight="1" x14ac:dyDescent="0.15">
      <c r="G87" s="35"/>
      <c r="I87" s="35"/>
      <c r="J87" s="36"/>
    </row>
    <row r="88" spans="4:25" ht="15" customHeight="1" x14ac:dyDescent="0.15">
      <c r="G88" s="35" t="s">
        <v>138</v>
      </c>
      <c r="I88" s="35" t="s">
        <v>178</v>
      </c>
      <c r="J88" s="36" t="s">
        <v>140</v>
      </c>
      <c r="K88" s="32" t="s">
        <v>179</v>
      </c>
    </row>
    <row r="89" spans="4:25" ht="15" customHeight="1" x14ac:dyDescent="0.15">
      <c r="I89" s="35"/>
      <c r="L89" s="85" t="s">
        <v>185</v>
      </c>
      <c r="M89" s="85"/>
      <c r="N89" s="85" t="s">
        <v>0</v>
      </c>
      <c r="O89" s="85"/>
      <c r="V89" s="85">
        <v>1</v>
      </c>
    </row>
    <row r="90" spans="4:25" ht="6.75" customHeight="1" x14ac:dyDescent="0.15">
      <c r="I90" s="35"/>
      <c r="J90" s="87" t="s">
        <v>278</v>
      </c>
      <c r="K90" s="87"/>
      <c r="L90" s="90" t="s">
        <v>188</v>
      </c>
      <c r="M90" s="90"/>
      <c r="N90" s="86"/>
      <c r="O90" s="86"/>
      <c r="P90" s="89" t="s">
        <v>279</v>
      </c>
      <c r="Q90" s="89"/>
      <c r="R90" s="89"/>
      <c r="S90" s="89"/>
      <c r="T90" s="89"/>
      <c r="U90" s="89"/>
      <c r="V90" s="86"/>
    </row>
    <row r="91" spans="4:25" ht="6.75" customHeight="1" x14ac:dyDescent="0.15">
      <c r="G91" s="35"/>
      <c r="I91" s="35"/>
      <c r="J91" s="87"/>
      <c r="K91" s="87"/>
      <c r="L91" s="90"/>
      <c r="M91" s="90"/>
      <c r="N91" s="91" t="s">
        <v>280</v>
      </c>
      <c r="O91" s="91"/>
      <c r="P91" s="89"/>
      <c r="Q91" s="89"/>
      <c r="R91" s="89"/>
      <c r="S91" s="89"/>
      <c r="T91" s="89"/>
      <c r="U91" s="89"/>
      <c r="V91" s="91">
        <v>2</v>
      </c>
    </row>
    <row r="92" spans="4:25" ht="15" customHeight="1" x14ac:dyDescent="0.15">
      <c r="G92" s="35"/>
      <c r="I92" s="35"/>
      <c r="J92" s="36"/>
      <c r="L92" s="91" t="s">
        <v>193</v>
      </c>
      <c r="M92" s="91"/>
      <c r="N92" s="91"/>
      <c r="O92" s="91"/>
      <c r="V92" s="91"/>
    </row>
    <row r="93" spans="4:25" ht="15" customHeight="1" x14ac:dyDescent="0.15">
      <c r="I93" s="35" t="s">
        <v>181</v>
      </c>
      <c r="J93" s="36" t="s">
        <v>140</v>
      </c>
      <c r="K93" s="32" t="s">
        <v>182</v>
      </c>
    </row>
    <row r="94" spans="4:25" ht="15" customHeight="1" x14ac:dyDescent="0.15">
      <c r="I94" s="35" t="s">
        <v>183</v>
      </c>
      <c r="J94" s="36" t="s">
        <v>140</v>
      </c>
      <c r="K94" s="32" t="s">
        <v>184</v>
      </c>
    </row>
    <row r="95" spans="4:25" ht="15" customHeight="1" x14ac:dyDescent="0.15">
      <c r="I95" s="35"/>
      <c r="L95" s="85" t="s">
        <v>185</v>
      </c>
      <c r="M95" s="85"/>
      <c r="O95" s="85" t="s">
        <v>185</v>
      </c>
      <c r="P95" s="85"/>
      <c r="Q95" s="85" t="s">
        <v>281</v>
      </c>
      <c r="R95" s="85"/>
    </row>
    <row r="96" spans="4:25" ht="6.75" customHeight="1" x14ac:dyDescent="0.15">
      <c r="I96" s="35"/>
      <c r="J96" s="87" t="s">
        <v>187</v>
      </c>
      <c r="K96" s="87"/>
      <c r="L96" s="88" t="s">
        <v>188</v>
      </c>
      <c r="M96" s="89" t="s">
        <v>189</v>
      </c>
      <c r="N96" s="87" t="s">
        <v>190</v>
      </c>
      <c r="O96" s="90" t="s">
        <v>188</v>
      </c>
      <c r="P96" s="90"/>
      <c r="Q96" s="86"/>
      <c r="R96" s="86"/>
      <c r="S96" s="87" t="s">
        <v>282</v>
      </c>
      <c r="T96" s="87"/>
      <c r="U96" s="87"/>
      <c r="V96" s="87"/>
      <c r="W96" s="87"/>
      <c r="X96" s="87"/>
      <c r="Y96" s="87"/>
    </row>
    <row r="97" spans="2:25" ht="6.75" customHeight="1" x14ac:dyDescent="0.15">
      <c r="G97" s="35"/>
      <c r="I97" s="35"/>
      <c r="J97" s="87"/>
      <c r="K97" s="87"/>
      <c r="L97" s="88"/>
      <c r="M97" s="89"/>
      <c r="N97" s="87"/>
      <c r="O97" s="90"/>
      <c r="P97" s="90"/>
      <c r="Q97" s="91" t="s">
        <v>280</v>
      </c>
      <c r="R97" s="91"/>
      <c r="S97" s="87"/>
      <c r="T97" s="87"/>
      <c r="U97" s="87"/>
      <c r="V97" s="87"/>
      <c r="W97" s="87"/>
      <c r="X97" s="87"/>
      <c r="Y97" s="87"/>
    </row>
    <row r="98" spans="2:25" ht="15" customHeight="1" x14ac:dyDescent="0.15">
      <c r="G98" s="35"/>
      <c r="I98" s="35"/>
      <c r="J98" s="36"/>
      <c r="L98" s="91" t="s">
        <v>193</v>
      </c>
      <c r="M98" s="91"/>
      <c r="O98" s="91" t="s">
        <v>193</v>
      </c>
      <c r="P98" s="91"/>
      <c r="Q98" s="91"/>
      <c r="R98" s="91"/>
    </row>
    <row r="99" spans="2:25" ht="15" customHeight="1" x14ac:dyDescent="0.15">
      <c r="I99" s="35"/>
      <c r="J99" s="36"/>
    </row>
    <row r="100" spans="2:25" ht="15" customHeight="1" x14ac:dyDescent="0.15">
      <c r="E100" s="32" t="s">
        <v>194</v>
      </c>
    </row>
    <row r="101" spans="2:25" ht="15" customHeight="1" x14ac:dyDescent="0.15"/>
    <row r="102" spans="2:25" ht="15" customHeight="1" x14ac:dyDescent="0.15">
      <c r="E102" s="32" t="s">
        <v>195</v>
      </c>
    </row>
    <row r="103" spans="2:25" ht="15" customHeight="1" x14ac:dyDescent="0.15"/>
    <row r="104" spans="2:25" ht="15" customHeight="1" x14ac:dyDescent="0.15">
      <c r="E104" s="32" t="s">
        <v>283</v>
      </c>
    </row>
    <row r="105" spans="2:25" ht="15" customHeight="1" x14ac:dyDescent="0.15"/>
    <row r="106" spans="2:25" ht="15" customHeight="1" x14ac:dyDescent="0.15">
      <c r="G106" s="88" t="s">
        <v>197</v>
      </c>
      <c r="H106" s="88"/>
      <c r="I106" s="85" t="s">
        <v>198</v>
      </c>
      <c r="J106" s="87" t="s">
        <v>199</v>
      </c>
      <c r="K106" s="85">
        <v>2</v>
      </c>
      <c r="L106" s="90" t="s">
        <v>0</v>
      </c>
      <c r="M106" s="90" t="s">
        <v>201</v>
      </c>
      <c r="N106" s="85" t="s">
        <v>185</v>
      </c>
      <c r="O106" s="85"/>
      <c r="P106" s="87" t="s">
        <v>189</v>
      </c>
      <c r="Q106" s="87" t="s">
        <v>202</v>
      </c>
      <c r="R106" s="87"/>
      <c r="S106" s="87" t="s">
        <v>199</v>
      </c>
      <c r="T106" s="85" t="s">
        <v>198</v>
      </c>
      <c r="U106" s="87" t="s">
        <v>203</v>
      </c>
    </row>
    <row r="107" spans="2:25" ht="6.75" customHeight="1" x14ac:dyDescent="0.15">
      <c r="E107" s="87" t="s">
        <v>284</v>
      </c>
      <c r="F107" s="87"/>
      <c r="G107" s="88"/>
      <c r="H107" s="88"/>
      <c r="I107" s="86"/>
      <c r="J107" s="87"/>
      <c r="K107" s="86"/>
      <c r="L107" s="90"/>
      <c r="M107" s="90"/>
      <c r="N107" s="88" t="s">
        <v>205</v>
      </c>
      <c r="O107" s="88"/>
      <c r="P107" s="87"/>
      <c r="Q107" s="87"/>
      <c r="R107" s="87"/>
      <c r="S107" s="87"/>
      <c r="T107" s="86"/>
      <c r="U107" s="87"/>
    </row>
    <row r="108" spans="2:25" ht="6.75" customHeight="1" x14ac:dyDescent="0.15">
      <c r="E108" s="87"/>
      <c r="F108" s="87"/>
      <c r="G108" s="88"/>
      <c r="H108" s="88"/>
      <c r="I108" s="91">
        <v>2</v>
      </c>
      <c r="J108" s="87"/>
      <c r="K108" s="91">
        <v>3</v>
      </c>
      <c r="L108" s="90"/>
      <c r="M108" s="90"/>
      <c r="N108" s="88"/>
      <c r="O108" s="88"/>
      <c r="P108" s="87"/>
      <c r="Q108" s="87"/>
      <c r="R108" s="87"/>
      <c r="S108" s="87"/>
      <c r="T108" s="91">
        <v>2</v>
      </c>
      <c r="U108" s="87"/>
    </row>
    <row r="109" spans="2:25" ht="15" customHeight="1" x14ac:dyDescent="0.15">
      <c r="E109" s="36"/>
      <c r="G109" s="88"/>
      <c r="H109" s="88"/>
      <c r="I109" s="91"/>
      <c r="J109" s="87"/>
      <c r="K109" s="91"/>
      <c r="L109" s="90"/>
      <c r="M109" s="90"/>
      <c r="N109" s="91" t="s">
        <v>193</v>
      </c>
      <c r="O109" s="91"/>
      <c r="P109" s="87"/>
      <c r="Q109" s="87"/>
      <c r="R109" s="87"/>
      <c r="S109" s="87"/>
      <c r="T109" s="91"/>
      <c r="U109" s="87"/>
    </row>
    <row r="110" spans="2:25" ht="15" customHeight="1" x14ac:dyDescent="0.15"/>
    <row r="111" spans="2:25" ht="15" customHeight="1" x14ac:dyDescent="0.15"/>
    <row r="112" spans="2:25" ht="15" customHeight="1" x14ac:dyDescent="0.15">
      <c r="B112" s="32" t="s">
        <v>285</v>
      </c>
    </row>
    <row r="113" spans="3:11" ht="15" customHeight="1" x14ac:dyDescent="0.15"/>
    <row r="114" spans="3:11" ht="15" customHeight="1" x14ac:dyDescent="0.15">
      <c r="C114" s="32" t="s">
        <v>150</v>
      </c>
    </row>
    <row r="115" spans="3:11" ht="15" customHeight="1" x14ac:dyDescent="0.15">
      <c r="C115" s="32" t="s">
        <v>151</v>
      </c>
    </row>
    <row r="116" spans="3:11" ht="15" customHeight="1" x14ac:dyDescent="0.15">
      <c r="C116" s="32" t="s">
        <v>152</v>
      </c>
    </row>
    <row r="117" spans="3:11" ht="15" customHeight="1" x14ac:dyDescent="0.15"/>
    <row r="118" spans="3:11" ht="15" customHeight="1" x14ac:dyDescent="0.15">
      <c r="C118" s="32" t="s">
        <v>286</v>
      </c>
    </row>
    <row r="119" spans="3:11" ht="15" customHeight="1" x14ac:dyDescent="0.15"/>
    <row r="120" spans="3:11" ht="15" customHeight="1" x14ac:dyDescent="0.15">
      <c r="D120" s="32" t="s">
        <v>287</v>
      </c>
    </row>
    <row r="121" spans="3:11" ht="15" customHeight="1" x14ac:dyDescent="0.15"/>
    <row r="122" spans="3:11" ht="15" customHeight="1" x14ac:dyDescent="0.15">
      <c r="E122" s="32" t="s">
        <v>155</v>
      </c>
    </row>
    <row r="123" spans="3:11" ht="15" customHeight="1" x14ac:dyDescent="0.15"/>
    <row r="124" spans="3:11" ht="15" customHeight="1" x14ac:dyDescent="0.15">
      <c r="G124" s="35" t="s">
        <v>138</v>
      </c>
      <c r="I124" s="35" t="s">
        <v>139</v>
      </c>
      <c r="J124" s="36" t="s">
        <v>140</v>
      </c>
      <c r="K124" s="32" t="s">
        <v>271</v>
      </c>
    </row>
    <row r="125" spans="3:11" ht="15" customHeight="1" x14ac:dyDescent="0.15">
      <c r="I125" s="35" t="s">
        <v>156</v>
      </c>
      <c r="J125" s="36" t="s">
        <v>140</v>
      </c>
      <c r="K125" s="32" t="s">
        <v>157</v>
      </c>
    </row>
    <row r="126" spans="3:11" ht="15" customHeight="1" x14ac:dyDescent="0.15">
      <c r="I126" s="35" t="s">
        <v>158</v>
      </c>
      <c r="J126" s="36" t="s">
        <v>140</v>
      </c>
      <c r="K126" s="32" t="s">
        <v>159</v>
      </c>
    </row>
    <row r="127" spans="3:11" ht="15" customHeight="1" x14ac:dyDescent="0.15">
      <c r="I127" s="35" t="s">
        <v>160</v>
      </c>
      <c r="J127" s="36" t="s">
        <v>140</v>
      </c>
      <c r="K127" s="32" t="s">
        <v>161</v>
      </c>
    </row>
    <row r="128" spans="3:11" ht="15" customHeight="1" x14ac:dyDescent="0.15">
      <c r="I128" s="35" t="s">
        <v>162</v>
      </c>
      <c r="J128" s="36" t="s">
        <v>140</v>
      </c>
      <c r="K128" s="32" t="s">
        <v>163</v>
      </c>
    </row>
    <row r="129" spans="3:11" ht="15" customHeight="1" x14ac:dyDescent="0.15">
      <c r="I129" s="35" t="s">
        <v>164</v>
      </c>
      <c r="J129" s="36" t="s">
        <v>140</v>
      </c>
      <c r="K129" s="32" t="s">
        <v>165</v>
      </c>
    </row>
    <row r="130" spans="3:11" ht="15" customHeight="1" x14ac:dyDescent="0.15">
      <c r="I130" s="35"/>
      <c r="J130" s="36"/>
    </row>
    <row r="131" spans="3:11" ht="15" customHeight="1" x14ac:dyDescent="0.15">
      <c r="D131" s="32" t="s">
        <v>288</v>
      </c>
    </row>
    <row r="132" spans="3:11" ht="15" customHeight="1" x14ac:dyDescent="0.15"/>
    <row r="133" spans="3:11" ht="15" customHeight="1" x14ac:dyDescent="0.15">
      <c r="E133" s="32" t="s">
        <v>167</v>
      </c>
    </row>
    <row r="134" spans="3:11" ht="15" customHeight="1" x14ac:dyDescent="0.15"/>
    <row r="135" spans="3:11" ht="15" customHeight="1" x14ac:dyDescent="0.15">
      <c r="G135" s="35" t="s">
        <v>138</v>
      </c>
      <c r="I135" s="35" t="s">
        <v>139</v>
      </c>
      <c r="J135" s="36" t="s">
        <v>140</v>
      </c>
      <c r="K135" s="32" t="s">
        <v>271</v>
      </c>
    </row>
    <row r="136" spans="3:11" ht="15" customHeight="1" x14ac:dyDescent="0.15">
      <c r="I136" s="35" t="s">
        <v>156</v>
      </c>
      <c r="J136" s="36" t="s">
        <v>140</v>
      </c>
      <c r="K136" s="32" t="s">
        <v>157</v>
      </c>
    </row>
    <row r="137" spans="3:11" ht="15" customHeight="1" x14ac:dyDescent="0.15">
      <c r="I137" s="35" t="s">
        <v>168</v>
      </c>
      <c r="J137" s="36" t="s">
        <v>140</v>
      </c>
      <c r="K137" s="32" t="s">
        <v>169</v>
      </c>
    </row>
    <row r="138" spans="3:11" ht="15" customHeight="1" x14ac:dyDescent="0.15">
      <c r="I138" s="35"/>
      <c r="J138" s="36"/>
    </row>
    <row r="139" spans="3:11" ht="15" customHeight="1" x14ac:dyDescent="0.15">
      <c r="C139" s="32" t="s">
        <v>289</v>
      </c>
    </row>
    <row r="140" spans="3:11" ht="15" customHeight="1" x14ac:dyDescent="0.15"/>
    <row r="141" spans="3:11" ht="15" customHeight="1" x14ac:dyDescent="0.15">
      <c r="E141" s="32" t="s">
        <v>171</v>
      </c>
    </row>
    <row r="142" spans="3:11" ht="15" customHeight="1" x14ac:dyDescent="0.15"/>
    <row r="143" spans="3:11" ht="15" customHeight="1" x14ac:dyDescent="0.15">
      <c r="G143" s="35" t="s">
        <v>138</v>
      </c>
      <c r="I143" s="35" t="s">
        <v>139</v>
      </c>
      <c r="J143" s="36" t="s">
        <v>140</v>
      </c>
      <c r="K143" s="32" t="s">
        <v>271</v>
      </c>
    </row>
    <row r="144" spans="3:11" ht="15" customHeight="1" x14ac:dyDescent="0.15">
      <c r="I144" s="35" t="s">
        <v>156</v>
      </c>
      <c r="J144" s="36" t="s">
        <v>140</v>
      </c>
      <c r="K144" s="32" t="s">
        <v>157</v>
      </c>
    </row>
    <row r="145" spans="9:11" ht="15" customHeight="1" x14ac:dyDescent="0.15">
      <c r="I145" s="35" t="s">
        <v>172</v>
      </c>
      <c r="J145" s="36" t="s">
        <v>140</v>
      </c>
      <c r="K145" s="32" t="s">
        <v>173</v>
      </c>
    </row>
    <row r="146" spans="9:11" ht="15" customHeight="1" x14ac:dyDescent="0.15"/>
    <row r="147" spans="9:11" ht="15" customHeight="1" x14ac:dyDescent="0.15"/>
    <row r="148" spans="9:11" ht="15" customHeight="1" x14ac:dyDescent="0.15"/>
    <row r="149" spans="9:11" ht="15" customHeight="1" x14ac:dyDescent="0.15"/>
    <row r="150" spans="9:11" ht="15" customHeight="1" x14ac:dyDescent="0.15"/>
    <row r="151" spans="9:11" ht="15" customHeight="1" x14ac:dyDescent="0.15"/>
    <row r="152" spans="9:11" ht="15" customHeight="1" x14ac:dyDescent="0.15"/>
    <row r="153" spans="9:11" ht="15" customHeight="1" x14ac:dyDescent="0.15"/>
    <row r="154" spans="9:11" ht="15" customHeight="1" x14ac:dyDescent="0.15"/>
    <row r="155" spans="9:11" ht="15" customHeight="1" x14ac:dyDescent="0.15"/>
    <row r="156" spans="9:11" ht="15" customHeight="1" x14ac:dyDescent="0.15"/>
    <row r="157" spans="9:11" ht="15" customHeight="1" x14ac:dyDescent="0.15"/>
    <row r="158" spans="9:11" ht="15" customHeight="1" x14ac:dyDescent="0.15"/>
    <row r="159" spans="9:11" ht="15" customHeight="1" x14ac:dyDescent="0.15"/>
    <row r="160" spans="9:11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1" ht="15" customHeight="1" x14ac:dyDescent="0.15"/>
    <row r="172" ht="15" customHeight="1" x14ac:dyDescent="0.15"/>
    <row r="173" ht="15" customHeight="1" x14ac:dyDescent="0.15"/>
    <row r="174" ht="15" customHeight="1" x14ac:dyDescent="0.15"/>
    <row r="175" ht="15" customHeight="1" x14ac:dyDescent="0.15"/>
    <row r="176" ht="15" customHeight="1" x14ac:dyDescent="0.15"/>
    <row r="177" ht="15" customHeight="1" x14ac:dyDescent="0.15"/>
    <row r="178" ht="15" customHeight="1" x14ac:dyDescent="0.15"/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  <row r="374" ht="15" customHeight="1" x14ac:dyDescent="0.15"/>
    <row r="375" ht="15" customHeight="1" x14ac:dyDescent="0.15"/>
    <row r="376" ht="15" customHeight="1" x14ac:dyDescent="0.15"/>
    <row r="377" ht="15" customHeight="1" x14ac:dyDescent="0.15"/>
    <row r="378" ht="15" customHeight="1" x14ac:dyDescent="0.15"/>
    <row r="379" ht="15" customHeight="1" x14ac:dyDescent="0.15"/>
    <row r="380" ht="15" customHeight="1" x14ac:dyDescent="0.15"/>
    <row r="381" ht="15" customHeight="1" x14ac:dyDescent="0.15"/>
    <row r="382" ht="15" customHeight="1" x14ac:dyDescent="0.15"/>
    <row r="383" ht="15" customHeight="1" x14ac:dyDescent="0.15"/>
    <row r="384" ht="15" customHeight="1" x14ac:dyDescent="0.15"/>
    <row r="385" ht="15" customHeight="1" x14ac:dyDescent="0.15"/>
    <row r="386" ht="15" customHeight="1" x14ac:dyDescent="0.15"/>
    <row r="387" ht="15" customHeight="1" x14ac:dyDescent="0.15"/>
    <row r="388" ht="15" customHeight="1" x14ac:dyDescent="0.15"/>
    <row r="389" ht="15" customHeight="1" x14ac:dyDescent="0.15"/>
    <row r="390" ht="15" customHeight="1" x14ac:dyDescent="0.15"/>
    <row r="391" ht="15" customHeight="1" x14ac:dyDescent="0.15"/>
    <row r="392" ht="15" customHeight="1" x14ac:dyDescent="0.15"/>
    <row r="393" ht="15" customHeight="1" x14ac:dyDescent="0.15"/>
    <row r="394" ht="15" customHeight="1" x14ac:dyDescent="0.15"/>
    <row r="395" ht="15" customHeight="1" x14ac:dyDescent="0.15"/>
    <row r="396" ht="15" customHeight="1" x14ac:dyDescent="0.15"/>
    <row r="397" ht="15" customHeight="1" x14ac:dyDescent="0.15"/>
    <row r="398" ht="15" customHeight="1" x14ac:dyDescent="0.15"/>
    <row r="399" ht="15" customHeight="1" x14ac:dyDescent="0.15"/>
    <row r="400" ht="15" customHeight="1" x14ac:dyDescent="0.15"/>
    <row r="401" ht="15" customHeight="1" x14ac:dyDescent="0.15"/>
    <row r="402" ht="15" customHeight="1" x14ac:dyDescent="0.15"/>
    <row r="403" ht="15" customHeight="1" x14ac:dyDescent="0.15"/>
    <row r="404" ht="15" customHeight="1" x14ac:dyDescent="0.15"/>
    <row r="405" ht="15" customHeight="1" x14ac:dyDescent="0.15"/>
    <row r="406" ht="15" customHeight="1" x14ac:dyDescent="0.15"/>
    <row r="407" ht="15" customHeight="1" x14ac:dyDescent="0.15"/>
    <row r="408" ht="15" customHeight="1" x14ac:dyDescent="0.15"/>
    <row r="409" ht="15" customHeight="1" x14ac:dyDescent="0.15"/>
    <row r="410" ht="15" customHeight="1" x14ac:dyDescent="0.15"/>
    <row r="411" ht="15" customHeight="1" x14ac:dyDescent="0.15"/>
    <row r="412" ht="15" customHeight="1" x14ac:dyDescent="0.15"/>
    <row r="413" ht="15" customHeight="1" x14ac:dyDescent="0.15"/>
    <row r="414" ht="15" customHeight="1" x14ac:dyDescent="0.15"/>
    <row r="415" ht="15" customHeight="1" x14ac:dyDescent="0.15"/>
    <row r="416" ht="15" customHeight="1" x14ac:dyDescent="0.15"/>
    <row r="417" ht="15" customHeight="1" x14ac:dyDescent="0.15"/>
    <row r="418" ht="15" customHeight="1" x14ac:dyDescent="0.15"/>
    <row r="419" ht="15" customHeight="1" x14ac:dyDescent="0.15"/>
    <row r="420" ht="15" customHeight="1" x14ac:dyDescent="0.15"/>
    <row r="421" ht="15" customHeight="1" x14ac:dyDescent="0.15"/>
    <row r="422" ht="15" customHeight="1" x14ac:dyDescent="0.15"/>
    <row r="423" ht="15" customHeight="1" x14ac:dyDescent="0.15"/>
    <row r="424" ht="15" customHeight="1" x14ac:dyDescent="0.15"/>
    <row r="425" ht="15" customHeight="1" x14ac:dyDescent="0.15"/>
    <row r="426" ht="15" customHeight="1" x14ac:dyDescent="0.15"/>
    <row r="427" ht="15" customHeight="1" x14ac:dyDescent="0.15"/>
    <row r="428" ht="15" customHeight="1" x14ac:dyDescent="0.15"/>
    <row r="429" ht="15" customHeight="1" x14ac:dyDescent="0.15"/>
    <row r="430" ht="15" customHeight="1" x14ac:dyDescent="0.15"/>
    <row r="431" ht="15" customHeight="1" x14ac:dyDescent="0.15"/>
    <row r="432" ht="15" customHeight="1" x14ac:dyDescent="0.15"/>
    <row r="433" ht="15" customHeight="1" x14ac:dyDescent="0.15"/>
    <row r="434" ht="15" customHeight="1" x14ac:dyDescent="0.15"/>
    <row r="435" ht="15" customHeight="1" x14ac:dyDescent="0.15"/>
    <row r="436" ht="15" customHeight="1" x14ac:dyDescent="0.15"/>
    <row r="437" ht="15" customHeight="1" x14ac:dyDescent="0.15"/>
    <row r="438" ht="15" customHeight="1" x14ac:dyDescent="0.15"/>
    <row r="439" ht="15" customHeight="1" x14ac:dyDescent="0.15"/>
    <row r="440" ht="15" customHeight="1" x14ac:dyDescent="0.15"/>
    <row r="441" ht="15" customHeight="1" x14ac:dyDescent="0.15"/>
    <row r="442" ht="15" customHeight="1" x14ac:dyDescent="0.15"/>
    <row r="443" ht="15" customHeight="1" x14ac:dyDescent="0.15"/>
    <row r="444" ht="15" customHeight="1" x14ac:dyDescent="0.15"/>
    <row r="445" ht="15" customHeight="1" x14ac:dyDescent="0.15"/>
    <row r="446" ht="15" customHeight="1" x14ac:dyDescent="0.15"/>
    <row r="447" ht="15" customHeight="1" x14ac:dyDescent="0.15"/>
    <row r="448" ht="15" customHeight="1" x14ac:dyDescent="0.15"/>
    <row r="449" ht="15" customHeight="1" x14ac:dyDescent="0.15"/>
    <row r="450" ht="15" customHeight="1" x14ac:dyDescent="0.15"/>
    <row r="451" ht="15" customHeight="1" x14ac:dyDescent="0.15"/>
    <row r="452" ht="15" customHeight="1" x14ac:dyDescent="0.15"/>
    <row r="453" ht="15" customHeight="1" x14ac:dyDescent="0.15"/>
    <row r="454" ht="15" customHeight="1" x14ac:dyDescent="0.15"/>
    <row r="455" ht="15" customHeight="1" x14ac:dyDescent="0.15"/>
    <row r="456" ht="15" customHeight="1" x14ac:dyDescent="0.15"/>
    <row r="457" ht="15" customHeight="1" x14ac:dyDescent="0.15"/>
    <row r="458" ht="15" customHeight="1" x14ac:dyDescent="0.15"/>
    <row r="459" ht="15" customHeight="1" x14ac:dyDescent="0.15"/>
    <row r="460" ht="15" customHeight="1" x14ac:dyDescent="0.15"/>
    <row r="461" ht="15" customHeight="1" x14ac:dyDescent="0.15"/>
    <row r="462" ht="15" customHeight="1" x14ac:dyDescent="0.15"/>
    <row r="463" ht="15" customHeight="1" x14ac:dyDescent="0.15"/>
    <row r="464" ht="15" customHeight="1" x14ac:dyDescent="0.15"/>
    <row r="465" ht="15" customHeight="1" x14ac:dyDescent="0.15"/>
    <row r="466" ht="15" customHeight="1" x14ac:dyDescent="0.15"/>
    <row r="467" ht="15" customHeight="1" x14ac:dyDescent="0.15"/>
    <row r="468" ht="15" customHeight="1" x14ac:dyDescent="0.15"/>
    <row r="469" ht="15" customHeight="1" x14ac:dyDescent="0.15"/>
    <row r="470" ht="15" customHeight="1" x14ac:dyDescent="0.15"/>
    <row r="471" ht="15" customHeight="1" x14ac:dyDescent="0.15"/>
    <row r="472" ht="15" customHeight="1" x14ac:dyDescent="0.15"/>
    <row r="473" ht="15" customHeight="1" x14ac:dyDescent="0.15"/>
    <row r="474" ht="15" customHeight="1" x14ac:dyDescent="0.15"/>
    <row r="475" ht="15" customHeight="1" x14ac:dyDescent="0.15"/>
    <row r="476" ht="15" customHeight="1" x14ac:dyDescent="0.15"/>
    <row r="477" ht="15" customHeight="1" x14ac:dyDescent="0.15"/>
    <row r="478" ht="15" customHeight="1" x14ac:dyDescent="0.15"/>
    <row r="479" ht="15" customHeight="1" x14ac:dyDescent="0.15"/>
    <row r="480" ht="15" customHeight="1" x14ac:dyDescent="0.15"/>
    <row r="481" ht="15" customHeight="1" x14ac:dyDescent="0.15"/>
    <row r="482" ht="15" customHeight="1" x14ac:dyDescent="0.15"/>
    <row r="483" ht="15" customHeight="1" x14ac:dyDescent="0.15"/>
    <row r="484" ht="15" customHeight="1" x14ac:dyDescent="0.15"/>
    <row r="485" ht="15" customHeight="1" x14ac:dyDescent="0.15"/>
    <row r="486" ht="15" customHeight="1" x14ac:dyDescent="0.15"/>
    <row r="487" ht="15" customHeight="1" x14ac:dyDescent="0.15"/>
    <row r="488" ht="15" customHeight="1" x14ac:dyDescent="0.15"/>
    <row r="489" ht="15" customHeight="1" x14ac:dyDescent="0.15"/>
    <row r="490" ht="15" customHeight="1" x14ac:dyDescent="0.15"/>
    <row r="491" ht="15" customHeight="1" x14ac:dyDescent="0.15"/>
    <row r="492" ht="15" customHeight="1" x14ac:dyDescent="0.15"/>
    <row r="493" ht="15" customHeight="1" x14ac:dyDescent="0.15"/>
    <row r="494" ht="15" customHeight="1" x14ac:dyDescent="0.15"/>
    <row r="495" ht="15" customHeight="1" x14ac:dyDescent="0.15"/>
    <row r="496" ht="15" customHeight="1" x14ac:dyDescent="0.15"/>
    <row r="497" ht="15" customHeight="1" x14ac:dyDescent="0.15"/>
    <row r="498" ht="15" customHeight="1" x14ac:dyDescent="0.15"/>
    <row r="499" ht="15" customHeight="1" x14ac:dyDescent="0.15"/>
    <row r="500" ht="15" customHeight="1" x14ac:dyDescent="0.15"/>
    <row r="501" ht="15" customHeight="1" x14ac:dyDescent="0.15"/>
    <row r="502" ht="15" customHeight="1" x14ac:dyDescent="0.15"/>
    <row r="503" ht="15" customHeight="1" x14ac:dyDescent="0.15"/>
    <row r="504" ht="15" customHeight="1" x14ac:dyDescent="0.15"/>
    <row r="505" ht="15" customHeight="1" x14ac:dyDescent="0.15"/>
    <row r="506" ht="15" customHeight="1" x14ac:dyDescent="0.15"/>
    <row r="507" ht="15" customHeight="1" x14ac:dyDescent="0.15"/>
    <row r="508" ht="15" customHeight="1" x14ac:dyDescent="0.15"/>
    <row r="509" ht="15" customHeight="1" x14ac:dyDescent="0.15"/>
    <row r="510" ht="15" customHeight="1" x14ac:dyDescent="0.15"/>
    <row r="511" ht="15" customHeight="1" x14ac:dyDescent="0.15"/>
    <row r="512" ht="15" customHeight="1" x14ac:dyDescent="0.15"/>
    <row r="513" ht="15" customHeight="1" x14ac:dyDescent="0.15"/>
    <row r="514" ht="15" customHeight="1" x14ac:dyDescent="0.15"/>
    <row r="515" ht="15" customHeight="1" x14ac:dyDescent="0.15"/>
    <row r="516" ht="15" customHeight="1" x14ac:dyDescent="0.15"/>
    <row r="517" ht="15" customHeight="1" x14ac:dyDescent="0.15"/>
    <row r="518" ht="15" customHeight="1" x14ac:dyDescent="0.15"/>
    <row r="519" ht="15" customHeight="1" x14ac:dyDescent="0.15"/>
    <row r="520" ht="15" customHeight="1" x14ac:dyDescent="0.15"/>
    <row r="521" ht="15" customHeight="1" x14ac:dyDescent="0.15"/>
    <row r="522" ht="15" customHeight="1" x14ac:dyDescent="0.15"/>
    <row r="523" ht="15" customHeight="1" x14ac:dyDescent="0.15"/>
    <row r="524" ht="15" customHeight="1" x14ac:dyDescent="0.15"/>
    <row r="525" ht="15" customHeight="1" x14ac:dyDescent="0.15"/>
    <row r="526" ht="15" customHeight="1" x14ac:dyDescent="0.15"/>
    <row r="527" ht="15" customHeight="1" x14ac:dyDescent="0.15"/>
    <row r="528" ht="15" customHeight="1" x14ac:dyDescent="0.15"/>
    <row r="529" ht="15" customHeight="1" x14ac:dyDescent="0.15"/>
    <row r="530" ht="15" customHeight="1" x14ac:dyDescent="0.15"/>
    <row r="531" ht="15" customHeight="1" x14ac:dyDescent="0.15"/>
    <row r="532" ht="15" customHeight="1" x14ac:dyDescent="0.15"/>
    <row r="533" ht="15" customHeight="1" x14ac:dyDescent="0.15"/>
    <row r="534" ht="15" customHeight="1" x14ac:dyDescent="0.15"/>
    <row r="535" ht="15" customHeight="1" x14ac:dyDescent="0.15"/>
    <row r="536" ht="15" customHeight="1" x14ac:dyDescent="0.15"/>
    <row r="537" ht="15" customHeight="1" x14ac:dyDescent="0.15"/>
    <row r="538" ht="15" customHeight="1" x14ac:dyDescent="0.15"/>
    <row r="539" ht="15" customHeight="1" x14ac:dyDescent="0.15"/>
    <row r="540" ht="15" customHeight="1" x14ac:dyDescent="0.15"/>
    <row r="541" ht="15" customHeight="1" x14ac:dyDescent="0.15"/>
    <row r="542" ht="15" customHeight="1" x14ac:dyDescent="0.15"/>
    <row r="543" ht="15" customHeight="1" x14ac:dyDescent="0.15"/>
    <row r="544" ht="15" customHeight="1" x14ac:dyDescent="0.15"/>
    <row r="545" ht="15" customHeight="1" x14ac:dyDescent="0.15"/>
    <row r="546" ht="15" customHeight="1" x14ac:dyDescent="0.15"/>
    <row r="547" ht="15" customHeight="1" x14ac:dyDescent="0.15"/>
    <row r="548" ht="15" customHeight="1" x14ac:dyDescent="0.15"/>
    <row r="549" ht="15" customHeight="1" x14ac:dyDescent="0.15"/>
    <row r="550" ht="15" customHeight="1" x14ac:dyDescent="0.15"/>
    <row r="551" ht="15" customHeight="1" x14ac:dyDescent="0.15"/>
    <row r="552" ht="15" customHeight="1" x14ac:dyDescent="0.15"/>
    <row r="553" ht="15" customHeight="1" x14ac:dyDescent="0.15"/>
    <row r="554" ht="15" customHeight="1" x14ac:dyDescent="0.15"/>
    <row r="555" ht="15" customHeight="1" x14ac:dyDescent="0.15"/>
    <row r="556" ht="15" customHeight="1" x14ac:dyDescent="0.15"/>
    <row r="557" ht="15" customHeight="1" x14ac:dyDescent="0.15"/>
    <row r="558" ht="15" customHeight="1" x14ac:dyDescent="0.15"/>
    <row r="559" ht="15" customHeight="1" x14ac:dyDescent="0.15"/>
    <row r="560" ht="15" customHeight="1" x14ac:dyDescent="0.15"/>
    <row r="561" ht="15" customHeight="1" x14ac:dyDescent="0.15"/>
    <row r="562" ht="15" customHeight="1" x14ac:dyDescent="0.15"/>
    <row r="563" ht="15" customHeight="1" x14ac:dyDescent="0.15"/>
    <row r="564" ht="15" customHeight="1" x14ac:dyDescent="0.15"/>
    <row r="565" ht="15" customHeight="1" x14ac:dyDescent="0.15"/>
    <row r="566" ht="15" customHeight="1" x14ac:dyDescent="0.15"/>
    <row r="567" ht="15" customHeight="1" x14ac:dyDescent="0.15"/>
    <row r="568" ht="15" customHeight="1" x14ac:dyDescent="0.15"/>
    <row r="569" ht="15" customHeight="1" x14ac:dyDescent="0.15"/>
    <row r="570" ht="15" customHeight="1" x14ac:dyDescent="0.15"/>
    <row r="571" ht="15" customHeight="1" x14ac:dyDescent="0.15"/>
    <row r="572" ht="15" customHeight="1" x14ac:dyDescent="0.15"/>
    <row r="573" ht="15" customHeight="1" x14ac:dyDescent="0.15"/>
    <row r="574" ht="15" customHeight="1" x14ac:dyDescent="0.15"/>
    <row r="575" ht="15" customHeight="1" x14ac:dyDescent="0.15"/>
    <row r="576" ht="15" customHeight="1" x14ac:dyDescent="0.15"/>
    <row r="577" ht="15" customHeight="1" x14ac:dyDescent="0.15"/>
    <row r="578" ht="15" customHeight="1" x14ac:dyDescent="0.15"/>
    <row r="579" ht="15" customHeight="1" x14ac:dyDescent="0.15"/>
    <row r="580" ht="15" customHeight="1" x14ac:dyDescent="0.15"/>
    <row r="581" ht="15" customHeight="1" x14ac:dyDescent="0.15"/>
    <row r="582" ht="15" customHeight="1" x14ac:dyDescent="0.15"/>
    <row r="583" ht="15" customHeight="1" x14ac:dyDescent="0.15"/>
    <row r="584" ht="15" customHeight="1" x14ac:dyDescent="0.15"/>
    <row r="585" ht="15" customHeight="1" x14ac:dyDescent="0.15"/>
    <row r="586" ht="15" customHeight="1" x14ac:dyDescent="0.15"/>
    <row r="587" ht="15" customHeight="1" x14ac:dyDescent="0.15"/>
    <row r="588" ht="15" customHeight="1" x14ac:dyDescent="0.15"/>
    <row r="589" ht="15" customHeight="1" x14ac:dyDescent="0.15"/>
    <row r="590" ht="15" customHeight="1" x14ac:dyDescent="0.15"/>
    <row r="591" ht="15" customHeight="1" x14ac:dyDescent="0.15"/>
    <row r="592" ht="15" customHeight="1" x14ac:dyDescent="0.15"/>
    <row r="593" ht="15" customHeight="1" x14ac:dyDescent="0.15"/>
    <row r="594" ht="15" customHeight="1" x14ac:dyDescent="0.15"/>
    <row r="595" ht="15" customHeight="1" x14ac:dyDescent="0.15"/>
    <row r="596" ht="15" customHeight="1" x14ac:dyDescent="0.15"/>
    <row r="597" ht="15" customHeight="1" x14ac:dyDescent="0.15"/>
    <row r="598" ht="15" customHeight="1" x14ac:dyDescent="0.15"/>
    <row r="599" ht="15" customHeight="1" x14ac:dyDescent="0.15"/>
    <row r="600" ht="15" customHeight="1" x14ac:dyDescent="0.15"/>
    <row r="601" ht="15" customHeight="1" x14ac:dyDescent="0.15"/>
    <row r="602" ht="15" customHeight="1" x14ac:dyDescent="0.15"/>
    <row r="603" ht="15" customHeight="1" x14ac:dyDescent="0.15"/>
    <row r="604" ht="15" customHeight="1" x14ac:dyDescent="0.15"/>
    <row r="605" ht="15" customHeight="1" x14ac:dyDescent="0.15"/>
    <row r="606" ht="15" customHeight="1" x14ac:dyDescent="0.15"/>
    <row r="607" ht="15" customHeight="1" x14ac:dyDescent="0.15"/>
    <row r="608" ht="15" customHeight="1" x14ac:dyDescent="0.15"/>
    <row r="609" ht="15" customHeight="1" x14ac:dyDescent="0.15"/>
    <row r="610" ht="15" customHeight="1" x14ac:dyDescent="0.15"/>
    <row r="611" ht="15" customHeight="1" x14ac:dyDescent="0.15"/>
    <row r="612" ht="15" customHeight="1" x14ac:dyDescent="0.15"/>
    <row r="613" ht="15" customHeight="1" x14ac:dyDescent="0.15"/>
    <row r="614" ht="15" customHeight="1" x14ac:dyDescent="0.15"/>
    <row r="615" ht="15" customHeight="1" x14ac:dyDescent="0.15"/>
    <row r="616" ht="15" customHeight="1" x14ac:dyDescent="0.15"/>
    <row r="617" ht="15" customHeight="1" x14ac:dyDescent="0.15"/>
    <row r="618" ht="15" customHeight="1" x14ac:dyDescent="0.15"/>
    <row r="619" ht="15" customHeight="1" x14ac:dyDescent="0.15"/>
    <row r="620" ht="15" customHeight="1" x14ac:dyDescent="0.15"/>
    <row r="621" ht="15" customHeight="1" x14ac:dyDescent="0.15"/>
    <row r="622" ht="15" customHeight="1" x14ac:dyDescent="0.15"/>
    <row r="623" ht="15" customHeight="1" x14ac:dyDescent="0.15"/>
    <row r="624" ht="15" customHeight="1" x14ac:dyDescent="0.15"/>
    <row r="625" ht="15" customHeight="1" x14ac:dyDescent="0.15"/>
    <row r="626" ht="15" customHeight="1" x14ac:dyDescent="0.15"/>
    <row r="627" ht="15" customHeight="1" x14ac:dyDescent="0.15"/>
    <row r="628" ht="15" customHeight="1" x14ac:dyDescent="0.15"/>
    <row r="629" ht="15" customHeight="1" x14ac:dyDescent="0.15"/>
    <row r="630" ht="15" customHeight="1" x14ac:dyDescent="0.15"/>
    <row r="631" ht="15" customHeight="1" x14ac:dyDescent="0.15"/>
    <row r="632" ht="15" customHeight="1" x14ac:dyDescent="0.15"/>
    <row r="633" ht="15" customHeight="1" x14ac:dyDescent="0.15"/>
    <row r="634" ht="15" customHeight="1" x14ac:dyDescent="0.15"/>
    <row r="635" ht="15" customHeight="1" x14ac:dyDescent="0.15"/>
    <row r="636" ht="15" customHeight="1" x14ac:dyDescent="0.15"/>
    <row r="637" ht="15" customHeight="1" x14ac:dyDescent="0.15"/>
    <row r="638" ht="15" customHeight="1" x14ac:dyDescent="0.15"/>
    <row r="639" ht="15" customHeight="1" x14ac:dyDescent="0.15"/>
    <row r="640" ht="15" customHeight="1" x14ac:dyDescent="0.15"/>
    <row r="641" ht="15" customHeight="1" x14ac:dyDescent="0.15"/>
    <row r="642" ht="15" customHeight="1" x14ac:dyDescent="0.15"/>
    <row r="643" ht="15" customHeight="1" x14ac:dyDescent="0.15"/>
    <row r="644" ht="15" customHeight="1" x14ac:dyDescent="0.15"/>
    <row r="645" ht="15" customHeight="1" x14ac:dyDescent="0.15"/>
    <row r="646" ht="15" customHeight="1" x14ac:dyDescent="0.15"/>
    <row r="647" ht="15" customHeight="1" x14ac:dyDescent="0.15"/>
    <row r="648" ht="15" customHeight="1" x14ac:dyDescent="0.15"/>
    <row r="649" ht="15" customHeight="1" x14ac:dyDescent="0.15"/>
    <row r="650" ht="15" customHeight="1" x14ac:dyDescent="0.15"/>
    <row r="651" ht="15" customHeight="1" x14ac:dyDescent="0.15"/>
    <row r="652" ht="15" customHeight="1" x14ac:dyDescent="0.15"/>
    <row r="653" ht="15" customHeight="1" x14ac:dyDescent="0.15"/>
    <row r="654" ht="15" customHeight="1" x14ac:dyDescent="0.15"/>
    <row r="655" ht="15" customHeight="1" x14ac:dyDescent="0.15"/>
    <row r="656" ht="15" customHeight="1" x14ac:dyDescent="0.15"/>
    <row r="657" ht="15" customHeight="1" x14ac:dyDescent="0.15"/>
    <row r="658" ht="15" customHeight="1" x14ac:dyDescent="0.15"/>
    <row r="659" ht="15" customHeight="1" x14ac:dyDescent="0.15"/>
    <row r="660" ht="15" customHeight="1" x14ac:dyDescent="0.15"/>
    <row r="661" ht="15" customHeight="1" x14ac:dyDescent="0.15"/>
    <row r="662" ht="15" customHeight="1" x14ac:dyDescent="0.15"/>
    <row r="663" ht="15" customHeight="1" x14ac:dyDescent="0.15"/>
    <row r="664" ht="15" customHeight="1" x14ac:dyDescent="0.15"/>
    <row r="665" ht="15" customHeight="1" x14ac:dyDescent="0.15"/>
    <row r="666" ht="15" customHeight="1" x14ac:dyDescent="0.15"/>
    <row r="667" ht="15" customHeight="1" x14ac:dyDescent="0.15"/>
    <row r="668" ht="15" customHeight="1" x14ac:dyDescent="0.15"/>
    <row r="669" ht="15" customHeight="1" x14ac:dyDescent="0.15"/>
    <row r="670" ht="15" customHeight="1" x14ac:dyDescent="0.15"/>
    <row r="671" ht="15" customHeight="1" x14ac:dyDescent="0.15"/>
    <row r="672" ht="15" customHeight="1" x14ac:dyDescent="0.15"/>
    <row r="673" ht="15" customHeight="1" x14ac:dyDescent="0.15"/>
    <row r="674" ht="15" customHeight="1" x14ac:dyDescent="0.15"/>
    <row r="675" ht="15" customHeight="1" x14ac:dyDescent="0.15"/>
    <row r="676" ht="15" customHeight="1" x14ac:dyDescent="0.15"/>
    <row r="677" ht="15" customHeight="1" x14ac:dyDescent="0.15"/>
    <row r="678" ht="15" customHeight="1" x14ac:dyDescent="0.15"/>
    <row r="679" ht="15" customHeight="1" x14ac:dyDescent="0.15"/>
    <row r="680" ht="15" customHeight="1" x14ac:dyDescent="0.15"/>
    <row r="681" ht="15" customHeight="1" x14ac:dyDescent="0.15"/>
    <row r="682" ht="15" customHeight="1" x14ac:dyDescent="0.15"/>
    <row r="683" ht="15" customHeight="1" x14ac:dyDescent="0.15"/>
    <row r="684" ht="15" customHeight="1" x14ac:dyDescent="0.15"/>
    <row r="685" ht="15" customHeight="1" x14ac:dyDescent="0.15"/>
    <row r="686" ht="15" customHeight="1" x14ac:dyDescent="0.15"/>
    <row r="687" ht="15" customHeight="1" x14ac:dyDescent="0.15"/>
    <row r="688" ht="15" customHeight="1" x14ac:dyDescent="0.15"/>
    <row r="689" ht="15" customHeight="1" x14ac:dyDescent="0.15"/>
    <row r="690" ht="15" customHeight="1" x14ac:dyDescent="0.15"/>
    <row r="691" ht="15" customHeight="1" x14ac:dyDescent="0.15"/>
    <row r="692" ht="15" customHeight="1" x14ac:dyDescent="0.15"/>
    <row r="693" ht="15" customHeight="1" x14ac:dyDescent="0.15"/>
    <row r="694" ht="15" customHeight="1" x14ac:dyDescent="0.15"/>
    <row r="695" ht="15" customHeight="1" x14ac:dyDescent="0.15"/>
    <row r="696" ht="15" customHeight="1" x14ac:dyDescent="0.15"/>
    <row r="697" ht="15" customHeight="1" x14ac:dyDescent="0.15"/>
    <row r="698" ht="15" customHeight="1" x14ac:dyDescent="0.15"/>
    <row r="699" ht="15" customHeight="1" x14ac:dyDescent="0.15"/>
    <row r="700" ht="15" customHeight="1" x14ac:dyDescent="0.15"/>
    <row r="701" ht="15" customHeight="1" x14ac:dyDescent="0.15"/>
    <row r="702" ht="15" customHeight="1" x14ac:dyDescent="0.15"/>
    <row r="703" ht="15" customHeight="1" x14ac:dyDescent="0.15"/>
    <row r="704" ht="15" customHeight="1" x14ac:dyDescent="0.15"/>
    <row r="705" ht="15" customHeight="1" x14ac:dyDescent="0.15"/>
    <row r="706" ht="15" customHeight="1" x14ac:dyDescent="0.15"/>
    <row r="707" ht="15" customHeight="1" x14ac:dyDescent="0.15"/>
    <row r="708" ht="15" customHeight="1" x14ac:dyDescent="0.15"/>
    <row r="709" ht="15" customHeight="1" x14ac:dyDescent="0.15"/>
    <row r="710" ht="15" customHeight="1" x14ac:dyDescent="0.15"/>
    <row r="711" ht="15" customHeight="1" x14ac:dyDescent="0.15"/>
    <row r="712" ht="15" customHeight="1" x14ac:dyDescent="0.15"/>
    <row r="713" ht="15" customHeight="1" x14ac:dyDescent="0.15"/>
    <row r="714" ht="15" customHeight="1" x14ac:dyDescent="0.15"/>
    <row r="715" ht="15" customHeight="1" x14ac:dyDescent="0.15"/>
    <row r="716" ht="15" customHeight="1" x14ac:dyDescent="0.15"/>
    <row r="717" ht="15" customHeight="1" x14ac:dyDescent="0.15"/>
    <row r="718" ht="15" customHeight="1" x14ac:dyDescent="0.15"/>
    <row r="719" ht="15" customHeight="1" x14ac:dyDescent="0.15"/>
    <row r="720" ht="15" customHeight="1" x14ac:dyDescent="0.15"/>
    <row r="721" ht="15" customHeight="1" x14ac:dyDescent="0.15"/>
    <row r="722" ht="15" customHeight="1" x14ac:dyDescent="0.15"/>
    <row r="723" ht="15" customHeight="1" x14ac:dyDescent="0.15"/>
    <row r="724" ht="15" customHeight="1" x14ac:dyDescent="0.15"/>
    <row r="725" ht="15" customHeight="1" x14ac:dyDescent="0.15"/>
    <row r="726" ht="15" customHeight="1" x14ac:dyDescent="0.15"/>
    <row r="727" ht="15" customHeight="1" x14ac:dyDescent="0.15"/>
    <row r="728" ht="15" customHeight="1" x14ac:dyDescent="0.15"/>
    <row r="729" ht="15" customHeight="1" x14ac:dyDescent="0.15"/>
    <row r="730" ht="15" customHeight="1" x14ac:dyDescent="0.15"/>
    <row r="731" ht="15" customHeight="1" x14ac:dyDescent="0.15"/>
    <row r="732" ht="15" customHeight="1" x14ac:dyDescent="0.15"/>
    <row r="733" ht="15" customHeight="1" x14ac:dyDescent="0.15"/>
    <row r="734" ht="15" customHeight="1" x14ac:dyDescent="0.15"/>
    <row r="735" ht="15" customHeight="1" x14ac:dyDescent="0.15"/>
    <row r="736" ht="15" customHeight="1" x14ac:dyDescent="0.15"/>
    <row r="737" ht="15" customHeight="1" x14ac:dyDescent="0.15"/>
    <row r="738" ht="15" customHeight="1" x14ac:dyDescent="0.15"/>
    <row r="739" ht="15" customHeight="1" x14ac:dyDescent="0.15"/>
    <row r="740" ht="15" customHeight="1" x14ac:dyDescent="0.15"/>
    <row r="741" ht="15" customHeight="1" x14ac:dyDescent="0.15"/>
    <row r="742" ht="15" customHeight="1" x14ac:dyDescent="0.15"/>
    <row r="743" ht="15" customHeight="1" x14ac:dyDescent="0.15"/>
    <row r="744" ht="15" customHeight="1" x14ac:dyDescent="0.15"/>
    <row r="745" ht="15" customHeight="1" x14ac:dyDescent="0.15"/>
    <row r="746" ht="15" customHeight="1" x14ac:dyDescent="0.15"/>
    <row r="747" ht="15" customHeight="1" x14ac:dyDescent="0.15"/>
    <row r="748" ht="15" customHeight="1" x14ac:dyDescent="0.15"/>
    <row r="749" ht="15" customHeight="1" x14ac:dyDescent="0.15"/>
    <row r="750" ht="15" customHeight="1" x14ac:dyDescent="0.15"/>
    <row r="751" ht="15" customHeight="1" x14ac:dyDescent="0.15"/>
    <row r="752" ht="15" customHeight="1" x14ac:dyDescent="0.15"/>
    <row r="753" ht="15" customHeight="1" x14ac:dyDescent="0.15"/>
    <row r="754" ht="15" customHeight="1" x14ac:dyDescent="0.15"/>
    <row r="755" ht="15" customHeight="1" x14ac:dyDescent="0.15"/>
    <row r="756" ht="15" customHeight="1" x14ac:dyDescent="0.15"/>
    <row r="757" ht="15" customHeight="1" x14ac:dyDescent="0.15"/>
    <row r="758" ht="15" customHeight="1" x14ac:dyDescent="0.15"/>
    <row r="759" ht="15" customHeight="1" x14ac:dyDescent="0.15"/>
    <row r="760" ht="15" customHeight="1" x14ac:dyDescent="0.15"/>
    <row r="761" ht="15" customHeight="1" x14ac:dyDescent="0.15"/>
    <row r="762" ht="15" customHeight="1" x14ac:dyDescent="0.15"/>
    <row r="763" ht="15" customHeight="1" x14ac:dyDescent="0.15"/>
    <row r="764" ht="15" customHeight="1" x14ac:dyDescent="0.15"/>
    <row r="765" ht="15" customHeight="1" x14ac:dyDescent="0.15"/>
    <row r="766" ht="15" customHeight="1" x14ac:dyDescent="0.15"/>
    <row r="767" ht="15" customHeight="1" x14ac:dyDescent="0.15"/>
    <row r="768" ht="15" customHeight="1" x14ac:dyDescent="0.15"/>
    <row r="769" ht="15" customHeight="1" x14ac:dyDescent="0.15"/>
    <row r="770" ht="15" customHeight="1" x14ac:dyDescent="0.15"/>
    <row r="771" ht="15" customHeight="1" x14ac:dyDescent="0.15"/>
    <row r="772" ht="15" customHeight="1" x14ac:dyDescent="0.15"/>
    <row r="773" ht="15" customHeight="1" x14ac:dyDescent="0.15"/>
    <row r="774" ht="15" customHeight="1" x14ac:dyDescent="0.15"/>
    <row r="775" ht="15" customHeight="1" x14ac:dyDescent="0.15"/>
    <row r="776" ht="15" customHeight="1" x14ac:dyDescent="0.15"/>
    <row r="777" ht="15" customHeight="1" x14ac:dyDescent="0.15"/>
    <row r="778" ht="15" customHeight="1" x14ac:dyDescent="0.15"/>
    <row r="779" ht="15" customHeight="1" x14ac:dyDescent="0.15"/>
    <row r="780" ht="15" customHeight="1" x14ac:dyDescent="0.15"/>
    <row r="781" ht="15" customHeight="1" x14ac:dyDescent="0.15"/>
    <row r="782" ht="15" customHeight="1" x14ac:dyDescent="0.15"/>
    <row r="783" ht="15" customHeight="1" x14ac:dyDescent="0.15"/>
    <row r="784" ht="15" customHeight="1" x14ac:dyDescent="0.15"/>
    <row r="785" ht="15" customHeight="1" x14ac:dyDescent="0.15"/>
    <row r="786" ht="15" customHeight="1" x14ac:dyDescent="0.15"/>
    <row r="787" ht="15" customHeight="1" x14ac:dyDescent="0.15"/>
    <row r="788" ht="15" customHeight="1" x14ac:dyDescent="0.15"/>
    <row r="789" ht="15" customHeight="1" x14ac:dyDescent="0.15"/>
    <row r="790" ht="15" customHeight="1" x14ac:dyDescent="0.15"/>
    <row r="791" ht="15" customHeight="1" x14ac:dyDescent="0.15"/>
    <row r="792" ht="15" customHeight="1" x14ac:dyDescent="0.15"/>
    <row r="793" ht="15" customHeight="1" x14ac:dyDescent="0.15"/>
    <row r="794" ht="15" customHeight="1" x14ac:dyDescent="0.15"/>
    <row r="795" ht="15" customHeight="1" x14ac:dyDescent="0.15"/>
    <row r="796" ht="15" customHeight="1" x14ac:dyDescent="0.15"/>
    <row r="797" ht="15" customHeight="1" x14ac:dyDescent="0.15"/>
    <row r="798" ht="15" customHeight="1" x14ac:dyDescent="0.15"/>
    <row r="799" ht="15" customHeight="1" x14ac:dyDescent="0.15"/>
    <row r="800" ht="15" customHeight="1" x14ac:dyDescent="0.15"/>
    <row r="801" ht="15" customHeight="1" x14ac:dyDescent="0.15"/>
    <row r="802" ht="15" customHeight="1" x14ac:dyDescent="0.15"/>
    <row r="803" ht="15" customHeight="1" x14ac:dyDescent="0.15"/>
    <row r="804" ht="15" customHeight="1" x14ac:dyDescent="0.15"/>
    <row r="805" ht="15" customHeight="1" x14ac:dyDescent="0.15"/>
    <row r="806" ht="15" customHeight="1" x14ac:dyDescent="0.15"/>
    <row r="807" ht="15" customHeight="1" x14ac:dyDescent="0.15"/>
    <row r="808" ht="15" customHeight="1" x14ac:dyDescent="0.15"/>
    <row r="809" ht="15" customHeight="1" x14ac:dyDescent="0.15"/>
    <row r="810" ht="15" customHeight="1" x14ac:dyDescent="0.15"/>
    <row r="811" ht="15" customHeight="1" x14ac:dyDescent="0.15"/>
    <row r="812" ht="15" customHeight="1" x14ac:dyDescent="0.15"/>
    <row r="813" ht="15" customHeight="1" x14ac:dyDescent="0.15"/>
    <row r="814" ht="15" customHeight="1" x14ac:dyDescent="0.15"/>
    <row r="815" ht="15" customHeight="1" x14ac:dyDescent="0.15"/>
    <row r="816" ht="15" customHeight="1" x14ac:dyDescent="0.15"/>
    <row r="817" ht="15" customHeight="1" x14ac:dyDescent="0.15"/>
    <row r="818" ht="15" customHeight="1" x14ac:dyDescent="0.15"/>
    <row r="819" ht="15" customHeight="1" x14ac:dyDescent="0.15"/>
    <row r="820" ht="15" customHeight="1" x14ac:dyDescent="0.15"/>
    <row r="821" ht="15" customHeight="1" x14ac:dyDescent="0.15"/>
    <row r="822" ht="15" customHeight="1" x14ac:dyDescent="0.15"/>
    <row r="823" ht="15" customHeight="1" x14ac:dyDescent="0.15"/>
    <row r="824" ht="15" customHeight="1" x14ac:dyDescent="0.15"/>
    <row r="825" ht="15" customHeight="1" x14ac:dyDescent="0.15"/>
    <row r="826" ht="15" customHeight="1" x14ac:dyDescent="0.15"/>
    <row r="827" ht="15" customHeight="1" x14ac:dyDescent="0.15"/>
    <row r="828" ht="15" customHeight="1" x14ac:dyDescent="0.15"/>
    <row r="829" ht="15" customHeight="1" x14ac:dyDescent="0.15"/>
    <row r="830" ht="15" customHeight="1" x14ac:dyDescent="0.15"/>
    <row r="831" ht="15" customHeight="1" x14ac:dyDescent="0.15"/>
    <row r="832" ht="15" customHeight="1" x14ac:dyDescent="0.15"/>
    <row r="833" ht="15" customHeight="1" x14ac:dyDescent="0.15"/>
    <row r="834" ht="15" customHeight="1" x14ac:dyDescent="0.15"/>
    <row r="835" ht="15" customHeight="1" x14ac:dyDescent="0.15"/>
    <row r="836" ht="15" customHeight="1" x14ac:dyDescent="0.15"/>
    <row r="837" ht="15" customHeight="1" x14ac:dyDescent="0.15"/>
    <row r="838" ht="15" customHeight="1" x14ac:dyDescent="0.15"/>
    <row r="839" ht="15" customHeight="1" x14ac:dyDescent="0.15"/>
    <row r="840" ht="15" customHeight="1" x14ac:dyDescent="0.15"/>
    <row r="841" ht="15" customHeight="1" x14ac:dyDescent="0.15"/>
    <row r="842" ht="15" customHeight="1" x14ac:dyDescent="0.15"/>
    <row r="843" ht="15" customHeight="1" x14ac:dyDescent="0.15"/>
    <row r="844" ht="15" customHeight="1" x14ac:dyDescent="0.15"/>
    <row r="845" ht="15" customHeight="1" x14ac:dyDescent="0.15"/>
    <row r="846" ht="15" customHeight="1" x14ac:dyDescent="0.15"/>
    <row r="847" ht="15" customHeight="1" x14ac:dyDescent="0.15"/>
    <row r="848" ht="15" customHeight="1" x14ac:dyDescent="0.15"/>
    <row r="849" ht="15" customHeight="1" x14ac:dyDescent="0.15"/>
    <row r="850" ht="15" customHeight="1" x14ac:dyDescent="0.15"/>
    <row r="851" ht="15" customHeight="1" x14ac:dyDescent="0.15"/>
    <row r="852" ht="15" customHeight="1" x14ac:dyDescent="0.15"/>
    <row r="853" ht="15" customHeight="1" x14ac:dyDescent="0.15"/>
    <row r="854" ht="15" customHeight="1" x14ac:dyDescent="0.15"/>
    <row r="855" ht="15" customHeight="1" x14ac:dyDescent="0.15"/>
    <row r="856" ht="15" customHeight="1" x14ac:dyDescent="0.15"/>
    <row r="857" ht="15" customHeight="1" x14ac:dyDescent="0.15"/>
    <row r="858" ht="15" customHeight="1" x14ac:dyDescent="0.15"/>
    <row r="859" ht="15" customHeight="1" x14ac:dyDescent="0.15"/>
    <row r="860" ht="15" customHeight="1" x14ac:dyDescent="0.15"/>
    <row r="861" ht="15" customHeight="1" x14ac:dyDescent="0.15"/>
    <row r="862" ht="15" customHeight="1" x14ac:dyDescent="0.15"/>
    <row r="863" ht="15" customHeight="1" x14ac:dyDescent="0.15"/>
    <row r="864" ht="15" customHeight="1" x14ac:dyDescent="0.15"/>
    <row r="865" ht="15" customHeight="1" x14ac:dyDescent="0.15"/>
    <row r="866" ht="15" customHeight="1" x14ac:dyDescent="0.15"/>
    <row r="867" ht="15" customHeight="1" x14ac:dyDescent="0.15"/>
    <row r="868" ht="15" customHeight="1" x14ac:dyDescent="0.15"/>
    <row r="869" ht="15" customHeight="1" x14ac:dyDescent="0.15"/>
    <row r="870" ht="15" customHeight="1" x14ac:dyDescent="0.15"/>
    <row r="871" ht="15" customHeight="1" x14ac:dyDescent="0.15"/>
    <row r="872" ht="15" customHeight="1" x14ac:dyDescent="0.15"/>
    <row r="873" ht="15" customHeight="1" x14ac:dyDescent="0.15"/>
    <row r="874" ht="15" customHeight="1" x14ac:dyDescent="0.15"/>
    <row r="875" ht="15" customHeight="1" x14ac:dyDescent="0.15"/>
    <row r="876" ht="15" customHeight="1" x14ac:dyDescent="0.15"/>
    <row r="877" ht="15" customHeight="1" x14ac:dyDescent="0.15"/>
    <row r="878" ht="15" customHeight="1" x14ac:dyDescent="0.15"/>
    <row r="879" ht="15" customHeight="1" x14ac:dyDescent="0.15"/>
    <row r="880" ht="15" customHeight="1" x14ac:dyDescent="0.15"/>
    <row r="881" ht="15" customHeight="1" x14ac:dyDescent="0.15"/>
    <row r="882" ht="15" customHeight="1" x14ac:dyDescent="0.15"/>
    <row r="883" ht="15" customHeight="1" x14ac:dyDescent="0.15"/>
    <row r="884" ht="15" customHeight="1" x14ac:dyDescent="0.15"/>
    <row r="885" ht="15" customHeight="1" x14ac:dyDescent="0.15"/>
    <row r="886" ht="15" customHeight="1" x14ac:dyDescent="0.15"/>
    <row r="887" ht="15" customHeight="1" x14ac:dyDescent="0.15"/>
    <row r="888" ht="15" customHeight="1" x14ac:dyDescent="0.15"/>
    <row r="889" ht="15" customHeight="1" x14ac:dyDescent="0.15"/>
    <row r="890" ht="15" customHeight="1" x14ac:dyDescent="0.15"/>
    <row r="891" ht="15" customHeight="1" x14ac:dyDescent="0.15"/>
    <row r="892" ht="15" customHeight="1" x14ac:dyDescent="0.15"/>
    <row r="893" ht="15" customHeight="1" x14ac:dyDescent="0.15"/>
    <row r="894" ht="15" customHeight="1" x14ac:dyDescent="0.15"/>
    <row r="895" ht="15" customHeight="1" x14ac:dyDescent="0.15"/>
    <row r="896" ht="15" customHeight="1" x14ac:dyDescent="0.15"/>
    <row r="897" ht="15" customHeight="1" x14ac:dyDescent="0.15"/>
    <row r="898" ht="15" customHeight="1" x14ac:dyDescent="0.15"/>
    <row r="899" ht="15" customHeight="1" x14ac:dyDescent="0.15"/>
    <row r="900" ht="15" customHeight="1" x14ac:dyDescent="0.15"/>
    <row r="901" ht="15" customHeight="1" x14ac:dyDescent="0.15"/>
    <row r="902" ht="15" customHeight="1" x14ac:dyDescent="0.15"/>
    <row r="903" ht="15" customHeight="1" x14ac:dyDescent="0.15"/>
    <row r="904" ht="15" customHeight="1" x14ac:dyDescent="0.15"/>
    <row r="905" ht="15" customHeight="1" x14ac:dyDescent="0.15"/>
    <row r="906" ht="15" customHeight="1" x14ac:dyDescent="0.15"/>
    <row r="907" ht="15" customHeight="1" x14ac:dyDescent="0.15"/>
    <row r="908" ht="15" customHeight="1" x14ac:dyDescent="0.15"/>
    <row r="909" ht="15" customHeight="1" x14ac:dyDescent="0.15"/>
    <row r="910" ht="15" customHeight="1" x14ac:dyDescent="0.15"/>
    <row r="911" ht="15" customHeight="1" x14ac:dyDescent="0.15"/>
    <row r="912" ht="15" customHeight="1" x14ac:dyDescent="0.15"/>
    <row r="913" ht="15" customHeight="1" x14ac:dyDescent="0.15"/>
    <row r="914" ht="15" customHeight="1" x14ac:dyDescent="0.15"/>
    <row r="915" ht="15" customHeight="1" x14ac:dyDescent="0.15"/>
    <row r="916" ht="15" customHeight="1" x14ac:dyDescent="0.15"/>
    <row r="917" ht="15" customHeight="1" x14ac:dyDescent="0.15"/>
    <row r="918" ht="15" customHeight="1" x14ac:dyDescent="0.15"/>
    <row r="919" ht="15" customHeight="1" x14ac:dyDescent="0.15"/>
    <row r="920" ht="15" customHeight="1" x14ac:dyDescent="0.15"/>
    <row r="921" ht="15" customHeight="1" x14ac:dyDescent="0.15"/>
    <row r="922" ht="15" customHeight="1" x14ac:dyDescent="0.15"/>
    <row r="923" ht="15" customHeight="1" x14ac:dyDescent="0.15"/>
    <row r="924" ht="15" customHeight="1" x14ac:dyDescent="0.15"/>
    <row r="925" ht="15" customHeight="1" x14ac:dyDescent="0.15"/>
    <row r="926" ht="15" customHeight="1" x14ac:dyDescent="0.15"/>
    <row r="927" ht="15" customHeight="1" x14ac:dyDescent="0.15"/>
    <row r="928" ht="15" customHeight="1" x14ac:dyDescent="0.15"/>
    <row r="929" ht="15" customHeight="1" x14ac:dyDescent="0.15"/>
    <row r="930" ht="15" customHeight="1" x14ac:dyDescent="0.15"/>
    <row r="931" ht="15" customHeight="1" x14ac:dyDescent="0.15"/>
    <row r="932" ht="15" customHeight="1" x14ac:dyDescent="0.15"/>
    <row r="933" ht="15" customHeight="1" x14ac:dyDescent="0.15"/>
    <row r="934" ht="15" customHeight="1" x14ac:dyDescent="0.15"/>
    <row r="935" ht="15" customHeight="1" x14ac:dyDescent="0.15"/>
    <row r="936" ht="15" customHeight="1" x14ac:dyDescent="0.15"/>
    <row r="937" ht="15" customHeight="1" x14ac:dyDescent="0.15"/>
    <row r="938" ht="15" customHeight="1" x14ac:dyDescent="0.15"/>
    <row r="939" ht="15" customHeight="1" x14ac:dyDescent="0.15"/>
    <row r="940" ht="15" customHeight="1" x14ac:dyDescent="0.15"/>
    <row r="941" ht="15" customHeight="1" x14ac:dyDescent="0.15"/>
    <row r="942" ht="15" customHeight="1" x14ac:dyDescent="0.15"/>
    <row r="943" ht="15" customHeight="1" x14ac:dyDescent="0.15"/>
    <row r="944" ht="15" customHeight="1" x14ac:dyDescent="0.15"/>
    <row r="945" ht="15" customHeight="1" x14ac:dyDescent="0.15"/>
    <row r="946" ht="15" customHeight="1" x14ac:dyDescent="0.15"/>
    <row r="947" ht="15" customHeight="1" x14ac:dyDescent="0.15"/>
    <row r="948" ht="15" customHeight="1" x14ac:dyDescent="0.15"/>
    <row r="949" ht="15" customHeight="1" x14ac:dyDescent="0.15"/>
    <row r="950" ht="15" customHeight="1" x14ac:dyDescent="0.15"/>
    <row r="951" ht="15" customHeight="1" x14ac:dyDescent="0.15"/>
    <row r="952" ht="15" customHeight="1" x14ac:dyDescent="0.15"/>
    <row r="953" ht="15" customHeight="1" x14ac:dyDescent="0.15"/>
    <row r="954" ht="15" customHeight="1" x14ac:dyDescent="0.15"/>
    <row r="955" ht="15" customHeight="1" x14ac:dyDescent="0.15"/>
    <row r="956" ht="15" customHeight="1" x14ac:dyDescent="0.15"/>
    <row r="957" ht="15" customHeight="1" x14ac:dyDescent="0.15"/>
    <row r="958" ht="15" customHeight="1" x14ac:dyDescent="0.15"/>
    <row r="959" ht="15" customHeight="1" x14ac:dyDescent="0.15"/>
    <row r="960" ht="15" customHeight="1" x14ac:dyDescent="0.15"/>
    <row r="961" ht="15" customHeight="1" x14ac:dyDescent="0.15"/>
    <row r="962" ht="15" customHeight="1" x14ac:dyDescent="0.15"/>
    <row r="963" ht="15" customHeight="1" x14ac:dyDescent="0.15"/>
    <row r="964" ht="15" customHeight="1" x14ac:dyDescent="0.15"/>
    <row r="965" ht="15" customHeight="1" x14ac:dyDescent="0.15"/>
    <row r="966" ht="15" customHeight="1" x14ac:dyDescent="0.15"/>
    <row r="967" ht="15" customHeight="1" x14ac:dyDescent="0.15"/>
    <row r="968" ht="15" customHeight="1" x14ac:dyDescent="0.15"/>
    <row r="969" ht="15" customHeight="1" x14ac:dyDescent="0.15"/>
    <row r="970" ht="15" customHeight="1" x14ac:dyDescent="0.15"/>
    <row r="971" ht="15" customHeight="1" x14ac:dyDescent="0.15"/>
    <row r="972" ht="15" customHeight="1" x14ac:dyDescent="0.15"/>
    <row r="973" ht="15" customHeight="1" x14ac:dyDescent="0.15"/>
    <row r="974" ht="15" customHeight="1" x14ac:dyDescent="0.15"/>
    <row r="975" ht="15" customHeight="1" x14ac:dyDescent="0.15"/>
    <row r="976" ht="15" customHeight="1" x14ac:dyDescent="0.15"/>
    <row r="977" ht="15" customHeight="1" x14ac:dyDescent="0.15"/>
    <row r="978" ht="15" customHeight="1" x14ac:dyDescent="0.15"/>
    <row r="979" ht="15" customHeight="1" x14ac:dyDescent="0.15"/>
    <row r="980" ht="15" customHeight="1" x14ac:dyDescent="0.15"/>
    <row r="981" ht="15" customHeight="1" x14ac:dyDescent="0.15"/>
    <row r="982" ht="15" customHeight="1" x14ac:dyDescent="0.15"/>
    <row r="983" ht="15" customHeight="1" x14ac:dyDescent="0.15"/>
    <row r="984" ht="15" customHeight="1" x14ac:dyDescent="0.15"/>
    <row r="985" ht="15" customHeight="1" x14ac:dyDescent="0.15"/>
    <row r="986" ht="15" customHeight="1" x14ac:dyDescent="0.15"/>
    <row r="987" ht="15" customHeight="1" x14ac:dyDescent="0.15"/>
    <row r="988" ht="15" customHeight="1" x14ac:dyDescent="0.15"/>
    <row r="989" ht="15" customHeight="1" x14ac:dyDescent="0.15"/>
    <row r="990" ht="15" customHeight="1" x14ac:dyDescent="0.15"/>
    <row r="991" ht="15" customHeight="1" x14ac:dyDescent="0.15"/>
    <row r="992" ht="15" customHeight="1" x14ac:dyDescent="0.15"/>
    <row r="993" ht="15" customHeight="1" x14ac:dyDescent="0.15"/>
    <row r="994" ht="15" customHeight="1" x14ac:dyDescent="0.15"/>
    <row r="995" ht="15" customHeight="1" x14ac:dyDescent="0.15"/>
    <row r="996" ht="15" customHeight="1" x14ac:dyDescent="0.15"/>
    <row r="997" ht="15" customHeight="1" x14ac:dyDescent="0.15"/>
    <row r="998" ht="15" customHeight="1" x14ac:dyDescent="0.15"/>
    <row r="999" ht="15" customHeight="1" x14ac:dyDescent="0.15"/>
    <row r="1000" ht="15" customHeight="1" x14ac:dyDescent="0.15"/>
    <row r="1001" ht="15" customHeight="1" x14ac:dyDescent="0.15"/>
    <row r="1002" ht="15" customHeight="1" x14ac:dyDescent="0.15"/>
    <row r="1003" ht="15" customHeight="1" x14ac:dyDescent="0.15"/>
    <row r="1004" ht="15" customHeight="1" x14ac:dyDescent="0.15"/>
    <row r="1005" ht="15" customHeight="1" x14ac:dyDescent="0.15"/>
    <row r="1006" ht="15" customHeight="1" x14ac:dyDescent="0.15"/>
    <row r="1007" ht="15" customHeight="1" x14ac:dyDescent="0.15"/>
    <row r="1008" ht="15" customHeight="1" x14ac:dyDescent="0.15"/>
    <row r="1009" ht="15" customHeight="1" x14ac:dyDescent="0.15"/>
    <row r="1010" ht="15" customHeight="1" x14ac:dyDescent="0.15"/>
    <row r="1011" ht="15" customHeight="1" x14ac:dyDescent="0.15"/>
    <row r="1012" ht="15" customHeight="1" x14ac:dyDescent="0.15"/>
    <row r="1013" ht="15" customHeight="1" x14ac:dyDescent="0.15"/>
    <row r="1014" ht="15" customHeight="1" x14ac:dyDescent="0.15"/>
    <row r="1015" ht="15" customHeight="1" x14ac:dyDescent="0.15"/>
    <row r="1016" ht="15" customHeight="1" x14ac:dyDescent="0.15"/>
    <row r="1017" ht="15" customHeight="1" x14ac:dyDescent="0.15"/>
    <row r="1018" ht="15" customHeight="1" x14ac:dyDescent="0.15"/>
    <row r="1019" ht="15" customHeight="1" x14ac:dyDescent="0.15"/>
    <row r="1020" ht="15" customHeight="1" x14ac:dyDescent="0.15"/>
    <row r="1021" ht="15" customHeight="1" x14ac:dyDescent="0.15"/>
    <row r="1022" ht="15" customHeight="1" x14ac:dyDescent="0.15"/>
    <row r="1023" ht="15" customHeight="1" x14ac:dyDescent="0.15"/>
    <row r="1024" ht="15" customHeight="1" x14ac:dyDescent="0.15"/>
    <row r="1025" ht="15" customHeight="1" x14ac:dyDescent="0.15"/>
    <row r="1026" ht="15" customHeight="1" x14ac:dyDescent="0.15"/>
    <row r="1027" ht="15" customHeight="1" x14ac:dyDescent="0.15"/>
    <row r="1028" ht="15" customHeight="1" x14ac:dyDescent="0.15"/>
    <row r="1029" ht="15" customHeight="1" x14ac:dyDescent="0.15"/>
    <row r="1030" ht="15" customHeight="1" x14ac:dyDescent="0.15"/>
    <row r="1031" ht="15" customHeight="1" x14ac:dyDescent="0.15"/>
    <row r="1032" ht="15" customHeight="1" x14ac:dyDescent="0.15"/>
    <row r="1033" ht="15" customHeight="1" x14ac:dyDescent="0.15"/>
    <row r="1034" ht="15" customHeight="1" x14ac:dyDescent="0.15"/>
    <row r="1035" ht="15" customHeight="1" x14ac:dyDescent="0.15"/>
    <row r="1036" ht="15" customHeight="1" x14ac:dyDescent="0.15"/>
    <row r="1037" ht="15" customHeight="1" x14ac:dyDescent="0.15"/>
    <row r="1038" ht="15" customHeight="1" x14ac:dyDescent="0.15"/>
    <row r="1039" ht="15" customHeight="1" x14ac:dyDescent="0.15"/>
    <row r="1040" ht="15" customHeight="1" x14ac:dyDescent="0.15"/>
    <row r="1041" ht="15" customHeight="1" x14ac:dyDescent="0.15"/>
    <row r="1042" ht="15" customHeight="1" x14ac:dyDescent="0.15"/>
    <row r="1043" ht="15" customHeight="1" x14ac:dyDescent="0.15"/>
    <row r="1044" ht="15" customHeight="1" x14ac:dyDescent="0.15"/>
    <row r="1045" ht="15" customHeight="1" x14ac:dyDescent="0.15"/>
    <row r="1046" ht="15" customHeight="1" x14ac:dyDescent="0.15"/>
    <row r="1047" ht="15" customHeight="1" x14ac:dyDescent="0.15"/>
    <row r="1048" ht="15" customHeight="1" x14ac:dyDescent="0.15"/>
    <row r="1049" ht="15" customHeight="1" x14ac:dyDescent="0.15"/>
    <row r="1050" ht="15" customHeight="1" x14ac:dyDescent="0.15"/>
    <row r="1051" ht="15" customHeight="1" x14ac:dyDescent="0.15"/>
    <row r="1052" ht="15" customHeight="1" x14ac:dyDescent="0.15"/>
    <row r="1053" ht="15" customHeight="1" x14ac:dyDescent="0.15"/>
    <row r="1054" ht="15" customHeight="1" x14ac:dyDescent="0.15"/>
    <row r="1055" ht="15" customHeight="1" x14ac:dyDescent="0.15"/>
    <row r="1056" ht="15" customHeight="1" x14ac:dyDescent="0.15"/>
    <row r="1057" ht="15" customHeight="1" x14ac:dyDescent="0.15"/>
    <row r="1058" ht="15" customHeight="1" x14ac:dyDescent="0.15"/>
    <row r="1059" ht="15" customHeight="1" x14ac:dyDescent="0.15"/>
    <row r="1060" ht="15" customHeight="1" x14ac:dyDescent="0.15"/>
    <row r="1061" ht="15" customHeight="1" x14ac:dyDescent="0.15"/>
    <row r="1062" ht="15" customHeight="1" x14ac:dyDescent="0.15"/>
    <row r="1063" ht="15" customHeight="1" x14ac:dyDescent="0.15"/>
    <row r="1064" ht="15" customHeight="1" x14ac:dyDescent="0.15"/>
    <row r="1065" ht="15" customHeight="1" x14ac:dyDescent="0.15"/>
    <row r="1066" ht="15" customHeight="1" x14ac:dyDescent="0.15"/>
    <row r="1067" ht="15" customHeight="1" x14ac:dyDescent="0.15"/>
    <row r="1068" ht="15" customHeight="1" x14ac:dyDescent="0.15"/>
    <row r="1069" ht="15" customHeight="1" x14ac:dyDescent="0.15"/>
    <row r="1070" ht="15" customHeight="1" x14ac:dyDescent="0.15"/>
    <row r="1071" ht="15" customHeight="1" x14ac:dyDescent="0.15"/>
    <row r="1072" ht="15" customHeight="1" x14ac:dyDescent="0.15"/>
    <row r="1073" ht="15" customHeight="1" x14ac:dyDescent="0.15"/>
    <row r="1074" ht="15" customHeight="1" x14ac:dyDescent="0.15"/>
    <row r="1075" ht="15" customHeight="1" x14ac:dyDescent="0.15"/>
    <row r="1076" ht="15" customHeight="1" x14ac:dyDescent="0.15"/>
    <row r="1077" ht="15" customHeight="1" x14ac:dyDescent="0.15"/>
    <row r="1078" ht="15" customHeight="1" x14ac:dyDescent="0.15"/>
    <row r="1079" ht="15" customHeight="1" x14ac:dyDescent="0.15"/>
    <row r="1080" ht="15" customHeight="1" x14ac:dyDescent="0.15"/>
    <row r="1081" ht="15" customHeight="1" x14ac:dyDescent="0.15"/>
    <row r="1082" ht="15" customHeight="1" x14ac:dyDescent="0.15"/>
    <row r="1083" ht="15" customHeight="1" x14ac:dyDescent="0.15"/>
    <row r="1084" ht="15" customHeight="1" x14ac:dyDescent="0.15"/>
    <row r="1085" ht="15" customHeight="1" x14ac:dyDescent="0.15"/>
    <row r="1086" ht="15" customHeight="1" x14ac:dyDescent="0.15"/>
    <row r="1087" ht="15" customHeight="1" x14ac:dyDescent="0.15"/>
    <row r="1088" ht="15" customHeight="1" x14ac:dyDescent="0.15"/>
    <row r="1089" ht="15" customHeight="1" x14ac:dyDescent="0.15"/>
    <row r="1090" ht="15" customHeight="1" x14ac:dyDescent="0.15"/>
    <row r="1091" ht="15" customHeight="1" x14ac:dyDescent="0.15"/>
    <row r="1092" ht="15" customHeight="1" x14ac:dyDescent="0.15"/>
    <row r="1093" ht="15" customHeight="1" x14ac:dyDescent="0.15"/>
    <row r="1094" ht="15" customHeight="1" x14ac:dyDescent="0.15"/>
    <row r="1095" ht="15" customHeight="1" x14ac:dyDescent="0.15"/>
    <row r="1096" ht="15" customHeight="1" x14ac:dyDescent="0.15"/>
    <row r="1097" ht="15" customHeight="1" x14ac:dyDescent="0.15"/>
    <row r="1098" ht="15" customHeight="1" x14ac:dyDescent="0.15"/>
    <row r="1099" ht="15" customHeight="1" x14ac:dyDescent="0.15"/>
    <row r="1100" ht="15" customHeight="1" x14ac:dyDescent="0.15"/>
    <row r="1101" ht="15" customHeight="1" x14ac:dyDescent="0.15"/>
    <row r="1102" ht="15" customHeight="1" x14ac:dyDescent="0.15"/>
    <row r="1103" ht="15" customHeight="1" x14ac:dyDescent="0.15"/>
    <row r="1104" ht="15" customHeight="1" x14ac:dyDescent="0.15"/>
    <row r="1105" ht="15" customHeight="1" x14ac:dyDescent="0.15"/>
    <row r="1106" ht="15" customHeight="1" x14ac:dyDescent="0.15"/>
    <row r="1107" ht="15" customHeight="1" x14ac:dyDescent="0.15"/>
    <row r="1108" ht="15" customHeight="1" x14ac:dyDescent="0.15"/>
    <row r="1109" ht="15" customHeight="1" x14ac:dyDescent="0.15"/>
    <row r="1110" ht="15" customHeight="1" x14ac:dyDescent="0.15"/>
    <row r="1111" ht="15" customHeight="1" x14ac:dyDescent="0.15"/>
    <row r="1112" ht="15" customHeight="1" x14ac:dyDescent="0.15"/>
    <row r="1113" ht="15" customHeight="1" x14ac:dyDescent="0.15"/>
    <row r="1114" ht="15" customHeight="1" x14ac:dyDescent="0.15"/>
    <row r="1115" ht="15" customHeight="1" x14ac:dyDescent="0.15"/>
    <row r="1116" ht="15" customHeight="1" x14ac:dyDescent="0.15"/>
    <row r="1117" ht="15" customHeight="1" x14ac:dyDescent="0.15"/>
    <row r="1118" ht="15" customHeight="1" x14ac:dyDescent="0.15"/>
    <row r="1119" ht="15" customHeight="1" x14ac:dyDescent="0.15"/>
    <row r="1120" ht="15" customHeight="1" x14ac:dyDescent="0.15"/>
    <row r="1121" ht="15" customHeight="1" x14ac:dyDescent="0.15"/>
    <row r="1122" ht="15" customHeight="1" x14ac:dyDescent="0.15"/>
    <row r="1123" ht="15" customHeight="1" x14ac:dyDescent="0.15"/>
    <row r="1124" ht="15" customHeight="1" x14ac:dyDescent="0.15"/>
    <row r="1125" ht="15" customHeight="1" x14ac:dyDescent="0.15"/>
    <row r="1126" ht="15" customHeight="1" x14ac:dyDescent="0.15"/>
    <row r="1127" ht="15" customHeight="1" x14ac:dyDescent="0.15"/>
    <row r="1128" ht="15" customHeight="1" x14ac:dyDescent="0.15"/>
    <row r="1129" ht="15" customHeight="1" x14ac:dyDescent="0.15"/>
    <row r="1130" ht="15" customHeight="1" x14ac:dyDescent="0.15"/>
    <row r="1131" ht="15" customHeight="1" x14ac:dyDescent="0.15"/>
    <row r="1132" ht="15" customHeight="1" x14ac:dyDescent="0.15"/>
    <row r="1133" ht="15" customHeight="1" x14ac:dyDescent="0.15"/>
    <row r="1134" ht="15" customHeight="1" x14ac:dyDescent="0.15"/>
    <row r="1135" ht="15" customHeight="1" x14ac:dyDescent="0.15"/>
    <row r="1136" ht="15" customHeight="1" x14ac:dyDescent="0.15"/>
    <row r="1137" ht="15" customHeight="1" x14ac:dyDescent="0.15"/>
    <row r="1138" ht="15" customHeight="1" x14ac:dyDescent="0.15"/>
    <row r="1139" ht="15" customHeight="1" x14ac:dyDescent="0.15"/>
    <row r="1140" ht="15" customHeight="1" x14ac:dyDescent="0.15"/>
    <row r="1141" ht="15" customHeight="1" x14ac:dyDescent="0.15"/>
    <row r="1142" ht="15" customHeight="1" x14ac:dyDescent="0.15"/>
    <row r="1143" ht="15" customHeight="1" x14ac:dyDescent="0.15"/>
    <row r="1144" ht="15" customHeight="1" x14ac:dyDescent="0.15"/>
    <row r="1145" ht="15" customHeight="1" x14ac:dyDescent="0.15"/>
    <row r="1146" ht="15" customHeight="1" x14ac:dyDescent="0.15"/>
    <row r="1147" ht="15" customHeight="1" x14ac:dyDescent="0.15"/>
    <row r="1148" ht="15" customHeight="1" x14ac:dyDescent="0.15"/>
    <row r="1149" ht="15" customHeight="1" x14ac:dyDescent="0.15"/>
    <row r="1150" ht="15" customHeight="1" x14ac:dyDescent="0.15"/>
    <row r="1151" ht="15" customHeight="1" x14ac:dyDescent="0.15"/>
    <row r="1152" ht="15" customHeight="1" x14ac:dyDescent="0.15"/>
    <row r="1153" ht="15" customHeight="1" x14ac:dyDescent="0.15"/>
    <row r="1154" ht="15" customHeight="1" x14ac:dyDescent="0.15"/>
    <row r="1155" ht="15" customHeight="1" x14ac:dyDescent="0.15"/>
    <row r="1156" ht="15" customHeight="1" x14ac:dyDescent="0.15"/>
    <row r="1157" ht="15" customHeight="1" x14ac:dyDescent="0.15"/>
    <row r="1158" ht="15" customHeight="1" x14ac:dyDescent="0.15"/>
    <row r="1159" ht="15" customHeight="1" x14ac:dyDescent="0.15"/>
    <row r="1160" ht="15" customHeight="1" x14ac:dyDescent="0.15"/>
    <row r="1161" ht="15" customHeight="1" x14ac:dyDescent="0.15"/>
    <row r="1162" ht="15" customHeight="1" x14ac:dyDescent="0.15"/>
    <row r="1163" ht="15" customHeight="1" x14ac:dyDescent="0.15"/>
    <row r="1164" ht="15" customHeight="1" x14ac:dyDescent="0.15"/>
    <row r="1165" ht="15" customHeight="1" x14ac:dyDescent="0.15"/>
    <row r="1166" ht="15" customHeight="1" x14ac:dyDescent="0.15"/>
    <row r="1167" ht="15" customHeight="1" x14ac:dyDescent="0.15"/>
    <row r="1168" ht="15" customHeight="1" x14ac:dyDescent="0.15"/>
    <row r="1169" ht="15" customHeight="1" x14ac:dyDescent="0.15"/>
    <row r="1170" ht="15" customHeight="1" x14ac:dyDescent="0.15"/>
    <row r="1171" ht="15" customHeight="1" x14ac:dyDescent="0.15"/>
    <row r="1172" ht="15" customHeight="1" x14ac:dyDescent="0.15"/>
    <row r="1173" ht="15" customHeight="1" x14ac:dyDescent="0.15"/>
    <row r="1174" ht="15" customHeight="1" x14ac:dyDescent="0.15"/>
    <row r="1175" ht="15" customHeight="1" x14ac:dyDescent="0.15"/>
    <row r="1176" ht="15" customHeight="1" x14ac:dyDescent="0.15"/>
    <row r="1177" ht="15" customHeight="1" x14ac:dyDescent="0.15"/>
    <row r="1178" ht="15" customHeight="1" x14ac:dyDescent="0.15"/>
    <row r="1179" ht="15" customHeight="1" x14ac:dyDescent="0.15"/>
    <row r="1180" ht="15" customHeight="1" x14ac:dyDescent="0.15"/>
    <row r="1181" ht="15" customHeight="1" x14ac:dyDescent="0.15"/>
    <row r="1182" ht="15" customHeight="1" x14ac:dyDescent="0.15"/>
    <row r="1183" ht="15" customHeight="1" x14ac:dyDescent="0.15"/>
    <row r="1184" ht="15" customHeight="1" x14ac:dyDescent="0.15"/>
    <row r="1185" ht="15" customHeight="1" x14ac:dyDescent="0.15"/>
    <row r="1186" ht="15" customHeight="1" x14ac:dyDescent="0.15"/>
    <row r="1187" ht="15" customHeight="1" x14ac:dyDescent="0.15"/>
    <row r="1188" ht="15" customHeight="1" x14ac:dyDescent="0.15"/>
    <row r="1189" ht="15" customHeight="1" x14ac:dyDescent="0.15"/>
    <row r="1190" ht="15" customHeight="1" x14ac:dyDescent="0.15"/>
    <row r="1191" ht="15" customHeight="1" x14ac:dyDescent="0.15"/>
    <row r="1192" ht="15" customHeight="1" x14ac:dyDescent="0.15"/>
    <row r="1193" ht="15" customHeight="1" x14ac:dyDescent="0.15"/>
    <row r="1194" ht="15" customHeight="1" x14ac:dyDescent="0.15"/>
    <row r="1195" ht="15" customHeight="1" x14ac:dyDescent="0.15"/>
    <row r="1196" ht="15" customHeight="1" x14ac:dyDescent="0.15"/>
    <row r="1197" ht="15" customHeight="1" x14ac:dyDescent="0.15"/>
    <row r="1198" ht="15" customHeight="1" x14ac:dyDescent="0.15"/>
    <row r="1199" ht="15" customHeight="1" x14ac:dyDescent="0.15"/>
    <row r="1200" ht="15" customHeight="1" x14ac:dyDescent="0.15"/>
    <row r="1201" ht="15" customHeight="1" x14ac:dyDescent="0.15"/>
    <row r="1202" ht="15" customHeight="1" x14ac:dyDescent="0.15"/>
    <row r="1203" ht="15" customHeight="1" x14ac:dyDescent="0.15"/>
    <row r="1204" ht="15" customHeight="1" x14ac:dyDescent="0.15"/>
    <row r="1205" ht="15" customHeight="1" x14ac:dyDescent="0.15"/>
    <row r="1206" ht="15" customHeight="1" x14ac:dyDescent="0.15"/>
    <row r="1207" ht="15" customHeight="1" x14ac:dyDescent="0.15"/>
    <row r="1208" ht="15" customHeight="1" x14ac:dyDescent="0.15"/>
    <row r="1209" ht="15" customHeight="1" x14ac:dyDescent="0.15"/>
    <row r="1210" ht="15" customHeight="1" x14ac:dyDescent="0.15"/>
    <row r="1211" ht="15" customHeight="1" x14ac:dyDescent="0.15"/>
    <row r="1212" ht="15" customHeight="1" x14ac:dyDescent="0.15"/>
    <row r="1213" ht="15" customHeight="1" x14ac:dyDescent="0.15"/>
    <row r="1214" ht="15" customHeight="1" x14ac:dyDescent="0.15"/>
    <row r="1215" ht="15" customHeight="1" x14ac:dyDescent="0.15"/>
    <row r="1216" ht="15" customHeight="1" x14ac:dyDescent="0.15"/>
    <row r="1217" ht="15" customHeight="1" x14ac:dyDescent="0.15"/>
    <row r="1218" ht="15" customHeight="1" x14ac:dyDescent="0.15"/>
    <row r="1219" ht="15" customHeight="1" x14ac:dyDescent="0.15"/>
    <row r="1220" ht="15" customHeight="1" x14ac:dyDescent="0.15"/>
    <row r="1221" ht="15" customHeight="1" x14ac:dyDescent="0.15"/>
    <row r="1222" ht="15" customHeight="1" x14ac:dyDescent="0.15"/>
    <row r="1223" ht="15" customHeight="1" x14ac:dyDescent="0.15"/>
    <row r="1224" ht="15" customHeight="1" x14ac:dyDescent="0.15"/>
    <row r="1225" ht="15" customHeight="1" x14ac:dyDescent="0.15"/>
    <row r="1226" ht="15" customHeight="1" x14ac:dyDescent="0.15"/>
    <row r="1227" ht="15" customHeight="1" x14ac:dyDescent="0.15"/>
    <row r="1228" ht="15" customHeight="1" x14ac:dyDescent="0.15"/>
    <row r="1229" ht="15" customHeight="1" x14ac:dyDescent="0.15"/>
    <row r="1230" ht="15" customHeight="1" x14ac:dyDescent="0.15"/>
    <row r="1231" ht="15" customHeight="1" x14ac:dyDescent="0.15"/>
    <row r="1232" ht="15" customHeight="1" x14ac:dyDescent="0.15"/>
    <row r="1233" ht="15" customHeight="1" x14ac:dyDescent="0.15"/>
    <row r="1234" ht="15" customHeight="1" x14ac:dyDescent="0.15"/>
    <row r="1235" ht="15" customHeight="1" x14ac:dyDescent="0.15"/>
    <row r="1236" ht="15" customHeight="1" x14ac:dyDescent="0.15"/>
    <row r="1237" ht="15" customHeight="1" x14ac:dyDescent="0.15"/>
    <row r="1238" ht="15" customHeight="1" x14ac:dyDescent="0.15"/>
    <row r="1239" ht="15" customHeight="1" x14ac:dyDescent="0.15"/>
    <row r="1240" ht="15" customHeight="1" x14ac:dyDescent="0.15"/>
    <row r="1241" ht="15" customHeight="1" x14ac:dyDescent="0.15"/>
    <row r="1242" ht="15" customHeight="1" x14ac:dyDescent="0.15"/>
    <row r="1243" ht="15" customHeight="1" x14ac:dyDescent="0.15"/>
    <row r="1244" ht="15" customHeight="1" x14ac:dyDescent="0.15"/>
    <row r="1245" ht="15" customHeight="1" x14ac:dyDescent="0.15"/>
    <row r="1246" ht="15" customHeight="1" x14ac:dyDescent="0.15"/>
    <row r="1247" ht="15" customHeight="1" x14ac:dyDescent="0.15"/>
    <row r="1248" ht="15" customHeight="1" x14ac:dyDescent="0.15"/>
    <row r="1249" ht="15" customHeight="1" x14ac:dyDescent="0.15"/>
    <row r="1250" ht="15" customHeight="1" x14ac:dyDescent="0.15"/>
    <row r="1251" ht="15" customHeight="1" x14ac:dyDescent="0.15"/>
    <row r="1252" ht="15" customHeight="1" x14ac:dyDescent="0.15"/>
    <row r="1253" ht="15" customHeight="1" x14ac:dyDescent="0.15"/>
    <row r="1254" ht="15" customHeight="1" x14ac:dyDescent="0.15"/>
    <row r="1255" ht="15" customHeight="1" x14ac:dyDescent="0.15"/>
    <row r="1256" ht="15" customHeight="1" x14ac:dyDescent="0.15"/>
    <row r="1257" ht="15" customHeight="1" x14ac:dyDescent="0.15"/>
    <row r="1258" ht="15" customHeight="1" x14ac:dyDescent="0.15"/>
    <row r="1259" ht="15" customHeight="1" x14ac:dyDescent="0.15"/>
    <row r="1260" ht="15" customHeight="1" x14ac:dyDescent="0.15"/>
    <row r="1261" ht="15" customHeight="1" x14ac:dyDescent="0.15"/>
    <row r="1262" ht="15" customHeight="1" x14ac:dyDescent="0.15"/>
    <row r="1263" ht="15" customHeight="1" x14ac:dyDescent="0.15"/>
    <row r="1264" ht="15" customHeight="1" x14ac:dyDescent="0.15"/>
    <row r="1265" ht="15" customHeight="1" x14ac:dyDescent="0.15"/>
    <row r="1266" ht="15" customHeight="1" x14ac:dyDescent="0.15"/>
    <row r="1267" ht="15" customHeight="1" x14ac:dyDescent="0.15"/>
    <row r="1268" ht="15" customHeight="1" x14ac:dyDescent="0.15"/>
    <row r="1269" ht="15" customHeight="1" x14ac:dyDescent="0.15"/>
    <row r="1270" ht="15" customHeight="1" x14ac:dyDescent="0.15"/>
    <row r="1271" ht="15" customHeight="1" x14ac:dyDescent="0.15"/>
    <row r="1272" ht="15" customHeight="1" x14ac:dyDescent="0.15"/>
    <row r="1273" ht="15" customHeight="1" x14ac:dyDescent="0.15"/>
    <row r="1274" ht="15" customHeight="1" x14ac:dyDescent="0.15"/>
    <row r="1275" ht="15" customHeight="1" x14ac:dyDescent="0.15"/>
    <row r="1276" ht="15" customHeight="1" x14ac:dyDescent="0.15"/>
    <row r="1277" ht="15" customHeight="1" x14ac:dyDescent="0.15"/>
    <row r="1278" ht="15" customHeight="1" x14ac:dyDescent="0.15"/>
    <row r="1279" ht="15" customHeight="1" x14ac:dyDescent="0.15"/>
    <row r="1280" ht="15" customHeight="1" x14ac:dyDescent="0.15"/>
    <row r="1281" ht="15" customHeight="1" x14ac:dyDescent="0.15"/>
    <row r="1282" ht="15" customHeight="1" x14ac:dyDescent="0.15"/>
    <row r="1283" ht="15" customHeight="1" x14ac:dyDescent="0.15"/>
    <row r="1284" ht="15" customHeight="1" x14ac:dyDescent="0.15"/>
    <row r="1285" ht="15" customHeight="1" x14ac:dyDescent="0.15"/>
    <row r="1286" ht="15" customHeight="1" x14ac:dyDescent="0.15"/>
    <row r="1287" ht="15" customHeight="1" x14ac:dyDescent="0.15"/>
    <row r="1288" ht="15" customHeight="1" x14ac:dyDescent="0.15"/>
    <row r="1289" ht="15" customHeight="1" x14ac:dyDescent="0.15"/>
    <row r="1290" ht="15" customHeight="1" x14ac:dyDescent="0.15"/>
    <row r="1291" ht="15" customHeight="1" x14ac:dyDescent="0.15"/>
    <row r="1292" ht="15" customHeight="1" x14ac:dyDescent="0.15"/>
    <row r="1293" ht="15" customHeight="1" x14ac:dyDescent="0.15"/>
    <row r="1294" ht="15" customHeight="1" x14ac:dyDescent="0.15"/>
    <row r="1295" ht="15" customHeight="1" x14ac:dyDescent="0.15"/>
    <row r="1296" ht="15" customHeight="1" x14ac:dyDescent="0.15"/>
    <row r="1297" ht="15" customHeight="1" x14ac:dyDescent="0.15"/>
    <row r="1298" ht="15" customHeight="1" x14ac:dyDescent="0.15"/>
    <row r="1299" ht="15" customHeight="1" x14ac:dyDescent="0.15"/>
    <row r="1300" ht="15" customHeight="1" x14ac:dyDescent="0.15"/>
    <row r="1301" ht="15" customHeight="1" x14ac:dyDescent="0.15"/>
    <row r="1302" ht="15" customHeight="1" x14ac:dyDescent="0.15"/>
    <row r="1303" ht="15" customHeight="1" x14ac:dyDescent="0.15"/>
    <row r="1304" ht="15" customHeight="1" x14ac:dyDescent="0.15"/>
    <row r="1305" ht="15" customHeight="1" x14ac:dyDescent="0.15"/>
    <row r="1306" ht="15" customHeight="1" x14ac:dyDescent="0.15"/>
    <row r="1307" ht="15" customHeight="1" x14ac:dyDescent="0.15"/>
    <row r="1308" ht="15" customHeight="1" x14ac:dyDescent="0.15"/>
    <row r="1309" ht="15" customHeight="1" x14ac:dyDescent="0.15"/>
    <row r="1310" ht="15" customHeight="1" x14ac:dyDescent="0.15"/>
    <row r="1311" ht="15" customHeight="1" x14ac:dyDescent="0.15"/>
    <row r="1312" ht="15" customHeight="1" x14ac:dyDescent="0.15"/>
    <row r="1313" ht="15" customHeight="1" x14ac:dyDescent="0.15"/>
    <row r="1314" ht="15" customHeight="1" x14ac:dyDescent="0.15"/>
    <row r="1315" ht="15" customHeight="1" x14ac:dyDescent="0.15"/>
    <row r="1316" ht="15" customHeight="1" x14ac:dyDescent="0.15"/>
    <row r="1317" ht="15" customHeight="1" x14ac:dyDescent="0.15"/>
    <row r="1318" ht="15" customHeight="1" x14ac:dyDescent="0.15"/>
    <row r="1319" ht="15" customHeight="1" x14ac:dyDescent="0.15"/>
    <row r="1320" ht="15" customHeight="1" x14ac:dyDescent="0.15"/>
    <row r="1321" ht="15" customHeight="1" x14ac:dyDescent="0.15"/>
    <row r="1322" ht="15" customHeight="1" x14ac:dyDescent="0.15"/>
    <row r="1323" ht="15" customHeight="1" x14ac:dyDescent="0.15"/>
    <row r="1324" ht="15" customHeight="1" x14ac:dyDescent="0.15"/>
    <row r="1325" ht="15" customHeight="1" x14ac:dyDescent="0.15"/>
    <row r="1326" ht="15" customHeight="1" x14ac:dyDescent="0.15"/>
    <row r="1327" ht="15" customHeight="1" x14ac:dyDescent="0.15"/>
    <row r="1328" ht="15" customHeight="1" x14ac:dyDescent="0.15"/>
    <row r="1329" ht="15" customHeight="1" x14ac:dyDescent="0.15"/>
    <row r="1330" ht="15" customHeight="1" x14ac:dyDescent="0.15"/>
    <row r="1331" ht="15" customHeight="1" x14ac:dyDescent="0.15"/>
    <row r="1332" ht="15" customHeight="1" x14ac:dyDescent="0.15"/>
    <row r="1333" ht="15" customHeight="1" x14ac:dyDescent="0.15"/>
    <row r="1334" ht="15" customHeight="1" x14ac:dyDescent="0.15"/>
    <row r="1335" ht="15" customHeight="1" x14ac:dyDescent="0.15"/>
    <row r="1336" ht="15" customHeight="1" x14ac:dyDescent="0.15"/>
    <row r="1337" ht="15" customHeight="1" x14ac:dyDescent="0.15"/>
    <row r="1338" ht="15" customHeight="1" x14ac:dyDescent="0.15"/>
    <row r="1339" ht="15" customHeight="1" x14ac:dyDescent="0.15"/>
    <row r="1340" ht="15" customHeight="1" x14ac:dyDescent="0.15"/>
    <row r="1341" ht="15" customHeight="1" x14ac:dyDescent="0.15"/>
    <row r="1342" ht="15" customHeight="1" x14ac:dyDescent="0.15"/>
    <row r="1343" ht="15" customHeight="1" x14ac:dyDescent="0.15"/>
    <row r="1344" ht="15" customHeight="1" x14ac:dyDescent="0.15"/>
    <row r="1345" ht="15" customHeight="1" x14ac:dyDescent="0.15"/>
    <row r="1346" ht="15" customHeight="1" x14ac:dyDescent="0.15"/>
    <row r="1347" ht="15" customHeight="1" x14ac:dyDescent="0.15"/>
    <row r="1348" ht="15" customHeight="1" x14ac:dyDescent="0.15"/>
    <row r="1349" ht="15" customHeight="1" x14ac:dyDescent="0.15"/>
    <row r="1350" ht="15" customHeight="1" x14ac:dyDescent="0.15"/>
    <row r="1351" ht="15" customHeight="1" x14ac:dyDescent="0.15"/>
    <row r="1352" ht="15" customHeight="1" x14ac:dyDescent="0.15"/>
    <row r="1353" ht="15" customHeight="1" x14ac:dyDescent="0.15"/>
    <row r="1354" ht="15" customHeight="1" x14ac:dyDescent="0.15"/>
    <row r="1355" ht="15" customHeight="1" x14ac:dyDescent="0.15"/>
    <row r="1356" ht="15" customHeight="1" x14ac:dyDescent="0.15"/>
    <row r="1357" ht="15" customHeight="1" x14ac:dyDescent="0.15"/>
    <row r="1358" ht="15" customHeight="1" x14ac:dyDescent="0.15"/>
    <row r="1359" ht="15" customHeight="1" x14ac:dyDescent="0.15"/>
    <row r="1360" ht="15" customHeight="1" x14ac:dyDescent="0.15"/>
    <row r="1361" ht="15" customHeight="1" x14ac:dyDescent="0.15"/>
    <row r="1362" ht="15" customHeight="1" x14ac:dyDescent="0.15"/>
    <row r="1363" ht="15" customHeight="1" x14ac:dyDescent="0.15"/>
    <row r="1364" ht="15" customHeight="1" x14ac:dyDescent="0.15"/>
    <row r="1365" ht="15" customHeight="1" x14ac:dyDescent="0.15"/>
    <row r="1366" ht="15" customHeight="1" x14ac:dyDescent="0.15"/>
    <row r="1367" ht="15" customHeight="1" x14ac:dyDescent="0.15"/>
    <row r="1368" ht="15" customHeight="1" x14ac:dyDescent="0.15"/>
    <row r="1369" ht="15" customHeight="1" x14ac:dyDescent="0.15"/>
    <row r="1370" ht="15" customHeight="1" x14ac:dyDescent="0.15"/>
    <row r="1371" ht="15" customHeight="1" x14ac:dyDescent="0.15"/>
    <row r="1372" ht="15" customHeight="1" x14ac:dyDescent="0.15"/>
    <row r="1373" ht="15" customHeight="1" x14ac:dyDescent="0.15"/>
    <row r="1374" ht="15" customHeight="1" x14ac:dyDescent="0.15"/>
    <row r="1375" ht="15" customHeight="1" x14ac:dyDescent="0.15"/>
    <row r="1376" ht="15" customHeight="1" x14ac:dyDescent="0.15"/>
    <row r="1377" ht="15" customHeight="1" x14ac:dyDescent="0.15"/>
    <row r="1378" ht="15" customHeight="1" x14ac:dyDescent="0.15"/>
    <row r="1379" ht="15" customHeight="1" x14ac:dyDescent="0.15"/>
    <row r="1380" ht="15" customHeight="1" x14ac:dyDescent="0.15"/>
    <row r="1381" ht="15" customHeight="1" x14ac:dyDescent="0.15"/>
    <row r="1382" ht="15" customHeight="1" x14ac:dyDescent="0.15"/>
    <row r="1383" ht="15" customHeight="1" x14ac:dyDescent="0.15"/>
    <row r="1384" ht="15" customHeight="1" x14ac:dyDescent="0.15"/>
    <row r="1385" ht="15" customHeight="1" x14ac:dyDescent="0.15"/>
    <row r="1386" ht="15" customHeight="1" x14ac:dyDescent="0.15"/>
    <row r="1387" ht="15" customHeight="1" x14ac:dyDescent="0.15"/>
    <row r="1388" ht="15" customHeight="1" x14ac:dyDescent="0.15"/>
    <row r="1389" ht="15" customHeight="1" x14ac:dyDescent="0.15"/>
    <row r="1390" ht="15" customHeight="1" x14ac:dyDescent="0.15"/>
    <row r="1391" ht="15" customHeight="1" x14ac:dyDescent="0.15"/>
    <row r="1392" ht="15" customHeight="1" x14ac:dyDescent="0.15"/>
    <row r="1393" ht="15" customHeight="1" x14ac:dyDescent="0.15"/>
    <row r="1394" ht="15" customHeight="1" x14ac:dyDescent="0.15"/>
    <row r="1395" ht="15" customHeight="1" x14ac:dyDescent="0.15"/>
    <row r="1396" ht="15" customHeight="1" x14ac:dyDescent="0.15"/>
    <row r="1397" ht="15" customHeight="1" x14ac:dyDescent="0.15"/>
    <row r="1398" ht="15" customHeight="1" x14ac:dyDescent="0.15"/>
    <row r="1399" ht="15" customHeight="1" x14ac:dyDescent="0.15"/>
    <row r="1400" ht="15" customHeight="1" x14ac:dyDescent="0.15"/>
    <row r="1401" ht="15" customHeight="1" x14ac:dyDescent="0.15"/>
    <row r="1402" ht="15" customHeight="1" x14ac:dyDescent="0.15"/>
    <row r="1403" ht="15" customHeight="1" x14ac:dyDescent="0.15"/>
    <row r="1404" ht="15" customHeight="1" x14ac:dyDescent="0.15"/>
    <row r="1405" ht="15" customHeight="1" x14ac:dyDescent="0.15"/>
    <row r="1406" ht="15" customHeight="1" x14ac:dyDescent="0.15"/>
    <row r="1407" ht="15" customHeight="1" x14ac:dyDescent="0.15"/>
    <row r="1408" ht="15" customHeight="1" x14ac:dyDescent="0.15"/>
    <row r="1409" ht="15" customHeight="1" x14ac:dyDescent="0.15"/>
    <row r="1410" ht="15" customHeight="1" x14ac:dyDescent="0.15"/>
    <row r="1411" ht="15" customHeight="1" x14ac:dyDescent="0.15"/>
    <row r="1412" ht="15" customHeight="1" x14ac:dyDescent="0.15"/>
    <row r="1413" ht="15" customHeight="1" x14ac:dyDescent="0.15"/>
    <row r="1414" ht="15" customHeight="1" x14ac:dyDescent="0.15"/>
    <row r="1415" ht="15" customHeight="1" x14ac:dyDescent="0.15"/>
    <row r="1416" ht="15" customHeight="1" x14ac:dyDescent="0.15"/>
    <row r="1417" ht="15" customHeight="1" x14ac:dyDescent="0.15"/>
    <row r="1418" ht="15" customHeight="1" x14ac:dyDescent="0.15"/>
    <row r="1419" ht="15" customHeight="1" x14ac:dyDescent="0.15"/>
    <row r="1420" ht="15" customHeight="1" x14ac:dyDescent="0.15"/>
    <row r="1421" ht="15" customHeight="1" x14ac:dyDescent="0.15"/>
    <row r="1422" ht="15" customHeight="1" x14ac:dyDescent="0.15"/>
    <row r="1423" ht="15" customHeight="1" x14ac:dyDescent="0.15"/>
    <row r="1424" ht="15" customHeight="1" x14ac:dyDescent="0.15"/>
    <row r="1425" ht="15" customHeight="1" x14ac:dyDescent="0.15"/>
    <row r="1426" ht="15" customHeight="1" x14ac:dyDescent="0.15"/>
    <row r="1427" ht="15" customHeight="1" x14ac:dyDescent="0.15"/>
    <row r="1428" ht="15" customHeight="1" x14ac:dyDescent="0.15"/>
    <row r="1429" ht="15" customHeight="1" x14ac:dyDescent="0.15"/>
    <row r="1430" ht="15" customHeight="1" x14ac:dyDescent="0.15"/>
    <row r="1431" ht="15" customHeight="1" x14ac:dyDescent="0.15"/>
    <row r="1432" ht="15" customHeight="1" x14ac:dyDescent="0.15"/>
    <row r="1433" ht="15" customHeight="1" x14ac:dyDescent="0.15"/>
    <row r="1434" ht="15" customHeight="1" x14ac:dyDescent="0.15"/>
    <row r="1435" ht="15" customHeight="1" x14ac:dyDescent="0.15"/>
    <row r="1436" ht="15" customHeight="1" x14ac:dyDescent="0.15"/>
    <row r="1437" ht="15" customHeight="1" x14ac:dyDescent="0.15"/>
    <row r="1438" ht="15" customHeight="1" x14ac:dyDescent="0.15"/>
    <row r="1439" ht="15" customHeight="1" x14ac:dyDescent="0.15"/>
    <row r="1440" ht="15" customHeight="1" x14ac:dyDescent="0.15"/>
    <row r="1441" ht="15" customHeight="1" x14ac:dyDescent="0.15"/>
    <row r="1442" ht="15" customHeight="1" x14ac:dyDescent="0.15"/>
    <row r="1443" ht="15" customHeight="1" x14ac:dyDescent="0.15"/>
    <row r="1444" ht="15" customHeight="1" x14ac:dyDescent="0.15"/>
    <row r="1445" ht="15" customHeight="1" x14ac:dyDescent="0.15"/>
    <row r="1446" ht="15" customHeight="1" x14ac:dyDescent="0.15"/>
    <row r="1447" ht="15" customHeight="1" x14ac:dyDescent="0.15"/>
    <row r="1448" ht="15" customHeight="1" x14ac:dyDescent="0.15"/>
    <row r="1449" ht="15" customHeight="1" x14ac:dyDescent="0.15"/>
    <row r="1450" ht="15" customHeight="1" x14ac:dyDescent="0.15"/>
    <row r="1451" ht="15" customHeight="1" x14ac:dyDescent="0.15"/>
    <row r="1452" ht="15" customHeight="1" x14ac:dyDescent="0.15"/>
    <row r="1453" ht="15" customHeight="1" x14ac:dyDescent="0.15"/>
    <row r="1454" ht="15" customHeight="1" x14ac:dyDescent="0.15"/>
    <row r="1455" ht="15" customHeight="1" x14ac:dyDescent="0.15"/>
    <row r="1456" ht="15" customHeight="1" x14ac:dyDescent="0.15"/>
    <row r="1457" ht="15" customHeight="1" x14ac:dyDescent="0.15"/>
    <row r="1458" ht="15" customHeight="1" x14ac:dyDescent="0.15"/>
    <row r="1459" ht="15" customHeight="1" x14ac:dyDescent="0.15"/>
    <row r="1460" ht="15" customHeight="1" x14ac:dyDescent="0.15"/>
    <row r="1461" ht="15" customHeight="1" x14ac:dyDescent="0.15"/>
    <row r="1462" ht="15" customHeight="1" x14ac:dyDescent="0.15"/>
    <row r="1463" ht="15" customHeight="1" x14ac:dyDescent="0.15"/>
    <row r="1464" ht="15" customHeight="1" x14ac:dyDescent="0.15"/>
    <row r="1465" ht="15" customHeight="1" x14ac:dyDescent="0.15"/>
    <row r="1466" ht="15" customHeight="1" x14ac:dyDescent="0.15"/>
    <row r="1467" ht="15" customHeight="1" x14ac:dyDescent="0.15"/>
    <row r="1468" ht="15" customHeight="1" x14ac:dyDescent="0.15"/>
    <row r="1469" ht="15" customHeight="1" x14ac:dyDescent="0.15"/>
    <row r="1470" ht="15" customHeight="1" x14ac:dyDescent="0.15"/>
    <row r="1471" ht="15" customHeight="1" x14ac:dyDescent="0.15"/>
    <row r="1472" ht="15" customHeight="1" x14ac:dyDescent="0.15"/>
    <row r="1473" ht="15" customHeight="1" x14ac:dyDescent="0.15"/>
    <row r="1474" ht="15" customHeight="1" x14ac:dyDescent="0.15"/>
    <row r="1475" ht="15" customHeight="1" x14ac:dyDescent="0.15"/>
    <row r="1476" ht="15" customHeight="1" x14ac:dyDescent="0.15"/>
    <row r="1477" ht="15" customHeight="1" x14ac:dyDescent="0.15"/>
    <row r="1478" ht="15" customHeight="1" x14ac:dyDescent="0.15"/>
    <row r="1479" ht="15" customHeight="1" x14ac:dyDescent="0.15"/>
    <row r="1480" ht="15" customHeight="1" x14ac:dyDescent="0.15"/>
    <row r="1481" ht="15" customHeight="1" x14ac:dyDescent="0.15"/>
    <row r="1482" ht="15" customHeight="1" x14ac:dyDescent="0.15"/>
    <row r="1483" ht="15" customHeight="1" x14ac:dyDescent="0.15"/>
    <row r="1484" ht="15" customHeight="1" x14ac:dyDescent="0.15"/>
    <row r="1485" ht="15" customHeight="1" x14ac:dyDescent="0.15"/>
    <row r="1486" ht="15" customHeight="1" x14ac:dyDescent="0.15"/>
    <row r="1487" ht="15" customHeight="1" x14ac:dyDescent="0.15"/>
    <row r="1488" ht="15" customHeight="1" x14ac:dyDescent="0.15"/>
    <row r="1489" ht="15" customHeight="1" x14ac:dyDescent="0.15"/>
    <row r="1490" ht="15" customHeight="1" x14ac:dyDescent="0.15"/>
    <row r="1491" ht="15" customHeight="1" x14ac:dyDescent="0.15"/>
    <row r="1492" ht="15" customHeight="1" x14ac:dyDescent="0.15"/>
    <row r="1493" ht="15" customHeight="1" x14ac:dyDescent="0.15"/>
    <row r="1494" ht="15" customHeight="1" x14ac:dyDescent="0.15"/>
    <row r="1495" ht="15" customHeight="1" x14ac:dyDescent="0.15"/>
    <row r="1496" ht="15" customHeight="1" x14ac:dyDescent="0.15"/>
    <row r="1497" ht="15" customHeight="1" x14ac:dyDescent="0.15"/>
    <row r="1498" ht="15" customHeight="1" x14ac:dyDescent="0.15"/>
    <row r="1499" ht="15" customHeight="1" x14ac:dyDescent="0.15"/>
    <row r="1500" ht="15" customHeight="1" x14ac:dyDescent="0.15"/>
    <row r="1501" ht="15" customHeight="1" x14ac:dyDescent="0.15"/>
    <row r="1502" ht="15" customHeight="1" x14ac:dyDescent="0.15"/>
    <row r="1503" ht="15" customHeight="1" x14ac:dyDescent="0.15"/>
    <row r="1504" ht="15" customHeight="1" x14ac:dyDescent="0.15"/>
    <row r="1505" ht="15" customHeight="1" x14ac:dyDescent="0.15"/>
    <row r="1506" ht="15" customHeight="1" x14ac:dyDescent="0.15"/>
    <row r="1507" ht="15" customHeight="1" x14ac:dyDescent="0.15"/>
    <row r="1508" ht="15" customHeight="1" x14ac:dyDescent="0.15"/>
    <row r="1509" ht="15" customHeight="1" x14ac:dyDescent="0.15"/>
    <row r="1510" ht="15" customHeight="1" x14ac:dyDescent="0.15"/>
    <row r="1511" ht="15" customHeight="1" x14ac:dyDescent="0.15"/>
    <row r="1512" ht="15" customHeight="1" x14ac:dyDescent="0.15"/>
    <row r="1513" ht="15" customHeight="1" x14ac:dyDescent="0.15"/>
    <row r="1514" ht="15" customHeight="1" x14ac:dyDescent="0.15"/>
    <row r="1515" ht="15" customHeight="1" x14ac:dyDescent="0.15"/>
    <row r="1516" ht="15" customHeight="1" x14ac:dyDescent="0.15"/>
    <row r="1517" ht="15" customHeight="1" x14ac:dyDescent="0.15"/>
    <row r="1518" ht="15" customHeight="1" x14ac:dyDescent="0.15"/>
    <row r="1519" ht="15" customHeight="1" x14ac:dyDescent="0.15"/>
    <row r="1520" ht="15" customHeight="1" x14ac:dyDescent="0.15"/>
    <row r="1521" ht="15" customHeight="1" x14ac:dyDescent="0.15"/>
    <row r="1522" ht="15" customHeight="1" x14ac:dyDescent="0.15"/>
    <row r="1523" ht="15" customHeight="1" x14ac:dyDescent="0.15"/>
    <row r="1524" ht="15" customHeight="1" x14ac:dyDescent="0.15"/>
    <row r="1525" ht="15" customHeight="1" x14ac:dyDescent="0.15"/>
    <row r="1526" ht="15" customHeight="1" x14ac:dyDescent="0.15"/>
    <row r="1527" ht="15" customHeight="1" x14ac:dyDescent="0.15"/>
    <row r="1528" ht="15" customHeight="1" x14ac:dyDescent="0.15"/>
    <row r="1529" ht="15" customHeight="1" x14ac:dyDescent="0.15"/>
    <row r="1530" ht="15" customHeight="1" x14ac:dyDescent="0.15"/>
    <row r="1531" ht="15" customHeight="1" x14ac:dyDescent="0.15"/>
    <row r="1532" ht="15" customHeight="1" x14ac:dyDescent="0.15"/>
    <row r="1533" ht="15" customHeight="1" x14ac:dyDescent="0.15"/>
    <row r="1534" ht="15" customHeight="1" x14ac:dyDescent="0.15"/>
    <row r="1535" ht="15" customHeight="1" x14ac:dyDescent="0.15"/>
    <row r="1536" ht="15" customHeight="1" x14ac:dyDescent="0.15"/>
    <row r="1537" ht="15" customHeight="1" x14ac:dyDescent="0.15"/>
    <row r="1538" ht="15" customHeight="1" x14ac:dyDescent="0.15"/>
    <row r="1539" ht="15" customHeight="1" x14ac:dyDescent="0.15"/>
    <row r="1540" ht="15" customHeight="1" x14ac:dyDescent="0.15"/>
    <row r="1541" ht="15" customHeight="1" x14ac:dyDescent="0.15"/>
    <row r="1542" ht="15" customHeight="1" x14ac:dyDescent="0.15"/>
    <row r="1543" ht="15" customHeight="1" x14ac:dyDescent="0.15"/>
    <row r="1544" ht="15" customHeight="1" x14ac:dyDescent="0.15"/>
    <row r="1545" ht="15" customHeight="1" x14ac:dyDescent="0.15"/>
    <row r="1546" ht="15" customHeight="1" x14ac:dyDescent="0.15"/>
    <row r="1547" ht="15" customHeight="1" x14ac:dyDescent="0.15"/>
    <row r="1548" ht="15" customHeight="1" x14ac:dyDescent="0.15"/>
    <row r="1549" ht="15" customHeight="1" x14ac:dyDescent="0.15"/>
    <row r="1550" ht="15" customHeight="1" x14ac:dyDescent="0.15"/>
    <row r="1551" ht="15" customHeight="1" x14ac:dyDescent="0.15"/>
    <row r="1552" ht="15" customHeight="1" x14ac:dyDescent="0.15"/>
    <row r="1553" ht="15" customHeight="1" x14ac:dyDescent="0.15"/>
    <row r="1554" ht="15" customHeight="1" x14ac:dyDescent="0.15"/>
    <row r="1555" ht="15" customHeight="1" x14ac:dyDescent="0.15"/>
    <row r="1556" ht="15" customHeight="1" x14ac:dyDescent="0.15"/>
    <row r="1557" ht="15" customHeight="1" x14ac:dyDescent="0.15"/>
    <row r="1558" ht="15" customHeight="1" x14ac:dyDescent="0.15"/>
    <row r="1559" ht="15" customHeight="1" x14ac:dyDescent="0.15"/>
    <row r="1560" ht="15" customHeight="1" x14ac:dyDescent="0.15"/>
    <row r="1561" ht="15" customHeight="1" x14ac:dyDescent="0.15"/>
    <row r="1562" ht="15" customHeight="1" x14ac:dyDescent="0.15"/>
    <row r="1563" ht="15" customHeight="1" x14ac:dyDescent="0.15"/>
    <row r="1564" ht="15" customHeight="1" x14ac:dyDescent="0.15"/>
    <row r="1565" ht="15" customHeight="1" x14ac:dyDescent="0.15"/>
    <row r="1566" ht="15" customHeight="1" x14ac:dyDescent="0.15"/>
    <row r="1567" ht="15" customHeight="1" x14ac:dyDescent="0.15"/>
    <row r="1568" ht="15" customHeight="1" x14ac:dyDescent="0.15"/>
    <row r="1569" ht="15" customHeight="1" x14ac:dyDescent="0.15"/>
    <row r="1570" ht="15" customHeight="1" x14ac:dyDescent="0.15"/>
    <row r="1571" ht="15" customHeight="1" x14ac:dyDescent="0.15"/>
    <row r="1572" ht="15" customHeight="1" x14ac:dyDescent="0.15"/>
    <row r="1573" ht="15" customHeight="1" x14ac:dyDescent="0.15"/>
    <row r="1574" ht="15" customHeight="1" x14ac:dyDescent="0.15"/>
    <row r="1575" ht="15" customHeight="1" x14ac:dyDescent="0.15"/>
    <row r="1576" ht="15" customHeight="1" x14ac:dyDescent="0.15"/>
    <row r="1577" ht="15" customHeight="1" x14ac:dyDescent="0.15"/>
    <row r="1578" ht="15" customHeight="1" x14ac:dyDescent="0.15"/>
    <row r="1579" ht="15" customHeight="1" x14ac:dyDescent="0.15"/>
    <row r="1580" ht="15" customHeight="1" x14ac:dyDescent="0.15"/>
    <row r="1581" ht="15" customHeight="1" x14ac:dyDescent="0.15"/>
    <row r="1582" ht="15" customHeight="1" x14ac:dyDescent="0.15"/>
    <row r="1583" ht="15" customHeight="1" x14ac:dyDescent="0.15"/>
    <row r="1584" ht="15" customHeight="1" x14ac:dyDescent="0.15"/>
    <row r="1585" ht="15" customHeight="1" x14ac:dyDescent="0.15"/>
    <row r="1586" ht="15" customHeight="1" x14ac:dyDescent="0.15"/>
    <row r="1587" ht="15" customHeight="1" x14ac:dyDescent="0.15"/>
    <row r="1588" ht="15" customHeight="1" x14ac:dyDescent="0.15"/>
    <row r="1589" ht="15" customHeight="1" x14ac:dyDescent="0.15"/>
    <row r="1590" ht="15" customHeight="1" x14ac:dyDescent="0.15"/>
    <row r="1591" ht="15" customHeight="1" x14ac:dyDescent="0.15"/>
    <row r="1592" ht="15" customHeight="1" x14ac:dyDescent="0.15"/>
    <row r="1593" ht="15" customHeight="1" x14ac:dyDescent="0.15"/>
    <row r="1594" ht="15" customHeight="1" x14ac:dyDescent="0.15"/>
    <row r="1595" ht="15" customHeight="1" x14ac:dyDescent="0.15"/>
    <row r="1596" ht="15" customHeight="1" x14ac:dyDescent="0.15"/>
    <row r="1597" ht="15" customHeight="1" x14ac:dyDescent="0.15"/>
    <row r="1598" ht="15" customHeight="1" x14ac:dyDescent="0.15"/>
    <row r="1599" ht="15" customHeight="1" x14ac:dyDescent="0.15"/>
    <row r="1600" ht="15" customHeight="1" x14ac:dyDescent="0.15"/>
    <row r="1601" ht="15" customHeight="1" x14ac:dyDescent="0.15"/>
    <row r="1602" ht="15" customHeight="1" x14ac:dyDescent="0.15"/>
    <row r="1603" ht="15" customHeight="1" x14ac:dyDescent="0.15"/>
    <row r="1604" ht="15" customHeight="1" x14ac:dyDescent="0.15"/>
    <row r="1605" ht="15" customHeight="1" x14ac:dyDescent="0.15"/>
    <row r="1606" ht="15" customHeight="1" x14ac:dyDescent="0.15"/>
    <row r="1607" ht="15" customHeight="1" x14ac:dyDescent="0.15"/>
    <row r="1608" ht="15" customHeight="1" x14ac:dyDescent="0.15"/>
    <row r="1609" ht="15" customHeight="1" x14ac:dyDescent="0.15"/>
    <row r="1610" ht="15" customHeight="1" x14ac:dyDescent="0.15"/>
    <row r="1611" ht="15" customHeight="1" x14ac:dyDescent="0.15"/>
    <row r="1612" ht="15" customHeight="1" x14ac:dyDescent="0.15"/>
    <row r="1613" ht="15" customHeight="1" x14ac:dyDescent="0.15"/>
    <row r="1614" ht="15" customHeight="1" x14ac:dyDescent="0.15"/>
    <row r="1615" ht="15" customHeight="1" x14ac:dyDescent="0.15"/>
    <row r="1616" ht="15" customHeight="1" x14ac:dyDescent="0.15"/>
    <row r="1617" ht="15" customHeight="1" x14ac:dyDescent="0.15"/>
    <row r="1618" ht="15" customHeight="1" x14ac:dyDescent="0.15"/>
    <row r="1619" ht="15" customHeight="1" x14ac:dyDescent="0.15"/>
    <row r="1620" ht="15" customHeight="1" x14ac:dyDescent="0.15"/>
    <row r="1621" ht="15" customHeight="1" x14ac:dyDescent="0.15"/>
    <row r="1622" ht="15" customHeight="1" x14ac:dyDescent="0.15"/>
    <row r="1623" ht="15" customHeight="1" x14ac:dyDescent="0.15"/>
    <row r="1624" ht="15" customHeight="1" x14ac:dyDescent="0.15"/>
    <row r="1625" ht="15" customHeight="1" x14ac:dyDescent="0.15"/>
    <row r="1626" ht="15" customHeight="1" x14ac:dyDescent="0.15"/>
    <row r="1627" ht="15" customHeight="1" x14ac:dyDescent="0.15"/>
    <row r="1628" ht="15" customHeight="1" x14ac:dyDescent="0.15"/>
    <row r="1629" ht="15" customHeight="1" x14ac:dyDescent="0.15"/>
    <row r="1630" ht="15" customHeight="1" x14ac:dyDescent="0.15"/>
    <row r="1631" ht="15" customHeight="1" x14ac:dyDescent="0.15"/>
    <row r="1632" ht="15" customHeight="1" x14ac:dyDescent="0.15"/>
    <row r="1633" ht="15" customHeight="1" x14ac:dyDescent="0.15"/>
    <row r="1634" ht="15" customHeight="1" x14ac:dyDescent="0.15"/>
    <row r="1635" ht="15" customHeight="1" x14ac:dyDescent="0.15"/>
    <row r="1636" ht="15" customHeight="1" x14ac:dyDescent="0.15"/>
    <row r="1637" ht="15" customHeight="1" x14ac:dyDescent="0.15"/>
    <row r="1638" ht="15" customHeight="1" x14ac:dyDescent="0.15"/>
    <row r="1639" ht="15" customHeight="1" x14ac:dyDescent="0.15"/>
    <row r="1640" ht="15" customHeight="1" x14ac:dyDescent="0.15"/>
    <row r="1641" ht="15" customHeight="1" x14ac:dyDescent="0.15"/>
    <row r="1642" ht="15" customHeight="1" x14ac:dyDescent="0.15"/>
    <row r="1643" ht="15" customHeight="1" x14ac:dyDescent="0.15"/>
    <row r="1644" ht="15" customHeight="1" x14ac:dyDescent="0.15"/>
    <row r="1645" ht="15" customHeight="1" x14ac:dyDescent="0.15"/>
    <row r="1646" ht="15" customHeight="1" x14ac:dyDescent="0.15"/>
    <row r="1647" ht="15" customHeight="1" x14ac:dyDescent="0.15"/>
    <row r="1648" ht="15" customHeight="1" x14ac:dyDescent="0.15"/>
    <row r="1649" ht="15" customHeight="1" x14ac:dyDescent="0.15"/>
    <row r="1650" ht="15" customHeight="1" x14ac:dyDescent="0.15"/>
    <row r="1651" ht="15" customHeight="1" x14ac:dyDescent="0.15"/>
    <row r="1652" ht="15" customHeight="1" x14ac:dyDescent="0.15"/>
    <row r="1653" ht="15" customHeight="1" x14ac:dyDescent="0.15"/>
    <row r="1654" ht="15" customHeight="1" x14ac:dyDescent="0.15"/>
    <row r="1655" ht="15" customHeight="1" x14ac:dyDescent="0.15"/>
    <row r="1656" ht="15" customHeight="1" x14ac:dyDescent="0.15"/>
    <row r="1657" ht="15" customHeight="1" x14ac:dyDescent="0.15"/>
    <row r="1658" ht="15" customHeight="1" x14ac:dyDescent="0.15"/>
    <row r="1659" ht="15" customHeight="1" x14ac:dyDescent="0.15"/>
    <row r="1660" ht="15" customHeight="1" x14ac:dyDescent="0.15"/>
    <row r="1661" ht="15" customHeight="1" x14ac:dyDescent="0.15"/>
    <row r="1662" ht="15" customHeight="1" x14ac:dyDescent="0.15"/>
    <row r="1663" ht="15" customHeight="1" x14ac:dyDescent="0.15"/>
    <row r="1664" ht="15" customHeight="1" x14ac:dyDescent="0.15"/>
    <row r="1665" ht="15" customHeight="1" x14ac:dyDescent="0.15"/>
    <row r="1666" ht="15" customHeight="1" x14ac:dyDescent="0.15"/>
    <row r="1667" ht="15" customHeight="1" x14ac:dyDescent="0.15"/>
    <row r="1668" ht="15" customHeight="1" x14ac:dyDescent="0.15"/>
    <row r="1669" ht="15" customHeight="1" x14ac:dyDescent="0.15"/>
    <row r="1670" ht="15" customHeight="1" x14ac:dyDescent="0.15"/>
    <row r="1671" ht="15" customHeight="1" x14ac:dyDescent="0.15"/>
    <row r="1672" ht="15" customHeight="1" x14ac:dyDescent="0.15"/>
    <row r="1673" ht="15" customHeight="1" x14ac:dyDescent="0.15"/>
    <row r="1674" ht="15" customHeight="1" x14ac:dyDescent="0.15"/>
    <row r="1675" ht="15" customHeight="1" x14ac:dyDescent="0.15"/>
    <row r="1676" ht="15" customHeight="1" x14ac:dyDescent="0.15"/>
    <row r="1677" ht="15" customHeight="1" x14ac:dyDescent="0.15"/>
    <row r="1678" ht="15" customHeight="1" x14ac:dyDescent="0.15"/>
    <row r="1679" ht="15" customHeight="1" x14ac:dyDescent="0.15"/>
    <row r="1680" ht="15" customHeight="1" x14ac:dyDescent="0.15"/>
    <row r="1681" ht="15" customHeight="1" x14ac:dyDescent="0.15"/>
    <row r="1682" ht="15" customHeight="1" x14ac:dyDescent="0.15"/>
    <row r="1683" ht="15" customHeight="1" x14ac:dyDescent="0.15"/>
    <row r="1684" ht="15" customHeight="1" x14ac:dyDescent="0.15"/>
    <row r="1685" ht="15" customHeight="1" x14ac:dyDescent="0.15"/>
    <row r="1686" ht="15" customHeight="1" x14ac:dyDescent="0.15"/>
    <row r="1687" ht="15" customHeight="1" x14ac:dyDescent="0.15"/>
    <row r="1688" ht="15" customHeight="1" x14ac:dyDescent="0.15"/>
    <row r="1689" ht="15" customHeight="1" x14ac:dyDescent="0.15"/>
    <row r="1690" ht="15" customHeight="1" x14ac:dyDescent="0.15"/>
    <row r="1691" ht="15" customHeight="1" x14ac:dyDescent="0.15"/>
    <row r="1692" ht="15" customHeight="1" x14ac:dyDescent="0.15"/>
    <row r="1693" ht="15" customHeight="1" x14ac:dyDescent="0.15"/>
    <row r="1694" ht="15" customHeight="1" x14ac:dyDescent="0.15"/>
    <row r="1695" ht="15" customHeight="1" x14ac:dyDescent="0.15"/>
    <row r="1696" ht="15" customHeight="1" x14ac:dyDescent="0.15"/>
    <row r="1697" ht="15" customHeight="1" x14ac:dyDescent="0.15"/>
    <row r="1698" ht="15" customHeight="1" x14ac:dyDescent="0.15"/>
    <row r="1699" ht="15" customHeight="1" x14ac:dyDescent="0.15"/>
    <row r="1700" ht="15" customHeight="1" x14ac:dyDescent="0.15"/>
    <row r="1701" ht="15" customHeight="1" x14ac:dyDescent="0.15"/>
    <row r="1702" ht="15" customHeight="1" x14ac:dyDescent="0.15"/>
    <row r="1703" ht="15" customHeight="1" x14ac:dyDescent="0.15"/>
    <row r="1704" ht="15" customHeight="1" x14ac:dyDescent="0.15"/>
    <row r="1705" ht="15" customHeight="1" x14ac:dyDescent="0.15"/>
    <row r="1706" ht="15" customHeight="1" x14ac:dyDescent="0.15"/>
    <row r="1707" ht="15" customHeight="1" x14ac:dyDescent="0.15"/>
    <row r="1708" ht="15" customHeight="1" x14ac:dyDescent="0.15"/>
    <row r="1709" ht="15" customHeight="1" x14ac:dyDescent="0.15"/>
    <row r="1710" ht="15" customHeight="1" x14ac:dyDescent="0.15"/>
    <row r="1711" ht="15" customHeight="1" x14ac:dyDescent="0.15"/>
    <row r="1712" ht="15" customHeight="1" x14ac:dyDescent="0.15"/>
    <row r="1713" ht="15" customHeight="1" x14ac:dyDescent="0.15"/>
    <row r="1714" ht="15" customHeight="1" x14ac:dyDescent="0.15"/>
    <row r="1715" ht="15" customHeight="1" x14ac:dyDescent="0.15"/>
    <row r="1716" ht="15" customHeight="1" x14ac:dyDescent="0.15"/>
    <row r="1717" ht="15" customHeight="1" x14ac:dyDescent="0.15"/>
    <row r="1718" ht="15" customHeight="1" x14ac:dyDescent="0.15"/>
    <row r="1719" ht="15" customHeight="1" x14ac:dyDescent="0.15"/>
    <row r="1720" ht="15" customHeight="1" x14ac:dyDescent="0.15"/>
    <row r="1721" ht="15" customHeight="1" x14ac:dyDescent="0.15"/>
    <row r="1722" ht="15" customHeight="1" x14ac:dyDescent="0.15"/>
    <row r="1723" ht="15" customHeight="1" x14ac:dyDescent="0.15"/>
    <row r="1724" ht="15" customHeight="1" x14ac:dyDescent="0.15"/>
    <row r="1725" ht="15" customHeight="1" x14ac:dyDescent="0.15"/>
    <row r="1726" ht="15" customHeight="1" x14ac:dyDescent="0.15"/>
    <row r="1727" ht="15" customHeight="1" x14ac:dyDescent="0.15"/>
    <row r="1728" ht="15" customHeight="1" x14ac:dyDescent="0.15"/>
    <row r="1729" ht="15" customHeight="1" x14ac:dyDescent="0.15"/>
    <row r="1730" ht="15" customHeight="1" x14ac:dyDescent="0.15"/>
    <row r="1731" ht="15" customHeight="1" x14ac:dyDescent="0.15"/>
    <row r="1732" ht="15" customHeight="1" x14ac:dyDescent="0.15"/>
    <row r="1733" ht="15" customHeight="1" x14ac:dyDescent="0.15"/>
    <row r="1734" ht="15" customHeight="1" x14ac:dyDescent="0.15"/>
    <row r="1735" ht="15" customHeight="1" x14ac:dyDescent="0.15"/>
    <row r="1736" ht="15" customHeight="1" x14ac:dyDescent="0.15"/>
    <row r="1737" ht="15" customHeight="1" x14ac:dyDescent="0.15"/>
    <row r="1738" ht="15" customHeight="1" x14ac:dyDescent="0.15"/>
    <row r="1739" ht="15" customHeight="1" x14ac:dyDescent="0.15"/>
    <row r="1740" ht="15" customHeight="1" x14ac:dyDescent="0.15"/>
    <row r="1741" ht="15" customHeight="1" x14ac:dyDescent="0.15"/>
    <row r="1742" ht="15" customHeight="1" x14ac:dyDescent="0.15"/>
    <row r="1743" ht="15" customHeight="1" x14ac:dyDescent="0.15"/>
    <row r="1744" ht="15" customHeight="1" x14ac:dyDescent="0.15"/>
    <row r="1745" ht="15" customHeight="1" x14ac:dyDescent="0.15"/>
    <row r="1746" ht="15" customHeight="1" x14ac:dyDescent="0.15"/>
    <row r="1747" ht="15" customHeight="1" x14ac:dyDescent="0.15"/>
    <row r="1748" ht="15" customHeight="1" x14ac:dyDescent="0.15"/>
    <row r="1749" ht="15" customHeight="1" x14ac:dyDescent="0.15"/>
    <row r="1750" ht="15" customHeight="1" x14ac:dyDescent="0.15"/>
    <row r="1751" ht="15" customHeight="1" x14ac:dyDescent="0.15"/>
    <row r="1752" ht="15" customHeight="1" x14ac:dyDescent="0.15"/>
    <row r="1753" ht="15" customHeight="1" x14ac:dyDescent="0.15"/>
    <row r="1754" ht="15" customHeight="1" x14ac:dyDescent="0.15"/>
    <row r="1755" ht="15" customHeight="1" x14ac:dyDescent="0.15"/>
    <row r="1756" ht="15" customHeight="1" x14ac:dyDescent="0.15"/>
    <row r="1757" ht="15" customHeight="1" x14ac:dyDescent="0.15"/>
    <row r="1758" ht="15" customHeight="1" x14ac:dyDescent="0.15"/>
    <row r="1759" ht="15" customHeight="1" x14ac:dyDescent="0.15"/>
    <row r="1760" ht="15" customHeight="1" x14ac:dyDescent="0.15"/>
    <row r="1761" ht="15" customHeight="1" x14ac:dyDescent="0.15"/>
    <row r="1762" ht="15" customHeight="1" x14ac:dyDescent="0.15"/>
    <row r="1763" ht="15" customHeight="1" x14ac:dyDescent="0.15"/>
    <row r="1764" ht="15" customHeight="1" x14ac:dyDescent="0.15"/>
    <row r="1765" ht="15" customHeight="1" x14ac:dyDescent="0.15"/>
    <row r="1766" ht="15" customHeight="1" x14ac:dyDescent="0.15"/>
    <row r="1767" ht="15" customHeight="1" x14ac:dyDescent="0.15"/>
    <row r="1768" ht="15" customHeight="1" x14ac:dyDescent="0.15"/>
    <row r="1769" ht="15" customHeight="1" x14ac:dyDescent="0.15"/>
    <row r="1770" ht="15" customHeight="1" x14ac:dyDescent="0.15"/>
    <row r="1771" ht="15" customHeight="1" x14ac:dyDescent="0.15"/>
    <row r="1772" ht="15" customHeight="1" x14ac:dyDescent="0.15"/>
    <row r="1773" ht="15" customHeight="1" x14ac:dyDescent="0.15"/>
    <row r="1774" ht="15" customHeight="1" x14ac:dyDescent="0.15"/>
    <row r="1775" ht="15" customHeight="1" x14ac:dyDescent="0.15"/>
    <row r="1776" ht="15" customHeight="1" x14ac:dyDescent="0.15"/>
    <row r="1777" ht="15" customHeight="1" x14ac:dyDescent="0.15"/>
    <row r="1778" ht="15" customHeight="1" x14ac:dyDescent="0.15"/>
    <row r="1779" ht="15" customHeight="1" x14ac:dyDescent="0.15"/>
    <row r="1780" ht="15" customHeight="1" x14ac:dyDescent="0.15"/>
    <row r="1781" ht="15" customHeight="1" x14ac:dyDescent="0.15"/>
    <row r="1782" ht="15" customHeight="1" x14ac:dyDescent="0.15"/>
    <row r="1783" ht="15" customHeight="1" x14ac:dyDescent="0.15"/>
    <row r="1784" ht="15" customHeight="1" x14ac:dyDescent="0.15"/>
    <row r="1785" ht="15" customHeight="1" x14ac:dyDescent="0.15"/>
    <row r="1786" ht="15" customHeight="1" x14ac:dyDescent="0.15"/>
    <row r="1787" ht="15" customHeight="1" x14ac:dyDescent="0.15"/>
    <row r="1788" ht="15" customHeight="1" x14ac:dyDescent="0.15"/>
    <row r="1789" ht="15" customHeight="1" x14ac:dyDescent="0.15"/>
    <row r="1790" ht="15" customHeight="1" x14ac:dyDescent="0.15"/>
    <row r="1791" ht="15" customHeight="1" x14ac:dyDescent="0.15"/>
    <row r="1792" ht="15" customHeight="1" x14ac:dyDescent="0.15"/>
    <row r="1793" ht="15" customHeight="1" x14ac:dyDescent="0.15"/>
    <row r="1794" ht="15" customHeight="1" x14ac:dyDescent="0.15"/>
    <row r="1795" ht="15" customHeight="1" x14ac:dyDescent="0.15"/>
    <row r="1796" ht="15" customHeight="1" x14ac:dyDescent="0.15"/>
    <row r="1797" ht="15" customHeight="1" x14ac:dyDescent="0.15"/>
    <row r="1798" ht="15" customHeight="1" x14ac:dyDescent="0.15"/>
    <row r="1799" ht="15" customHeight="1" x14ac:dyDescent="0.15"/>
    <row r="1800" ht="15" customHeight="1" x14ac:dyDescent="0.15"/>
    <row r="1801" ht="15" customHeight="1" x14ac:dyDescent="0.15"/>
    <row r="1802" ht="15" customHeight="1" x14ac:dyDescent="0.15"/>
    <row r="1803" ht="15" customHeight="1" x14ac:dyDescent="0.15"/>
    <row r="1804" ht="15" customHeight="1" x14ac:dyDescent="0.15"/>
    <row r="1805" ht="15" customHeight="1" x14ac:dyDescent="0.15"/>
    <row r="1806" ht="15" customHeight="1" x14ac:dyDescent="0.15"/>
    <row r="1807" ht="15" customHeight="1" x14ac:dyDescent="0.15"/>
    <row r="1808" ht="15" customHeight="1" x14ac:dyDescent="0.15"/>
    <row r="1809" ht="15" customHeight="1" x14ac:dyDescent="0.15"/>
    <row r="1810" ht="15" customHeight="1" x14ac:dyDescent="0.15"/>
    <row r="1811" ht="15" customHeight="1" x14ac:dyDescent="0.15"/>
    <row r="1812" ht="15" customHeight="1" x14ac:dyDescent="0.15"/>
    <row r="1813" ht="15" customHeight="1" x14ac:dyDescent="0.15"/>
    <row r="1814" ht="15" customHeight="1" x14ac:dyDescent="0.15"/>
    <row r="1815" ht="15" customHeight="1" x14ac:dyDescent="0.15"/>
    <row r="1816" ht="15" customHeight="1" x14ac:dyDescent="0.15"/>
    <row r="1817" ht="15" customHeight="1" x14ac:dyDescent="0.15"/>
    <row r="1818" ht="15" customHeight="1" x14ac:dyDescent="0.15"/>
    <row r="1819" ht="15" customHeight="1" x14ac:dyDescent="0.15"/>
    <row r="1820" ht="15" customHeight="1" x14ac:dyDescent="0.15"/>
    <row r="1821" ht="15" customHeight="1" x14ac:dyDescent="0.15"/>
    <row r="1822" ht="15" customHeight="1" x14ac:dyDescent="0.15"/>
    <row r="1823" ht="15" customHeight="1" x14ac:dyDescent="0.15"/>
    <row r="1824" ht="15" customHeight="1" x14ac:dyDescent="0.15"/>
    <row r="1825" ht="15" customHeight="1" x14ac:dyDescent="0.15"/>
    <row r="1826" ht="15" customHeight="1" x14ac:dyDescent="0.15"/>
    <row r="1827" ht="15" customHeight="1" x14ac:dyDescent="0.15"/>
    <row r="1828" ht="15" customHeight="1" x14ac:dyDescent="0.15"/>
    <row r="1829" ht="15" customHeight="1" x14ac:dyDescent="0.15"/>
    <row r="1830" ht="15" customHeight="1" x14ac:dyDescent="0.15"/>
    <row r="1831" ht="15" customHeight="1" x14ac:dyDescent="0.15"/>
    <row r="1832" ht="15" customHeight="1" x14ac:dyDescent="0.15"/>
    <row r="1833" ht="15" customHeight="1" x14ac:dyDescent="0.15"/>
    <row r="1834" ht="15" customHeight="1" x14ac:dyDescent="0.15"/>
    <row r="1835" ht="15" customHeight="1" x14ac:dyDescent="0.15"/>
    <row r="1836" ht="15" customHeight="1" x14ac:dyDescent="0.15"/>
    <row r="1837" ht="15" customHeight="1" x14ac:dyDescent="0.15"/>
    <row r="1838" ht="15" customHeight="1" x14ac:dyDescent="0.15"/>
    <row r="1839" ht="15" customHeight="1" x14ac:dyDescent="0.15"/>
    <row r="1840" ht="15" customHeight="1" x14ac:dyDescent="0.15"/>
    <row r="1841" ht="15" customHeight="1" x14ac:dyDescent="0.15"/>
    <row r="1842" ht="15" customHeight="1" x14ac:dyDescent="0.15"/>
    <row r="1843" ht="15" customHeight="1" x14ac:dyDescent="0.15"/>
    <row r="1844" ht="15" customHeight="1" x14ac:dyDescent="0.15"/>
    <row r="1845" ht="15" customHeight="1" x14ac:dyDescent="0.15"/>
    <row r="1846" ht="15" customHeight="1" x14ac:dyDescent="0.15"/>
    <row r="1847" ht="15" customHeight="1" x14ac:dyDescent="0.15"/>
    <row r="1848" ht="15" customHeight="1" x14ac:dyDescent="0.15"/>
    <row r="1849" ht="15" customHeight="1" x14ac:dyDescent="0.15"/>
    <row r="1850" ht="15" customHeight="1" x14ac:dyDescent="0.15"/>
    <row r="1851" ht="15" customHeight="1" x14ac:dyDescent="0.15"/>
    <row r="1852" ht="15" customHeight="1" x14ac:dyDescent="0.15"/>
    <row r="1853" ht="15" customHeight="1" x14ac:dyDescent="0.15"/>
    <row r="1854" ht="15" customHeight="1" x14ac:dyDescent="0.15"/>
    <row r="1855" ht="15" customHeight="1" x14ac:dyDescent="0.15"/>
    <row r="1856" ht="15" customHeight="1" x14ac:dyDescent="0.15"/>
    <row r="1857" ht="15" customHeight="1" x14ac:dyDescent="0.15"/>
    <row r="1858" ht="15" customHeight="1" x14ac:dyDescent="0.15"/>
    <row r="1859" ht="15" customHeight="1" x14ac:dyDescent="0.15"/>
    <row r="1860" ht="15" customHeight="1" x14ac:dyDescent="0.15"/>
    <row r="1861" ht="15" customHeight="1" x14ac:dyDescent="0.15"/>
    <row r="1862" ht="15" customHeight="1" x14ac:dyDescent="0.15"/>
    <row r="1863" ht="15" customHeight="1" x14ac:dyDescent="0.15"/>
    <row r="1864" ht="15" customHeight="1" x14ac:dyDescent="0.15"/>
    <row r="1865" ht="15" customHeight="1" x14ac:dyDescent="0.15"/>
    <row r="1866" ht="15" customHeight="1" x14ac:dyDescent="0.15"/>
    <row r="1867" ht="15" customHeight="1" x14ac:dyDescent="0.15"/>
    <row r="1868" ht="15" customHeight="1" x14ac:dyDescent="0.15"/>
    <row r="1869" ht="15" customHeight="1" x14ac:dyDescent="0.15"/>
    <row r="1870" ht="15" customHeight="1" x14ac:dyDescent="0.15"/>
    <row r="1871" ht="15" customHeight="1" x14ac:dyDescent="0.15"/>
    <row r="1872" ht="15" customHeight="1" x14ac:dyDescent="0.15"/>
    <row r="1873" ht="15" customHeight="1" x14ac:dyDescent="0.15"/>
    <row r="1874" ht="15" customHeight="1" x14ac:dyDescent="0.15"/>
    <row r="1875" ht="15" customHeight="1" x14ac:dyDescent="0.15"/>
    <row r="1876" ht="15" customHeight="1" x14ac:dyDescent="0.15"/>
    <row r="1877" ht="15" customHeight="1" x14ac:dyDescent="0.15"/>
    <row r="1878" ht="15" customHeight="1" x14ac:dyDescent="0.15"/>
    <row r="1879" ht="15" customHeight="1" x14ac:dyDescent="0.15"/>
    <row r="1880" ht="15" customHeight="1" x14ac:dyDescent="0.15"/>
    <row r="1881" ht="15" customHeight="1" x14ac:dyDescent="0.15"/>
    <row r="1882" ht="15" customHeight="1" x14ac:dyDescent="0.15"/>
    <row r="1883" ht="15" customHeight="1" x14ac:dyDescent="0.15"/>
    <row r="1884" ht="15" customHeight="1" x14ac:dyDescent="0.15"/>
    <row r="1885" ht="15" customHeight="1" x14ac:dyDescent="0.15"/>
    <row r="1886" ht="15" customHeight="1" x14ac:dyDescent="0.15"/>
    <row r="1887" ht="15" customHeight="1" x14ac:dyDescent="0.15"/>
    <row r="1888" ht="15" customHeight="1" x14ac:dyDescent="0.15"/>
    <row r="1889" ht="15" customHeight="1" x14ac:dyDescent="0.15"/>
    <row r="1890" ht="15" customHeight="1" x14ac:dyDescent="0.15"/>
    <row r="1891" ht="15" customHeight="1" x14ac:dyDescent="0.15"/>
    <row r="1892" ht="15" customHeight="1" x14ac:dyDescent="0.15"/>
    <row r="1893" ht="15" customHeight="1" x14ac:dyDescent="0.15"/>
    <row r="1894" ht="15" customHeight="1" x14ac:dyDescent="0.15"/>
    <row r="1895" ht="15" customHeight="1" x14ac:dyDescent="0.15"/>
    <row r="1896" ht="15" customHeight="1" x14ac:dyDescent="0.15"/>
    <row r="1897" ht="15" customHeight="1" x14ac:dyDescent="0.15"/>
    <row r="1898" ht="15" customHeight="1" x14ac:dyDescent="0.15"/>
    <row r="1899" ht="15" customHeight="1" x14ac:dyDescent="0.15"/>
    <row r="1900" ht="15" customHeight="1" x14ac:dyDescent="0.15"/>
    <row r="1901" ht="15" customHeight="1" x14ac:dyDescent="0.15"/>
    <row r="1902" ht="15" customHeight="1" x14ac:dyDescent="0.15"/>
    <row r="1903" ht="15" customHeight="1" x14ac:dyDescent="0.15"/>
    <row r="1904" ht="15" customHeight="1" x14ac:dyDescent="0.15"/>
    <row r="1905" ht="15" customHeight="1" x14ac:dyDescent="0.15"/>
    <row r="1906" ht="15" customHeight="1" x14ac:dyDescent="0.15"/>
    <row r="1907" ht="15" customHeight="1" x14ac:dyDescent="0.15"/>
    <row r="1908" ht="15" customHeight="1" x14ac:dyDescent="0.15"/>
    <row r="1909" ht="15" customHeight="1" x14ac:dyDescent="0.15"/>
    <row r="1910" ht="15" customHeight="1" x14ac:dyDescent="0.15"/>
    <row r="1911" ht="15" customHeight="1" x14ac:dyDescent="0.15"/>
    <row r="1912" ht="15" customHeight="1" x14ac:dyDescent="0.15"/>
    <row r="1913" ht="15" customHeight="1" x14ac:dyDescent="0.15"/>
    <row r="1914" ht="15" customHeight="1" x14ac:dyDescent="0.15"/>
    <row r="1915" ht="15" customHeight="1" x14ac:dyDescent="0.15"/>
    <row r="1916" ht="15" customHeight="1" x14ac:dyDescent="0.15"/>
    <row r="1917" ht="15" customHeight="1" x14ac:dyDescent="0.15"/>
    <row r="1918" ht="15" customHeight="1" x14ac:dyDescent="0.15"/>
    <row r="1919" ht="15" customHeight="1" x14ac:dyDescent="0.15"/>
    <row r="1920" ht="15" customHeight="1" x14ac:dyDescent="0.15"/>
    <row r="1921" ht="15" customHeight="1" x14ac:dyDescent="0.15"/>
    <row r="1922" ht="15" customHeight="1" x14ac:dyDescent="0.15"/>
    <row r="1923" ht="15" customHeight="1" x14ac:dyDescent="0.15"/>
    <row r="1924" ht="15" customHeight="1" x14ac:dyDescent="0.15"/>
    <row r="1925" ht="15" customHeight="1" x14ac:dyDescent="0.15"/>
    <row r="1926" ht="15" customHeight="1" x14ac:dyDescent="0.15"/>
    <row r="1927" ht="15" customHeight="1" x14ac:dyDescent="0.15"/>
    <row r="1928" ht="15" customHeight="1" x14ac:dyDescent="0.15"/>
    <row r="1929" ht="15" customHeight="1" x14ac:dyDescent="0.15"/>
    <row r="1930" ht="15" customHeight="1" x14ac:dyDescent="0.15"/>
    <row r="1931" ht="15" customHeight="1" x14ac:dyDescent="0.15"/>
    <row r="1932" ht="15" customHeight="1" x14ac:dyDescent="0.15"/>
    <row r="1933" ht="15" customHeight="1" x14ac:dyDescent="0.15"/>
    <row r="1934" ht="15" customHeight="1" x14ac:dyDescent="0.15"/>
    <row r="1935" ht="15" customHeight="1" x14ac:dyDescent="0.15"/>
    <row r="1936" ht="15" customHeight="1" x14ac:dyDescent="0.15"/>
    <row r="1937" ht="15" customHeight="1" x14ac:dyDescent="0.15"/>
    <row r="1938" ht="15" customHeight="1" x14ac:dyDescent="0.15"/>
    <row r="1939" ht="15" customHeight="1" x14ac:dyDescent="0.15"/>
    <row r="1940" ht="15" customHeight="1" x14ac:dyDescent="0.15"/>
    <row r="1941" ht="15" customHeight="1" x14ac:dyDescent="0.15"/>
    <row r="1942" ht="15" customHeight="1" x14ac:dyDescent="0.15"/>
    <row r="1943" ht="15" customHeight="1" x14ac:dyDescent="0.15"/>
    <row r="1944" ht="15" customHeight="1" x14ac:dyDescent="0.15"/>
    <row r="1945" ht="15" customHeight="1" x14ac:dyDescent="0.15"/>
    <row r="1946" ht="15" customHeight="1" x14ac:dyDescent="0.15"/>
    <row r="1947" ht="15" customHeight="1" x14ac:dyDescent="0.15"/>
    <row r="1948" ht="15" customHeight="1" x14ac:dyDescent="0.15"/>
    <row r="1949" ht="15" customHeight="1" x14ac:dyDescent="0.15"/>
    <row r="1950" ht="15" customHeight="1" x14ac:dyDescent="0.15"/>
    <row r="1951" ht="15" customHeight="1" x14ac:dyDescent="0.15"/>
    <row r="1952" ht="15" customHeight="1" x14ac:dyDescent="0.15"/>
    <row r="1953" ht="15" customHeight="1" x14ac:dyDescent="0.15"/>
    <row r="1954" ht="15" customHeight="1" x14ac:dyDescent="0.15"/>
    <row r="1955" ht="15" customHeight="1" x14ac:dyDescent="0.15"/>
    <row r="1956" ht="15" customHeight="1" x14ac:dyDescent="0.15"/>
    <row r="1957" ht="15" customHeight="1" x14ac:dyDescent="0.15"/>
    <row r="1958" ht="15" customHeight="1" x14ac:dyDescent="0.15"/>
    <row r="1959" ht="15" customHeight="1" x14ac:dyDescent="0.15"/>
    <row r="1960" ht="15" customHeight="1" x14ac:dyDescent="0.15"/>
    <row r="1961" ht="15" customHeight="1" x14ac:dyDescent="0.15"/>
    <row r="1962" ht="15" customHeight="1" x14ac:dyDescent="0.15"/>
    <row r="1963" ht="15" customHeight="1" x14ac:dyDescent="0.15"/>
    <row r="1964" ht="15" customHeight="1" x14ac:dyDescent="0.15"/>
    <row r="1965" ht="15" customHeight="1" x14ac:dyDescent="0.15"/>
    <row r="1966" ht="15" customHeight="1" x14ac:dyDescent="0.15"/>
    <row r="1967" ht="15" customHeight="1" x14ac:dyDescent="0.15"/>
    <row r="1968" ht="15" customHeight="1" x14ac:dyDescent="0.15"/>
    <row r="1969" ht="15" customHeight="1" x14ac:dyDescent="0.15"/>
    <row r="1970" ht="15" customHeight="1" x14ac:dyDescent="0.15"/>
    <row r="1971" ht="15" customHeight="1" x14ac:dyDescent="0.15"/>
    <row r="1972" ht="15" customHeight="1" x14ac:dyDescent="0.15"/>
    <row r="1973" ht="15" customHeight="1" x14ac:dyDescent="0.15"/>
    <row r="1974" ht="15" customHeight="1" x14ac:dyDescent="0.15"/>
    <row r="1975" ht="15" customHeight="1" x14ac:dyDescent="0.15"/>
    <row r="1976" ht="15" customHeight="1" x14ac:dyDescent="0.15"/>
    <row r="1977" ht="15" customHeight="1" x14ac:dyDescent="0.15"/>
    <row r="1978" ht="15" customHeight="1" x14ac:dyDescent="0.15"/>
    <row r="1979" ht="15" customHeight="1" x14ac:dyDescent="0.15"/>
    <row r="1980" ht="15" customHeight="1" x14ac:dyDescent="0.15"/>
    <row r="1981" ht="15" customHeight="1" x14ac:dyDescent="0.15"/>
    <row r="1982" ht="15" customHeight="1" x14ac:dyDescent="0.15"/>
    <row r="1983" ht="15" customHeight="1" x14ac:dyDescent="0.15"/>
    <row r="1984" ht="15" customHeight="1" x14ac:dyDescent="0.15"/>
    <row r="1985" ht="15" customHeight="1" x14ac:dyDescent="0.15"/>
    <row r="1986" ht="15" customHeight="1" x14ac:dyDescent="0.15"/>
    <row r="1987" ht="15" customHeight="1" x14ac:dyDescent="0.15"/>
    <row r="1988" ht="15" customHeight="1" x14ac:dyDescent="0.15"/>
    <row r="1989" ht="15" customHeight="1" x14ac:dyDescent="0.15"/>
    <row r="1990" ht="15" customHeight="1" x14ac:dyDescent="0.15"/>
    <row r="1991" ht="15" customHeight="1" x14ac:dyDescent="0.15"/>
    <row r="1992" ht="15" customHeight="1" x14ac:dyDescent="0.15"/>
    <row r="1993" ht="15" customHeight="1" x14ac:dyDescent="0.15"/>
    <row r="1994" ht="15" customHeight="1" x14ac:dyDescent="0.15"/>
    <row r="1995" ht="15" customHeight="1" x14ac:dyDescent="0.15"/>
    <row r="1996" ht="15" customHeight="1" x14ac:dyDescent="0.15"/>
    <row r="1997" ht="15" customHeight="1" x14ac:dyDescent="0.15"/>
    <row r="1998" ht="15" customHeight="1" x14ac:dyDescent="0.15"/>
    <row r="1999" ht="15" customHeight="1" x14ac:dyDescent="0.15"/>
    <row r="2000" ht="15" customHeight="1" x14ac:dyDescent="0.15"/>
    <row r="2001" ht="15" customHeight="1" x14ac:dyDescent="0.15"/>
    <row r="2002" ht="15" customHeight="1" x14ac:dyDescent="0.15"/>
    <row r="2003" ht="15" customHeight="1" x14ac:dyDescent="0.15"/>
    <row r="2004" ht="15" customHeight="1" x14ac:dyDescent="0.15"/>
    <row r="2005" ht="15" customHeight="1" x14ac:dyDescent="0.15"/>
    <row r="2006" ht="15" customHeight="1" x14ac:dyDescent="0.15"/>
    <row r="2007" ht="15" customHeight="1" x14ac:dyDescent="0.15"/>
    <row r="2008" ht="15" customHeight="1" x14ac:dyDescent="0.15"/>
    <row r="2009" ht="15" customHeight="1" x14ac:dyDescent="0.15"/>
    <row r="2010" ht="15" customHeight="1" x14ac:dyDescent="0.15"/>
    <row r="2011" ht="15" customHeight="1" x14ac:dyDescent="0.15"/>
    <row r="2012" ht="15" customHeight="1" x14ac:dyDescent="0.15"/>
    <row r="2013" ht="15" customHeight="1" x14ac:dyDescent="0.15"/>
    <row r="2014" ht="15" customHeight="1" x14ac:dyDescent="0.15"/>
    <row r="2015" ht="15" customHeight="1" x14ac:dyDescent="0.15"/>
    <row r="2016" ht="15" customHeight="1" x14ac:dyDescent="0.15"/>
    <row r="2017" ht="15" customHeight="1" x14ac:dyDescent="0.15"/>
    <row r="2018" ht="15" customHeight="1" x14ac:dyDescent="0.15"/>
    <row r="2019" ht="15" customHeight="1" x14ac:dyDescent="0.15"/>
    <row r="2020" ht="15" customHeight="1" x14ac:dyDescent="0.15"/>
    <row r="2021" ht="15" customHeight="1" x14ac:dyDescent="0.15"/>
    <row r="2022" ht="15" customHeight="1" x14ac:dyDescent="0.15"/>
    <row r="2023" ht="15" customHeight="1" x14ac:dyDescent="0.15"/>
    <row r="2024" ht="15" customHeight="1" x14ac:dyDescent="0.15"/>
    <row r="2025" ht="15" customHeight="1" x14ac:dyDescent="0.15"/>
    <row r="2026" ht="15" customHeight="1" x14ac:dyDescent="0.15"/>
    <row r="2027" ht="15" customHeight="1" x14ac:dyDescent="0.15"/>
    <row r="2028" ht="15" customHeight="1" x14ac:dyDescent="0.15"/>
    <row r="2029" ht="15" customHeight="1" x14ac:dyDescent="0.15"/>
    <row r="2030" ht="15" customHeight="1" x14ac:dyDescent="0.15"/>
    <row r="2031" ht="15" customHeight="1" x14ac:dyDescent="0.15"/>
    <row r="2032" ht="15" customHeight="1" x14ac:dyDescent="0.15"/>
    <row r="2033" ht="15" customHeight="1" x14ac:dyDescent="0.15"/>
    <row r="2034" ht="15" customHeight="1" x14ac:dyDescent="0.15"/>
    <row r="2035" ht="15" customHeight="1" x14ac:dyDescent="0.15"/>
    <row r="2036" ht="15" customHeight="1" x14ac:dyDescent="0.15"/>
    <row r="2037" ht="15" customHeight="1" x14ac:dyDescent="0.15"/>
    <row r="2038" ht="15" customHeight="1" x14ac:dyDescent="0.15"/>
    <row r="2039" ht="15" customHeight="1" x14ac:dyDescent="0.15"/>
    <row r="2040" ht="15" customHeight="1" x14ac:dyDescent="0.15"/>
    <row r="2041" ht="15" customHeight="1" x14ac:dyDescent="0.15"/>
    <row r="2042" ht="15" customHeight="1" x14ac:dyDescent="0.15"/>
    <row r="2043" ht="15" customHeight="1" x14ac:dyDescent="0.15"/>
    <row r="2044" ht="15" customHeight="1" x14ac:dyDescent="0.15"/>
    <row r="2045" ht="15" customHeight="1" x14ac:dyDescent="0.15"/>
    <row r="2046" ht="15" customHeight="1" x14ac:dyDescent="0.15"/>
    <row r="2047" ht="15" customHeight="1" x14ac:dyDescent="0.15"/>
    <row r="2048" ht="15" customHeight="1" x14ac:dyDescent="0.15"/>
    <row r="2049" ht="15" customHeight="1" x14ac:dyDescent="0.15"/>
    <row r="2050" ht="15" customHeight="1" x14ac:dyDescent="0.15"/>
    <row r="2051" ht="15" customHeight="1" x14ac:dyDescent="0.15"/>
    <row r="2052" ht="15" customHeight="1" x14ac:dyDescent="0.15"/>
    <row r="2053" ht="15" customHeight="1" x14ac:dyDescent="0.15"/>
    <row r="2054" ht="15" customHeight="1" x14ac:dyDescent="0.15"/>
    <row r="2055" ht="15" customHeight="1" x14ac:dyDescent="0.15"/>
    <row r="2056" ht="15" customHeight="1" x14ac:dyDescent="0.15"/>
    <row r="2057" ht="15" customHeight="1" x14ac:dyDescent="0.15"/>
    <row r="2058" ht="15" customHeight="1" x14ac:dyDescent="0.15"/>
    <row r="2059" ht="15" customHeight="1" x14ac:dyDescent="0.15"/>
    <row r="2060" ht="15" customHeight="1" x14ac:dyDescent="0.15"/>
    <row r="2061" ht="15" customHeight="1" x14ac:dyDescent="0.15"/>
    <row r="2062" ht="15" customHeight="1" x14ac:dyDescent="0.15"/>
    <row r="2063" ht="15" customHeight="1" x14ac:dyDescent="0.15"/>
    <row r="2064" ht="15" customHeight="1" x14ac:dyDescent="0.15"/>
    <row r="2065" ht="15" customHeight="1" x14ac:dyDescent="0.15"/>
    <row r="2066" ht="15" customHeight="1" x14ac:dyDescent="0.15"/>
    <row r="2067" ht="15" customHeight="1" x14ac:dyDescent="0.15"/>
    <row r="2068" ht="15" customHeight="1" x14ac:dyDescent="0.15"/>
    <row r="2069" ht="15" customHeight="1" x14ac:dyDescent="0.15"/>
    <row r="2070" ht="15" customHeight="1" x14ac:dyDescent="0.15"/>
    <row r="2071" ht="15" customHeight="1" x14ac:dyDescent="0.15"/>
    <row r="2072" ht="15" customHeight="1" x14ac:dyDescent="0.15"/>
    <row r="2073" ht="15" customHeight="1" x14ac:dyDescent="0.15"/>
    <row r="2074" ht="15" customHeight="1" x14ac:dyDescent="0.15"/>
    <row r="2075" ht="15" customHeight="1" x14ac:dyDescent="0.15"/>
    <row r="2076" ht="15" customHeight="1" x14ac:dyDescent="0.15"/>
    <row r="2077" ht="15" customHeight="1" x14ac:dyDescent="0.15"/>
    <row r="2078" ht="15" customHeight="1" x14ac:dyDescent="0.15"/>
    <row r="2079" ht="15" customHeight="1" x14ac:dyDescent="0.15"/>
    <row r="2080" ht="15" customHeight="1" x14ac:dyDescent="0.15"/>
    <row r="2081" ht="15" customHeight="1" x14ac:dyDescent="0.15"/>
    <row r="2082" ht="15" customHeight="1" x14ac:dyDescent="0.15"/>
    <row r="2083" ht="15" customHeight="1" x14ac:dyDescent="0.15"/>
    <row r="2084" ht="15" customHeight="1" x14ac:dyDescent="0.15"/>
    <row r="2085" ht="15" customHeight="1" x14ac:dyDescent="0.15"/>
    <row r="2086" ht="15" customHeight="1" x14ac:dyDescent="0.15"/>
    <row r="2087" ht="15" customHeight="1" x14ac:dyDescent="0.15"/>
    <row r="2088" ht="15" customHeight="1" x14ac:dyDescent="0.15"/>
    <row r="2089" ht="15" customHeight="1" x14ac:dyDescent="0.15"/>
    <row r="2090" ht="15" customHeight="1" x14ac:dyDescent="0.15"/>
    <row r="2091" ht="15" customHeight="1" x14ac:dyDescent="0.15"/>
    <row r="2092" ht="15" customHeight="1" x14ac:dyDescent="0.15"/>
    <row r="2093" ht="15" customHeight="1" x14ac:dyDescent="0.15"/>
    <row r="2094" ht="15" customHeight="1" x14ac:dyDescent="0.15"/>
    <row r="2095" ht="15" customHeight="1" x14ac:dyDescent="0.15"/>
    <row r="2096" ht="15" customHeight="1" x14ac:dyDescent="0.15"/>
    <row r="2097" ht="15" customHeight="1" x14ac:dyDescent="0.15"/>
    <row r="2098" ht="15" customHeight="1" x14ac:dyDescent="0.15"/>
    <row r="2099" ht="15" customHeight="1" x14ac:dyDescent="0.15"/>
    <row r="2100" ht="15" customHeight="1" x14ac:dyDescent="0.15"/>
    <row r="2101" ht="15" customHeight="1" x14ac:dyDescent="0.15"/>
    <row r="2102" ht="15" customHeight="1" x14ac:dyDescent="0.15"/>
    <row r="2103" ht="15" customHeight="1" x14ac:dyDescent="0.15"/>
    <row r="2104" ht="15" customHeight="1" x14ac:dyDescent="0.15"/>
    <row r="2105" ht="15" customHeight="1" x14ac:dyDescent="0.15"/>
    <row r="2106" ht="15" customHeight="1" x14ac:dyDescent="0.15"/>
    <row r="2107" ht="15" customHeight="1" x14ac:dyDescent="0.15"/>
    <row r="2108" ht="15" customHeight="1" x14ac:dyDescent="0.15"/>
    <row r="2109" ht="15" customHeight="1" x14ac:dyDescent="0.15"/>
    <row r="2110" ht="15" customHeight="1" x14ac:dyDescent="0.15"/>
    <row r="2111" ht="15" customHeight="1" x14ac:dyDescent="0.15"/>
    <row r="2112" ht="15" customHeight="1" x14ac:dyDescent="0.15"/>
    <row r="2113" ht="15" customHeight="1" x14ac:dyDescent="0.15"/>
    <row r="2114" ht="15" customHeight="1" x14ac:dyDescent="0.15"/>
    <row r="2115" ht="15" customHeight="1" x14ac:dyDescent="0.15"/>
    <row r="2116" ht="15" customHeight="1" x14ac:dyDescent="0.15"/>
    <row r="2117" ht="15" customHeight="1" x14ac:dyDescent="0.15"/>
    <row r="2118" ht="15" customHeight="1" x14ac:dyDescent="0.15"/>
    <row r="2119" ht="15" customHeight="1" x14ac:dyDescent="0.15"/>
    <row r="2120" ht="15" customHeight="1" x14ac:dyDescent="0.15"/>
    <row r="2121" ht="15" customHeight="1" x14ac:dyDescent="0.15"/>
    <row r="2122" ht="15" customHeight="1" x14ac:dyDescent="0.15"/>
    <row r="2123" ht="15" customHeight="1" x14ac:dyDescent="0.15"/>
    <row r="2124" ht="15" customHeight="1" x14ac:dyDescent="0.15"/>
    <row r="2125" ht="15" customHeight="1" x14ac:dyDescent="0.15"/>
    <row r="2126" ht="15" customHeight="1" x14ac:dyDescent="0.15"/>
    <row r="2127" ht="15" customHeight="1" x14ac:dyDescent="0.15"/>
    <row r="2128" ht="15" customHeight="1" x14ac:dyDescent="0.15"/>
    <row r="2129" ht="15" customHeight="1" x14ac:dyDescent="0.15"/>
    <row r="2130" ht="15" customHeight="1" x14ac:dyDescent="0.15"/>
    <row r="2131" ht="15" customHeight="1" x14ac:dyDescent="0.15"/>
    <row r="2132" ht="15" customHeight="1" x14ac:dyDescent="0.15"/>
    <row r="2133" ht="15" customHeight="1" x14ac:dyDescent="0.15"/>
    <row r="2134" ht="15" customHeight="1" x14ac:dyDescent="0.15"/>
    <row r="2135" ht="15" customHeight="1" x14ac:dyDescent="0.15"/>
    <row r="2136" ht="15" customHeight="1" x14ac:dyDescent="0.15"/>
    <row r="2137" ht="15" customHeight="1" x14ac:dyDescent="0.15"/>
    <row r="2138" ht="15" customHeight="1" x14ac:dyDescent="0.15"/>
    <row r="2139" ht="15" customHeight="1" x14ac:dyDescent="0.15"/>
    <row r="2140" ht="15" customHeight="1" x14ac:dyDescent="0.15"/>
    <row r="2141" ht="15" customHeight="1" x14ac:dyDescent="0.15"/>
    <row r="2142" ht="15" customHeight="1" x14ac:dyDescent="0.15"/>
    <row r="2143" ht="15" customHeight="1" x14ac:dyDescent="0.15"/>
    <row r="2144" ht="15" customHeight="1" x14ac:dyDescent="0.15"/>
    <row r="2145" ht="15" customHeight="1" x14ac:dyDescent="0.15"/>
    <row r="2146" ht="15" customHeight="1" x14ac:dyDescent="0.15"/>
    <row r="2147" ht="15" customHeight="1" x14ac:dyDescent="0.15"/>
    <row r="2148" ht="15" customHeight="1" x14ac:dyDescent="0.15"/>
    <row r="2149" ht="15" customHeight="1" x14ac:dyDescent="0.15"/>
    <row r="2150" ht="15" customHeight="1" x14ac:dyDescent="0.15"/>
    <row r="2151" ht="15" customHeight="1" x14ac:dyDescent="0.15"/>
    <row r="2152" ht="15" customHeight="1" x14ac:dyDescent="0.15"/>
    <row r="2153" ht="15" customHeight="1" x14ac:dyDescent="0.15"/>
    <row r="2154" ht="15" customHeight="1" x14ac:dyDescent="0.15"/>
    <row r="2155" ht="15" customHeight="1" x14ac:dyDescent="0.15"/>
    <row r="2156" ht="15" customHeight="1" x14ac:dyDescent="0.15"/>
    <row r="2157" ht="15" customHeight="1" x14ac:dyDescent="0.15"/>
    <row r="2158" ht="15" customHeight="1" x14ac:dyDescent="0.15"/>
    <row r="2159" ht="15" customHeight="1" x14ac:dyDescent="0.15"/>
    <row r="2160" ht="15" customHeight="1" x14ac:dyDescent="0.15"/>
    <row r="2161" ht="15" customHeight="1" x14ac:dyDescent="0.15"/>
    <row r="2162" ht="15" customHeight="1" x14ac:dyDescent="0.15"/>
    <row r="2163" ht="15" customHeight="1" x14ac:dyDescent="0.15"/>
    <row r="2164" ht="15" customHeight="1" x14ac:dyDescent="0.15"/>
    <row r="2165" ht="15" customHeight="1" x14ac:dyDescent="0.15"/>
    <row r="2166" ht="15" customHeight="1" x14ac:dyDescent="0.15"/>
    <row r="2167" ht="15" customHeight="1" x14ac:dyDescent="0.15"/>
    <row r="2168" ht="15" customHeight="1" x14ac:dyDescent="0.15"/>
    <row r="2169" ht="15" customHeight="1" x14ac:dyDescent="0.15"/>
    <row r="2170" ht="15" customHeight="1" x14ac:dyDescent="0.15"/>
    <row r="2171" ht="15" customHeight="1" x14ac:dyDescent="0.15"/>
    <row r="2172" ht="15" customHeight="1" x14ac:dyDescent="0.15"/>
    <row r="2173" ht="15" customHeight="1" x14ac:dyDescent="0.15"/>
    <row r="2174" ht="15" customHeight="1" x14ac:dyDescent="0.15"/>
    <row r="2175" ht="15" customHeight="1" x14ac:dyDescent="0.15"/>
    <row r="2176" ht="15" customHeight="1" x14ac:dyDescent="0.15"/>
    <row r="2177" ht="15" customHeight="1" x14ac:dyDescent="0.15"/>
    <row r="2178" ht="15" customHeight="1" x14ac:dyDescent="0.15"/>
    <row r="2179" ht="15" customHeight="1" x14ac:dyDescent="0.15"/>
    <row r="2180" ht="15" customHeight="1" x14ac:dyDescent="0.15"/>
    <row r="2181" ht="15" customHeight="1" x14ac:dyDescent="0.15"/>
    <row r="2182" ht="15" customHeight="1" x14ac:dyDescent="0.15"/>
    <row r="2183" ht="15" customHeight="1" x14ac:dyDescent="0.15"/>
    <row r="2184" ht="15" customHeight="1" x14ac:dyDescent="0.15"/>
    <row r="2185" ht="15" customHeight="1" x14ac:dyDescent="0.15"/>
    <row r="2186" ht="15" customHeight="1" x14ac:dyDescent="0.15"/>
    <row r="2187" ht="15" customHeight="1" x14ac:dyDescent="0.15"/>
    <row r="2188" ht="15" customHeight="1" x14ac:dyDescent="0.15"/>
    <row r="2189" ht="15" customHeight="1" x14ac:dyDescent="0.15"/>
    <row r="2190" ht="15" customHeight="1" x14ac:dyDescent="0.15"/>
    <row r="2191" ht="15" customHeight="1" x14ac:dyDescent="0.15"/>
    <row r="2192" ht="15" customHeight="1" x14ac:dyDescent="0.15"/>
    <row r="2193" ht="15" customHeight="1" x14ac:dyDescent="0.15"/>
    <row r="2194" ht="15" customHeight="1" x14ac:dyDescent="0.15"/>
    <row r="2195" ht="15" customHeight="1" x14ac:dyDescent="0.15"/>
    <row r="2196" ht="15" customHeight="1" x14ac:dyDescent="0.15"/>
    <row r="2197" ht="15" customHeight="1" x14ac:dyDescent="0.15"/>
    <row r="2198" ht="15" customHeight="1" x14ac:dyDescent="0.15"/>
    <row r="2199" ht="15" customHeight="1" x14ac:dyDescent="0.15"/>
    <row r="2200" ht="15" customHeight="1" x14ac:dyDescent="0.15"/>
    <row r="2201" ht="15" customHeight="1" x14ac:dyDescent="0.15"/>
    <row r="2202" ht="15" customHeight="1" x14ac:dyDescent="0.15"/>
    <row r="2203" ht="15" customHeight="1" x14ac:dyDescent="0.15"/>
    <row r="2204" ht="15" customHeight="1" x14ac:dyDescent="0.15"/>
    <row r="2205" ht="15" customHeight="1" x14ac:dyDescent="0.15"/>
    <row r="2206" ht="15" customHeight="1" x14ac:dyDescent="0.15"/>
    <row r="2207" ht="15" customHeight="1" x14ac:dyDescent="0.15"/>
    <row r="2208" ht="15" customHeight="1" x14ac:dyDescent="0.15"/>
    <row r="2209" ht="15" customHeight="1" x14ac:dyDescent="0.15"/>
    <row r="2210" ht="15" customHeight="1" x14ac:dyDescent="0.15"/>
    <row r="2211" ht="15" customHeight="1" x14ac:dyDescent="0.15"/>
    <row r="2212" ht="15" customHeight="1" x14ac:dyDescent="0.15"/>
    <row r="2213" ht="15" customHeight="1" x14ac:dyDescent="0.15"/>
    <row r="2214" ht="15" customHeight="1" x14ac:dyDescent="0.15"/>
    <row r="2215" ht="15" customHeight="1" x14ac:dyDescent="0.15"/>
    <row r="2216" ht="15" customHeight="1" x14ac:dyDescent="0.15"/>
    <row r="2217" ht="15" customHeight="1" x14ac:dyDescent="0.15"/>
    <row r="2218" ht="15" customHeight="1" x14ac:dyDescent="0.15"/>
    <row r="2219" ht="15" customHeight="1" x14ac:dyDescent="0.15"/>
    <row r="2220" ht="15" customHeight="1" x14ac:dyDescent="0.15"/>
    <row r="2221" ht="15" customHeight="1" x14ac:dyDescent="0.15"/>
    <row r="2222" ht="15" customHeight="1" x14ac:dyDescent="0.15"/>
    <row r="2223" ht="15" customHeight="1" x14ac:dyDescent="0.15"/>
    <row r="2224" ht="15" customHeight="1" x14ac:dyDescent="0.15"/>
    <row r="2225" ht="15" customHeight="1" x14ac:dyDescent="0.15"/>
    <row r="2226" ht="15" customHeight="1" x14ac:dyDescent="0.15"/>
    <row r="2227" ht="15" customHeight="1" x14ac:dyDescent="0.15"/>
    <row r="2228" ht="15" customHeight="1" x14ac:dyDescent="0.15"/>
    <row r="2229" ht="15" customHeight="1" x14ac:dyDescent="0.15"/>
    <row r="2230" ht="15" customHeight="1" x14ac:dyDescent="0.15"/>
    <row r="2231" ht="15" customHeight="1" x14ac:dyDescent="0.15"/>
    <row r="2232" ht="15" customHeight="1" x14ac:dyDescent="0.15"/>
    <row r="2233" ht="15" customHeight="1" x14ac:dyDescent="0.15"/>
    <row r="2234" ht="15" customHeight="1" x14ac:dyDescent="0.15"/>
    <row r="2235" ht="15" customHeight="1" x14ac:dyDescent="0.15"/>
    <row r="2236" ht="15" customHeight="1" x14ac:dyDescent="0.15"/>
    <row r="2237" ht="15" customHeight="1" x14ac:dyDescent="0.15"/>
    <row r="2238" ht="15" customHeight="1" x14ac:dyDescent="0.15"/>
    <row r="2239" ht="15" customHeight="1" x14ac:dyDescent="0.15"/>
    <row r="2240" ht="15" customHeight="1" x14ac:dyDescent="0.15"/>
    <row r="2241" ht="15" customHeight="1" x14ac:dyDescent="0.15"/>
    <row r="2242" ht="15" customHeight="1" x14ac:dyDescent="0.15"/>
    <row r="2243" ht="15" customHeight="1" x14ac:dyDescent="0.15"/>
    <row r="2244" ht="15" customHeight="1" x14ac:dyDescent="0.15"/>
    <row r="2245" ht="15" customHeight="1" x14ac:dyDescent="0.15"/>
    <row r="2246" ht="15" customHeight="1" x14ac:dyDescent="0.15"/>
    <row r="2247" ht="15" customHeight="1" x14ac:dyDescent="0.15"/>
    <row r="2248" ht="15" customHeight="1" x14ac:dyDescent="0.15"/>
    <row r="2249" ht="15" customHeight="1" x14ac:dyDescent="0.15"/>
    <row r="2250" ht="15" customHeight="1" x14ac:dyDescent="0.15"/>
    <row r="2251" ht="15" customHeight="1" x14ac:dyDescent="0.15"/>
    <row r="2252" ht="15" customHeight="1" x14ac:dyDescent="0.15"/>
    <row r="2253" ht="15" customHeight="1" x14ac:dyDescent="0.15"/>
    <row r="2254" ht="15" customHeight="1" x14ac:dyDescent="0.15"/>
    <row r="2255" ht="15" customHeight="1" x14ac:dyDescent="0.15"/>
    <row r="2256" ht="15" customHeight="1" x14ac:dyDescent="0.15"/>
    <row r="2257" ht="15" customHeight="1" x14ac:dyDescent="0.15"/>
    <row r="2258" ht="15" customHeight="1" x14ac:dyDescent="0.15"/>
    <row r="2259" ht="15" customHeight="1" x14ac:dyDescent="0.15"/>
    <row r="2260" ht="15" customHeight="1" x14ac:dyDescent="0.15"/>
    <row r="2261" ht="15" customHeight="1" x14ac:dyDescent="0.15"/>
    <row r="2262" ht="15" customHeight="1" x14ac:dyDescent="0.15"/>
    <row r="2263" ht="15" customHeight="1" x14ac:dyDescent="0.15"/>
    <row r="2264" ht="15" customHeight="1" x14ac:dyDescent="0.15"/>
    <row r="2265" ht="15" customHeight="1" x14ac:dyDescent="0.15"/>
    <row r="2266" ht="15" customHeight="1" x14ac:dyDescent="0.15"/>
    <row r="2267" ht="15" customHeight="1" x14ac:dyDescent="0.15"/>
    <row r="2268" ht="15" customHeight="1" x14ac:dyDescent="0.15"/>
    <row r="2269" ht="15" customHeight="1" x14ac:dyDescent="0.15"/>
    <row r="2270" ht="15" customHeight="1" x14ac:dyDescent="0.15"/>
    <row r="2271" ht="15" customHeight="1" x14ac:dyDescent="0.15"/>
    <row r="2272" ht="15" customHeight="1" x14ac:dyDescent="0.15"/>
    <row r="2273" ht="15" customHeight="1" x14ac:dyDescent="0.15"/>
    <row r="2274" ht="15" customHeight="1" x14ac:dyDescent="0.15"/>
    <row r="2275" ht="15" customHeight="1" x14ac:dyDescent="0.15"/>
    <row r="2276" ht="15" customHeight="1" x14ac:dyDescent="0.15"/>
    <row r="2277" ht="15" customHeight="1" x14ac:dyDescent="0.15"/>
    <row r="2278" ht="15" customHeight="1" x14ac:dyDescent="0.15"/>
    <row r="2279" ht="15" customHeight="1" x14ac:dyDescent="0.15"/>
    <row r="2280" ht="15" customHeight="1" x14ac:dyDescent="0.15"/>
    <row r="2281" ht="15" customHeight="1" x14ac:dyDescent="0.15"/>
    <row r="2282" ht="15" customHeight="1" x14ac:dyDescent="0.15"/>
    <row r="2283" ht="15" customHeight="1" x14ac:dyDescent="0.15"/>
    <row r="2284" ht="15" customHeight="1" x14ac:dyDescent="0.15"/>
    <row r="2285" ht="15" customHeight="1" x14ac:dyDescent="0.15"/>
    <row r="2286" ht="15" customHeight="1" x14ac:dyDescent="0.15"/>
    <row r="2287" ht="15" customHeight="1" x14ac:dyDescent="0.15"/>
    <row r="2288" ht="15" customHeight="1" x14ac:dyDescent="0.15"/>
    <row r="2289" ht="15" customHeight="1" x14ac:dyDescent="0.15"/>
    <row r="2290" ht="15" customHeight="1" x14ac:dyDescent="0.15"/>
    <row r="2291" ht="15" customHeight="1" x14ac:dyDescent="0.15"/>
    <row r="2292" ht="15" customHeight="1" x14ac:dyDescent="0.15"/>
    <row r="2293" ht="15" customHeight="1" x14ac:dyDescent="0.15"/>
    <row r="2294" ht="15" customHeight="1" x14ac:dyDescent="0.15"/>
    <row r="2295" ht="15" customHeight="1" x14ac:dyDescent="0.15"/>
    <row r="2296" ht="15" customHeight="1" x14ac:dyDescent="0.15"/>
    <row r="2297" ht="15" customHeight="1" x14ac:dyDescent="0.15"/>
    <row r="2298" ht="15" customHeight="1" x14ac:dyDescent="0.15"/>
    <row r="2299" ht="15" customHeight="1" x14ac:dyDescent="0.15"/>
    <row r="2300" ht="15" customHeight="1" x14ac:dyDescent="0.15"/>
    <row r="2301" ht="15" customHeight="1" x14ac:dyDescent="0.15"/>
    <row r="2302" ht="15" customHeight="1" x14ac:dyDescent="0.15"/>
    <row r="2303" ht="15" customHeight="1" x14ac:dyDescent="0.15"/>
    <row r="2304" ht="15" customHeight="1" x14ac:dyDescent="0.15"/>
    <row r="2305" ht="15" customHeight="1" x14ac:dyDescent="0.15"/>
    <row r="2306" ht="15" customHeight="1" x14ac:dyDescent="0.15"/>
    <row r="2307" ht="15" customHeight="1" x14ac:dyDescent="0.15"/>
    <row r="2308" ht="15" customHeight="1" x14ac:dyDescent="0.15"/>
    <row r="2309" ht="15" customHeight="1" x14ac:dyDescent="0.15"/>
    <row r="2310" ht="15" customHeight="1" x14ac:dyDescent="0.15"/>
    <row r="2311" ht="15" customHeight="1" x14ac:dyDescent="0.15"/>
    <row r="2312" ht="15" customHeight="1" x14ac:dyDescent="0.15"/>
    <row r="2313" ht="15" customHeight="1" x14ac:dyDescent="0.15"/>
    <row r="2314" ht="15" customHeight="1" x14ac:dyDescent="0.15"/>
    <row r="2315" ht="15" customHeight="1" x14ac:dyDescent="0.15"/>
    <row r="2316" ht="15" customHeight="1" x14ac:dyDescent="0.15"/>
    <row r="2317" ht="15" customHeight="1" x14ac:dyDescent="0.15"/>
    <row r="2318" ht="15" customHeight="1" x14ac:dyDescent="0.15"/>
    <row r="2319" ht="15" customHeight="1" x14ac:dyDescent="0.15"/>
    <row r="2320" ht="15" customHeight="1" x14ac:dyDescent="0.15"/>
    <row r="2321" ht="15" customHeight="1" x14ac:dyDescent="0.15"/>
    <row r="2322" ht="15" customHeight="1" x14ac:dyDescent="0.15"/>
    <row r="2323" ht="15" customHeight="1" x14ac:dyDescent="0.15"/>
    <row r="2324" ht="15" customHeight="1" x14ac:dyDescent="0.15"/>
    <row r="2325" ht="15" customHeight="1" x14ac:dyDescent="0.15"/>
    <row r="2326" ht="15" customHeight="1" x14ac:dyDescent="0.15"/>
    <row r="2327" ht="15" customHeight="1" x14ac:dyDescent="0.15"/>
    <row r="2328" ht="15" customHeight="1" x14ac:dyDescent="0.15"/>
    <row r="2329" ht="15" customHeight="1" x14ac:dyDescent="0.15"/>
    <row r="2330" ht="15" customHeight="1" x14ac:dyDescent="0.15"/>
    <row r="2331" ht="15" customHeight="1" x14ac:dyDescent="0.15"/>
    <row r="2332" ht="15" customHeight="1" x14ac:dyDescent="0.15"/>
    <row r="2333" ht="15" customHeight="1" x14ac:dyDescent="0.15"/>
    <row r="2334" ht="15" customHeight="1" x14ac:dyDescent="0.15"/>
    <row r="2335" ht="15" customHeight="1" x14ac:dyDescent="0.15"/>
    <row r="2336" ht="15" customHeight="1" x14ac:dyDescent="0.15"/>
    <row r="2337" ht="15" customHeight="1" x14ac:dyDescent="0.15"/>
    <row r="2338" ht="15" customHeight="1" x14ac:dyDescent="0.15"/>
    <row r="2339" ht="15" customHeight="1" x14ac:dyDescent="0.15"/>
    <row r="2340" ht="15" customHeight="1" x14ac:dyDescent="0.15"/>
    <row r="2341" ht="15" customHeight="1" x14ac:dyDescent="0.15"/>
    <row r="2342" ht="15" customHeight="1" x14ac:dyDescent="0.15"/>
    <row r="2343" ht="15" customHeight="1" x14ac:dyDescent="0.15"/>
    <row r="2344" ht="15" customHeight="1" x14ac:dyDescent="0.15"/>
    <row r="2345" ht="15" customHeight="1" x14ac:dyDescent="0.15"/>
    <row r="2346" ht="15" customHeight="1" x14ac:dyDescent="0.15"/>
    <row r="2347" ht="15" customHeight="1" x14ac:dyDescent="0.15"/>
    <row r="2348" ht="15" customHeight="1" x14ac:dyDescent="0.15"/>
    <row r="2349" ht="15" customHeight="1" x14ac:dyDescent="0.15"/>
    <row r="2350" ht="15" customHeight="1" x14ac:dyDescent="0.15"/>
    <row r="2351" ht="15" customHeight="1" x14ac:dyDescent="0.15"/>
    <row r="2352" ht="15" customHeight="1" x14ac:dyDescent="0.15"/>
    <row r="2353" ht="15" customHeight="1" x14ac:dyDescent="0.15"/>
    <row r="2354" ht="15" customHeight="1" x14ac:dyDescent="0.15"/>
    <row r="2355" ht="15" customHeight="1" x14ac:dyDescent="0.15"/>
    <row r="2356" ht="15" customHeight="1" x14ac:dyDescent="0.15"/>
    <row r="2357" ht="15" customHeight="1" x14ac:dyDescent="0.15"/>
    <row r="2358" ht="15" customHeight="1" x14ac:dyDescent="0.15"/>
    <row r="2359" ht="15" customHeight="1" x14ac:dyDescent="0.15"/>
    <row r="2360" ht="15" customHeight="1" x14ac:dyDescent="0.15"/>
    <row r="2361" ht="15" customHeight="1" x14ac:dyDescent="0.15"/>
    <row r="2362" ht="15" customHeight="1" x14ac:dyDescent="0.15"/>
    <row r="2363" ht="15" customHeight="1" x14ac:dyDescent="0.15"/>
    <row r="2364" ht="15" customHeight="1" x14ac:dyDescent="0.15"/>
    <row r="2365" ht="15" customHeight="1" x14ac:dyDescent="0.15"/>
    <row r="2366" ht="15" customHeight="1" x14ac:dyDescent="0.15"/>
    <row r="2367" ht="15" customHeight="1" x14ac:dyDescent="0.15"/>
    <row r="2368" ht="15" customHeight="1" x14ac:dyDescent="0.15"/>
    <row r="2369" ht="15" customHeight="1" x14ac:dyDescent="0.15"/>
    <row r="2370" ht="15" customHeight="1" x14ac:dyDescent="0.15"/>
    <row r="2371" ht="15" customHeight="1" x14ac:dyDescent="0.15"/>
    <row r="2372" ht="15" customHeight="1" x14ac:dyDescent="0.15"/>
    <row r="2373" ht="15" customHeight="1" x14ac:dyDescent="0.15"/>
    <row r="2374" ht="15" customHeight="1" x14ac:dyDescent="0.15"/>
    <row r="2375" ht="15" customHeight="1" x14ac:dyDescent="0.15"/>
    <row r="2376" ht="15" customHeight="1" x14ac:dyDescent="0.15"/>
    <row r="2377" ht="15" customHeight="1" x14ac:dyDescent="0.15"/>
    <row r="2378" ht="15" customHeight="1" x14ac:dyDescent="0.15"/>
    <row r="2379" ht="15" customHeight="1" x14ac:dyDescent="0.15"/>
    <row r="2380" ht="15" customHeight="1" x14ac:dyDescent="0.15"/>
    <row r="2381" ht="15" customHeight="1" x14ac:dyDescent="0.15"/>
    <row r="2382" ht="15" customHeight="1" x14ac:dyDescent="0.15"/>
    <row r="2383" ht="15" customHeight="1" x14ac:dyDescent="0.15"/>
    <row r="2384" ht="15" customHeight="1" x14ac:dyDescent="0.15"/>
    <row r="2385" ht="15" customHeight="1" x14ac:dyDescent="0.15"/>
    <row r="2386" ht="15" customHeight="1" x14ac:dyDescent="0.15"/>
    <row r="2387" ht="15" customHeight="1" x14ac:dyDescent="0.15"/>
    <row r="2388" ht="15" customHeight="1" x14ac:dyDescent="0.15"/>
    <row r="2389" ht="15" customHeight="1" x14ac:dyDescent="0.15"/>
    <row r="2390" ht="15" customHeight="1" x14ac:dyDescent="0.15"/>
    <row r="2391" ht="15" customHeight="1" x14ac:dyDescent="0.15"/>
    <row r="2392" ht="15" customHeight="1" x14ac:dyDescent="0.15"/>
    <row r="2393" ht="15" customHeight="1" x14ac:dyDescent="0.15"/>
    <row r="2394" ht="15" customHeight="1" x14ac:dyDescent="0.15"/>
    <row r="2395" ht="15" customHeight="1" x14ac:dyDescent="0.15"/>
    <row r="2396" ht="15" customHeight="1" x14ac:dyDescent="0.15"/>
    <row r="2397" ht="15" customHeight="1" x14ac:dyDescent="0.15"/>
    <row r="2398" ht="15" customHeight="1" x14ac:dyDescent="0.15"/>
    <row r="2399" ht="15" customHeight="1" x14ac:dyDescent="0.15"/>
    <row r="2400" ht="15" customHeight="1" x14ac:dyDescent="0.15"/>
    <row r="2401" ht="15" customHeight="1" x14ac:dyDescent="0.15"/>
    <row r="2402" ht="15" customHeight="1" x14ac:dyDescent="0.15"/>
    <row r="2403" ht="15" customHeight="1" x14ac:dyDescent="0.15"/>
    <row r="2404" ht="15" customHeight="1" x14ac:dyDescent="0.15"/>
    <row r="2405" ht="15" customHeight="1" x14ac:dyDescent="0.15"/>
    <row r="2406" ht="15" customHeight="1" x14ac:dyDescent="0.15"/>
    <row r="2407" ht="15" customHeight="1" x14ac:dyDescent="0.15"/>
    <row r="2408" ht="15" customHeight="1" x14ac:dyDescent="0.15"/>
    <row r="2409" ht="15" customHeight="1" x14ac:dyDescent="0.15"/>
    <row r="2410" ht="15" customHeight="1" x14ac:dyDescent="0.15"/>
    <row r="2411" ht="15" customHeight="1" x14ac:dyDescent="0.15"/>
    <row r="2412" ht="15" customHeight="1" x14ac:dyDescent="0.15"/>
    <row r="2413" ht="15" customHeight="1" x14ac:dyDescent="0.15"/>
    <row r="2414" ht="15" customHeight="1" x14ac:dyDescent="0.15"/>
    <row r="2415" ht="15" customHeight="1" x14ac:dyDescent="0.15"/>
    <row r="2416" ht="15" customHeight="1" x14ac:dyDescent="0.15"/>
    <row r="2417" ht="15" customHeight="1" x14ac:dyDescent="0.15"/>
    <row r="2418" ht="15" customHeight="1" x14ac:dyDescent="0.15"/>
    <row r="2419" ht="15" customHeight="1" x14ac:dyDescent="0.15"/>
    <row r="2420" ht="15" customHeight="1" x14ac:dyDescent="0.15"/>
    <row r="2421" ht="15" customHeight="1" x14ac:dyDescent="0.15"/>
    <row r="2422" ht="15" customHeight="1" x14ac:dyDescent="0.15"/>
    <row r="2423" ht="15" customHeight="1" x14ac:dyDescent="0.15"/>
    <row r="2424" ht="15" customHeight="1" x14ac:dyDescent="0.15"/>
    <row r="2425" ht="15" customHeight="1" x14ac:dyDescent="0.15"/>
    <row r="2426" ht="15" customHeight="1" x14ac:dyDescent="0.15"/>
    <row r="2427" ht="15" customHeight="1" x14ac:dyDescent="0.15"/>
    <row r="2428" ht="15" customHeight="1" x14ac:dyDescent="0.15"/>
    <row r="2429" ht="15" customHeight="1" x14ac:dyDescent="0.15"/>
    <row r="2430" ht="15" customHeight="1" x14ac:dyDescent="0.15"/>
    <row r="2431" ht="15" customHeight="1" x14ac:dyDescent="0.15"/>
    <row r="2432" ht="15" customHeight="1" x14ac:dyDescent="0.15"/>
    <row r="2433" ht="15" customHeight="1" x14ac:dyDescent="0.15"/>
    <row r="2434" ht="15" customHeight="1" x14ac:dyDescent="0.15"/>
    <row r="2435" ht="15" customHeight="1" x14ac:dyDescent="0.15"/>
    <row r="2436" ht="15" customHeight="1" x14ac:dyDescent="0.15"/>
    <row r="2437" ht="15" customHeight="1" x14ac:dyDescent="0.15"/>
    <row r="2438" ht="15" customHeight="1" x14ac:dyDescent="0.15"/>
    <row r="2439" ht="15" customHeight="1" x14ac:dyDescent="0.15"/>
    <row r="2440" ht="15" customHeight="1" x14ac:dyDescent="0.15"/>
    <row r="2441" ht="15" customHeight="1" x14ac:dyDescent="0.15"/>
    <row r="2442" ht="15" customHeight="1" x14ac:dyDescent="0.15"/>
    <row r="2443" ht="15" customHeight="1" x14ac:dyDescent="0.15"/>
    <row r="2444" ht="15" customHeight="1" x14ac:dyDescent="0.15"/>
    <row r="2445" ht="15" customHeight="1" x14ac:dyDescent="0.15"/>
    <row r="2446" ht="15" customHeight="1" x14ac:dyDescent="0.15"/>
    <row r="2447" ht="15" customHeight="1" x14ac:dyDescent="0.15"/>
    <row r="2448" ht="15" customHeight="1" x14ac:dyDescent="0.15"/>
    <row r="2449" ht="15" customHeight="1" x14ac:dyDescent="0.15"/>
    <row r="2450" ht="15" customHeight="1" x14ac:dyDescent="0.15"/>
    <row r="2451" ht="15" customHeight="1" x14ac:dyDescent="0.15"/>
    <row r="2452" ht="15" customHeight="1" x14ac:dyDescent="0.15"/>
    <row r="2453" ht="15" customHeight="1" x14ac:dyDescent="0.15"/>
    <row r="2454" ht="15" customHeight="1" x14ac:dyDescent="0.15"/>
    <row r="2455" ht="15" customHeight="1" x14ac:dyDescent="0.15"/>
    <row r="2456" ht="15" customHeight="1" x14ac:dyDescent="0.15"/>
    <row r="2457" ht="15" customHeight="1" x14ac:dyDescent="0.15"/>
    <row r="2458" ht="15" customHeight="1" x14ac:dyDescent="0.15"/>
    <row r="2459" ht="15" customHeight="1" x14ac:dyDescent="0.15"/>
    <row r="2460" ht="15" customHeight="1" x14ac:dyDescent="0.15"/>
    <row r="2461" ht="15" customHeight="1" x14ac:dyDescent="0.15"/>
    <row r="2462" ht="15" customHeight="1" x14ac:dyDescent="0.15"/>
    <row r="2463" ht="15" customHeight="1" x14ac:dyDescent="0.15"/>
    <row r="2464" ht="15" customHeight="1" x14ac:dyDescent="0.15"/>
    <row r="2465" ht="15" customHeight="1" x14ac:dyDescent="0.15"/>
    <row r="2466" ht="15" customHeight="1" x14ac:dyDescent="0.15"/>
    <row r="2467" ht="15" customHeight="1" x14ac:dyDescent="0.15"/>
    <row r="2468" ht="15" customHeight="1" x14ac:dyDescent="0.15"/>
    <row r="2469" ht="15" customHeight="1" x14ac:dyDescent="0.15"/>
    <row r="2470" ht="15" customHeight="1" x14ac:dyDescent="0.15"/>
    <row r="2471" ht="15" customHeight="1" x14ac:dyDescent="0.15"/>
    <row r="2472" ht="15" customHeight="1" x14ac:dyDescent="0.15"/>
    <row r="2473" ht="15" customHeight="1" x14ac:dyDescent="0.15"/>
    <row r="2474" ht="15" customHeight="1" x14ac:dyDescent="0.15"/>
    <row r="2475" ht="15" customHeight="1" x14ac:dyDescent="0.15"/>
    <row r="2476" ht="15" customHeight="1" x14ac:dyDescent="0.15"/>
    <row r="2477" ht="15" customHeight="1" x14ac:dyDescent="0.15"/>
    <row r="2478" ht="15" customHeight="1" x14ac:dyDescent="0.15"/>
    <row r="2479" ht="15" customHeight="1" x14ac:dyDescent="0.15"/>
    <row r="2480" ht="15" customHeight="1" x14ac:dyDescent="0.15"/>
    <row r="2481" ht="15" customHeight="1" x14ac:dyDescent="0.15"/>
    <row r="2482" ht="15" customHeight="1" x14ac:dyDescent="0.15"/>
    <row r="2483" ht="15" customHeight="1" x14ac:dyDescent="0.15"/>
    <row r="2484" ht="15" customHeight="1" x14ac:dyDescent="0.15"/>
    <row r="2485" ht="15" customHeight="1" x14ac:dyDescent="0.15"/>
    <row r="2486" ht="15" customHeight="1" x14ac:dyDescent="0.15"/>
    <row r="2487" ht="15" customHeight="1" x14ac:dyDescent="0.15"/>
    <row r="2488" ht="15" customHeight="1" x14ac:dyDescent="0.15"/>
    <row r="2489" ht="15" customHeight="1" x14ac:dyDescent="0.15"/>
    <row r="2490" ht="15" customHeight="1" x14ac:dyDescent="0.15"/>
    <row r="2491" ht="15" customHeight="1" x14ac:dyDescent="0.15"/>
    <row r="2492" ht="15" customHeight="1" x14ac:dyDescent="0.15"/>
    <row r="2493" ht="15" customHeight="1" x14ac:dyDescent="0.15"/>
    <row r="2494" ht="15" customHeight="1" x14ac:dyDescent="0.15"/>
    <row r="2495" ht="15" customHeight="1" x14ac:dyDescent="0.15"/>
    <row r="2496" ht="15" customHeight="1" x14ac:dyDescent="0.15"/>
    <row r="2497" ht="15" customHeight="1" x14ac:dyDescent="0.15"/>
    <row r="2498" ht="15" customHeight="1" x14ac:dyDescent="0.15"/>
    <row r="2499" ht="15" customHeight="1" x14ac:dyDescent="0.15"/>
    <row r="2500" ht="15" customHeight="1" x14ac:dyDescent="0.15"/>
    <row r="2501" ht="15" customHeight="1" x14ac:dyDescent="0.15"/>
    <row r="2502" ht="15" customHeight="1" x14ac:dyDescent="0.15"/>
    <row r="2503" ht="15" customHeight="1" x14ac:dyDescent="0.15"/>
    <row r="2504" ht="15" customHeight="1" x14ac:dyDescent="0.15"/>
    <row r="2505" ht="15" customHeight="1" x14ac:dyDescent="0.15"/>
    <row r="2506" ht="15" customHeight="1" x14ac:dyDescent="0.15"/>
    <row r="2507" ht="15" customHeight="1" x14ac:dyDescent="0.15"/>
    <row r="2508" ht="15" customHeight="1" x14ac:dyDescent="0.15"/>
    <row r="2509" ht="15" customHeight="1" x14ac:dyDescent="0.15"/>
    <row r="2510" ht="15" customHeight="1" x14ac:dyDescent="0.15"/>
    <row r="2511" ht="15" customHeight="1" x14ac:dyDescent="0.15"/>
    <row r="2512" ht="15" customHeight="1" x14ac:dyDescent="0.15"/>
    <row r="2513" ht="15" customHeight="1" x14ac:dyDescent="0.15"/>
    <row r="2514" ht="15" customHeight="1" x14ac:dyDescent="0.15"/>
    <row r="2515" ht="15" customHeight="1" x14ac:dyDescent="0.15"/>
    <row r="2516" ht="15" customHeight="1" x14ac:dyDescent="0.15"/>
    <row r="2517" ht="15" customHeight="1" x14ac:dyDescent="0.15"/>
    <row r="2518" ht="15" customHeight="1" x14ac:dyDescent="0.15"/>
    <row r="2519" ht="15" customHeight="1" x14ac:dyDescent="0.15"/>
    <row r="2520" ht="15" customHeight="1" x14ac:dyDescent="0.15"/>
    <row r="2521" ht="15" customHeight="1" x14ac:dyDescent="0.15"/>
    <row r="2522" ht="15" customHeight="1" x14ac:dyDescent="0.15"/>
    <row r="2523" ht="15" customHeight="1" x14ac:dyDescent="0.15"/>
    <row r="2524" ht="15" customHeight="1" x14ac:dyDescent="0.15"/>
    <row r="2525" ht="15" customHeight="1" x14ac:dyDescent="0.15"/>
    <row r="2526" ht="15" customHeight="1" x14ac:dyDescent="0.15"/>
    <row r="2527" ht="15" customHeight="1" x14ac:dyDescent="0.15"/>
    <row r="2528" ht="15" customHeight="1" x14ac:dyDescent="0.15"/>
    <row r="2529" ht="15" customHeight="1" x14ac:dyDescent="0.15"/>
    <row r="2530" ht="15" customHeight="1" x14ac:dyDescent="0.15"/>
    <row r="2531" ht="15" customHeight="1" x14ac:dyDescent="0.15"/>
    <row r="2532" ht="15" customHeight="1" x14ac:dyDescent="0.15"/>
    <row r="2533" ht="15" customHeight="1" x14ac:dyDescent="0.15"/>
    <row r="2534" ht="15" customHeight="1" x14ac:dyDescent="0.15"/>
    <row r="2535" ht="15" customHeight="1" x14ac:dyDescent="0.15"/>
    <row r="2536" ht="15" customHeight="1" x14ac:dyDescent="0.15"/>
    <row r="2537" ht="15" customHeight="1" x14ac:dyDescent="0.15"/>
    <row r="2538" ht="15" customHeight="1" x14ac:dyDescent="0.15"/>
    <row r="2539" ht="15" customHeight="1" x14ac:dyDescent="0.15"/>
    <row r="2540" ht="15" customHeight="1" x14ac:dyDescent="0.15"/>
    <row r="2541" ht="15" customHeight="1" x14ac:dyDescent="0.15"/>
    <row r="2542" ht="15" customHeight="1" x14ac:dyDescent="0.15"/>
    <row r="2543" ht="15" customHeight="1" x14ac:dyDescent="0.15"/>
    <row r="2544" ht="15" customHeight="1" x14ac:dyDescent="0.15"/>
    <row r="2545" ht="15" customHeight="1" x14ac:dyDescent="0.15"/>
    <row r="2546" ht="15" customHeight="1" x14ac:dyDescent="0.15"/>
    <row r="2547" ht="15" customHeight="1" x14ac:dyDescent="0.15"/>
    <row r="2548" ht="15" customHeight="1" x14ac:dyDescent="0.15"/>
    <row r="2549" ht="15" customHeight="1" x14ac:dyDescent="0.15"/>
    <row r="2550" ht="15" customHeight="1" x14ac:dyDescent="0.15"/>
    <row r="2551" ht="15" customHeight="1" x14ac:dyDescent="0.15"/>
    <row r="2552" ht="15" customHeight="1" x14ac:dyDescent="0.15"/>
    <row r="2553" ht="15" customHeight="1" x14ac:dyDescent="0.15"/>
    <row r="2554" ht="15" customHeight="1" x14ac:dyDescent="0.15"/>
    <row r="2555" ht="15" customHeight="1" x14ac:dyDescent="0.15"/>
    <row r="2556" ht="15" customHeight="1" x14ac:dyDescent="0.15"/>
    <row r="2557" ht="15" customHeight="1" x14ac:dyDescent="0.15"/>
    <row r="2558" ht="15" customHeight="1" x14ac:dyDescent="0.15"/>
    <row r="2559" ht="15" customHeight="1" x14ac:dyDescent="0.15"/>
    <row r="2560" ht="15" customHeight="1" x14ac:dyDescent="0.15"/>
    <row r="2561" ht="15" customHeight="1" x14ac:dyDescent="0.15"/>
    <row r="2562" ht="15" customHeight="1" x14ac:dyDescent="0.15"/>
    <row r="2563" ht="15" customHeight="1" x14ac:dyDescent="0.15"/>
    <row r="2564" ht="15" customHeight="1" x14ac:dyDescent="0.15"/>
    <row r="2565" ht="15" customHeight="1" x14ac:dyDescent="0.15"/>
    <row r="2566" ht="15" customHeight="1" x14ac:dyDescent="0.15"/>
    <row r="2567" ht="15" customHeight="1" x14ac:dyDescent="0.15"/>
    <row r="2568" ht="15" customHeight="1" x14ac:dyDescent="0.15"/>
    <row r="2569" ht="15" customHeight="1" x14ac:dyDescent="0.15"/>
    <row r="2570" ht="15" customHeight="1" x14ac:dyDescent="0.15"/>
    <row r="2571" ht="15" customHeight="1" x14ac:dyDescent="0.15"/>
    <row r="2572" ht="15" customHeight="1" x14ac:dyDescent="0.15"/>
    <row r="2573" ht="15" customHeight="1" x14ac:dyDescent="0.15"/>
    <row r="2574" ht="15" customHeight="1" x14ac:dyDescent="0.15"/>
    <row r="2575" ht="15" customHeight="1" x14ac:dyDescent="0.15"/>
    <row r="2576" ht="15" customHeight="1" x14ac:dyDescent="0.15"/>
    <row r="2577" ht="15" customHeight="1" x14ac:dyDescent="0.15"/>
    <row r="2578" ht="15" customHeight="1" x14ac:dyDescent="0.15"/>
    <row r="2579" ht="15" customHeight="1" x14ac:dyDescent="0.15"/>
    <row r="2580" ht="15" customHeight="1" x14ac:dyDescent="0.15"/>
    <row r="2581" ht="15" customHeight="1" x14ac:dyDescent="0.15"/>
    <row r="2582" ht="15" customHeight="1" x14ac:dyDescent="0.15"/>
    <row r="2583" ht="15" customHeight="1" x14ac:dyDescent="0.15"/>
    <row r="2584" ht="15" customHeight="1" x14ac:dyDescent="0.15"/>
    <row r="2585" ht="15" customHeight="1" x14ac:dyDescent="0.15"/>
    <row r="2586" ht="15" customHeight="1" x14ac:dyDescent="0.15"/>
    <row r="2587" ht="15" customHeight="1" x14ac:dyDescent="0.15"/>
    <row r="2588" ht="15" customHeight="1" x14ac:dyDescent="0.15"/>
    <row r="2589" ht="15" customHeight="1" x14ac:dyDescent="0.15"/>
    <row r="2590" ht="15" customHeight="1" x14ac:dyDescent="0.15"/>
    <row r="2591" ht="15" customHeight="1" x14ac:dyDescent="0.15"/>
    <row r="2592" ht="15" customHeight="1" x14ac:dyDescent="0.15"/>
    <row r="2593" ht="15" customHeight="1" x14ac:dyDescent="0.15"/>
    <row r="2594" ht="15" customHeight="1" x14ac:dyDescent="0.15"/>
    <row r="2595" ht="15" customHeight="1" x14ac:dyDescent="0.15"/>
    <row r="2596" ht="15" customHeight="1" x14ac:dyDescent="0.15"/>
    <row r="2597" ht="15" customHeight="1" x14ac:dyDescent="0.15"/>
    <row r="2598" ht="15" customHeight="1" x14ac:dyDescent="0.15"/>
    <row r="2599" ht="15" customHeight="1" x14ac:dyDescent="0.15"/>
    <row r="2600" ht="15" customHeight="1" x14ac:dyDescent="0.15"/>
    <row r="2601" ht="15" customHeight="1" x14ac:dyDescent="0.15"/>
    <row r="2602" ht="15" customHeight="1" x14ac:dyDescent="0.15"/>
    <row r="2603" ht="15" customHeight="1" x14ac:dyDescent="0.15"/>
    <row r="2604" ht="15" customHeight="1" x14ac:dyDescent="0.15"/>
    <row r="2605" ht="15" customHeight="1" x14ac:dyDescent="0.15"/>
    <row r="2606" ht="15" customHeight="1" x14ac:dyDescent="0.15"/>
    <row r="2607" ht="15" customHeight="1" x14ac:dyDescent="0.15"/>
    <row r="2608" ht="15" customHeight="1" x14ac:dyDescent="0.15"/>
    <row r="2609" ht="15" customHeight="1" x14ac:dyDescent="0.15"/>
    <row r="2610" ht="15" customHeight="1" x14ac:dyDescent="0.15"/>
    <row r="2611" ht="15" customHeight="1" x14ac:dyDescent="0.15"/>
    <row r="2612" ht="15" customHeight="1" x14ac:dyDescent="0.15"/>
    <row r="2613" ht="15" customHeight="1" x14ac:dyDescent="0.15"/>
    <row r="2614" ht="15" customHeight="1" x14ac:dyDescent="0.15"/>
    <row r="2615" ht="15" customHeight="1" x14ac:dyDescent="0.15"/>
    <row r="2616" ht="15" customHeight="1" x14ac:dyDescent="0.15"/>
    <row r="2617" ht="15" customHeight="1" x14ac:dyDescent="0.15"/>
    <row r="2618" ht="15" customHeight="1" x14ac:dyDescent="0.15"/>
    <row r="2619" ht="15" customHeight="1" x14ac:dyDescent="0.15"/>
    <row r="2620" ht="15" customHeight="1" x14ac:dyDescent="0.15"/>
    <row r="2621" ht="15" customHeight="1" x14ac:dyDescent="0.15"/>
    <row r="2622" ht="15" customHeight="1" x14ac:dyDescent="0.15"/>
    <row r="2623" ht="15" customHeight="1" x14ac:dyDescent="0.15"/>
    <row r="2624" ht="15" customHeight="1" x14ac:dyDescent="0.15"/>
    <row r="2625" ht="15" customHeight="1" x14ac:dyDescent="0.15"/>
    <row r="2626" ht="15" customHeight="1" x14ac:dyDescent="0.15"/>
    <row r="2627" ht="15" customHeight="1" x14ac:dyDescent="0.15"/>
    <row r="2628" ht="15" customHeight="1" x14ac:dyDescent="0.15"/>
    <row r="2629" ht="15" customHeight="1" x14ac:dyDescent="0.15"/>
    <row r="2630" ht="15" customHeight="1" x14ac:dyDescent="0.15"/>
    <row r="2631" ht="15" customHeight="1" x14ac:dyDescent="0.15"/>
    <row r="2632" ht="15" customHeight="1" x14ac:dyDescent="0.15"/>
    <row r="2633" ht="15" customHeight="1" x14ac:dyDescent="0.15"/>
    <row r="2634" ht="15" customHeight="1" x14ac:dyDescent="0.15"/>
    <row r="2635" ht="15" customHeight="1" x14ac:dyDescent="0.15"/>
    <row r="2636" ht="15" customHeight="1" x14ac:dyDescent="0.15"/>
    <row r="2637" ht="15" customHeight="1" x14ac:dyDescent="0.15"/>
    <row r="2638" ht="15" customHeight="1" x14ac:dyDescent="0.15"/>
    <row r="2639" ht="15" customHeight="1" x14ac:dyDescent="0.15"/>
    <row r="2640" ht="15" customHeight="1" x14ac:dyDescent="0.15"/>
    <row r="2641" ht="15" customHeight="1" x14ac:dyDescent="0.15"/>
    <row r="2642" ht="15" customHeight="1" x14ac:dyDescent="0.15"/>
    <row r="2643" ht="15" customHeight="1" x14ac:dyDescent="0.15"/>
    <row r="2644" ht="15" customHeight="1" x14ac:dyDescent="0.15"/>
    <row r="2645" ht="15" customHeight="1" x14ac:dyDescent="0.15"/>
    <row r="2646" ht="15" customHeight="1" x14ac:dyDescent="0.15"/>
    <row r="2647" ht="15" customHeight="1" x14ac:dyDescent="0.15"/>
    <row r="2648" ht="15" customHeight="1" x14ac:dyDescent="0.15"/>
    <row r="2649" ht="15" customHeight="1" x14ac:dyDescent="0.15"/>
    <row r="2650" ht="15" customHeight="1" x14ac:dyDescent="0.15"/>
    <row r="2651" ht="15" customHeight="1" x14ac:dyDescent="0.15"/>
    <row r="2652" ht="15" customHeight="1" x14ac:dyDescent="0.15"/>
    <row r="2653" ht="15" customHeight="1" x14ac:dyDescent="0.15"/>
    <row r="2654" ht="15" customHeight="1" x14ac:dyDescent="0.15"/>
    <row r="2655" ht="15" customHeight="1" x14ac:dyDescent="0.15"/>
    <row r="2656" ht="15" customHeight="1" x14ac:dyDescent="0.15"/>
    <row r="2657" ht="15" customHeight="1" x14ac:dyDescent="0.15"/>
    <row r="2658" ht="15" customHeight="1" x14ac:dyDescent="0.15"/>
    <row r="2659" ht="15" customHeight="1" x14ac:dyDescent="0.15"/>
    <row r="2660" ht="15" customHeight="1" x14ac:dyDescent="0.15"/>
    <row r="2661" ht="15" customHeight="1" x14ac:dyDescent="0.15"/>
    <row r="2662" ht="15" customHeight="1" x14ac:dyDescent="0.15"/>
    <row r="2663" ht="15" customHeight="1" x14ac:dyDescent="0.15"/>
    <row r="2664" ht="15" customHeight="1" x14ac:dyDescent="0.15"/>
    <row r="2665" ht="15" customHeight="1" x14ac:dyDescent="0.15"/>
    <row r="2666" ht="15" customHeight="1" x14ac:dyDescent="0.15"/>
    <row r="2667" ht="15" customHeight="1" x14ac:dyDescent="0.15"/>
    <row r="2668" ht="15" customHeight="1" x14ac:dyDescent="0.15"/>
    <row r="2669" ht="15" customHeight="1" x14ac:dyDescent="0.15"/>
    <row r="2670" ht="15" customHeight="1" x14ac:dyDescent="0.15"/>
    <row r="2671" ht="15" customHeight="1" x14ac:dyDescent="0.15"/>
    <row r="2672" ht="15" customHeight="1" x14ac:dyDescent="0.15"/>
    <row r="2673" ht="15" customHeight="1" x14ac:dyDescent="0.15"/>
    <row r="2674" ht="15" customHeight="1" x14ac:dyDescent="0.15"/>
    <row r="2675" ht="15" customHeight="1" x14ac:dyDescent="0.15"/>
    <row r="2676" ht="15" customHeight="1" x14ac:dyDescent="0.15"/>
    <row r="2677" ht="15" customHeight="1" x14ac:dyDescent="0.15"/>
    <row r="2678" ht="15" customHeight="1" x14ac:dyDescent="0.15"/>
  </sheetData>
  <mergeCells count="39">
    <mergeCell ref="E107:F108"/>
    <mergeCell ref="N107:O108"/>
    <mergeCell ref="I108:I109"/>
    <mergeCell ref="K108:K109"/>
    <mergeCell ref="T108:T109"/>
    <mergeCell ref="N109:O109"/>
    <mergeCell ref="G106:H109"/>
    <mergeCell ref="I106:I107"/>
    <mergeCell ref="J106:J109"/>
    <mergeCell ref="K106:K107"/>
    <mergeCell ref="U106:U109"/>
    <mergeCell ref="S96:Y97"/>
    <mergeCell ref="Q97:R98"/>
    <mergeCell ref="L98:M98"/>
    <mergeCell ref="O98:P98"/>
    <mergeCell ref="L106:L109"/>
    <mergeCell ref="M106:M109"/>
    <mergeCell ref="N106:O106"/>
    <mergeCell ref="P106:P109"/>
    <mergeCell ref="Q106:R109"/>
    <mergeCell ref="S106:S109"/>
    <mergeCell ref="T106:T107"/>
    <mergeCell ref="L95:M95"/>
    <mergeCell ref="O95:P95"/>
    <mergeCell ref="Q95:R96"/>
    <mergeCell ref="J96:K97"/>
    <mergeCell ref="L96:L97"/>
    <mergeCell ref="M96:M97"/>
    <mergeCell ref="N96:N97"/>
    <mergeCell ref="O96:P97"/>
    <mergeCell ref="L89:M89"/>
    <mergeCell ref="N89:O90"/>
    <mergeCell ref="V89:V90"/>
    <mergeCell ref="J90:K91"/>
    <mergeCell ref="L90:M91"/>
    <mergeCell ref="P90:U91"/>
    <mergeCell ref="N91:O92"/>
    <mergeCell ref="V91:V92"/>
    <mergeCell ref="L92:M92"/>
  </mergeCells>
  <phoneticPr fontId="2"/>
  <pageMargins left="0.7" right="0.7" top="0.75" bottom="0.75" header="0.3" footer="0.3"/>
  <pageSetup paperSize="9" orientation="portrait" verticalDpi="300" r:id="rId1"/>
  <headerFooter alignWithMargins="0"/>
  <rowBreaks count="2" manualBreakCount="2">
    <brk id="17" max="30" man="1"/>
    <brk id="73" max="30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21</vt:i4>
      </vt:variant>
    </vt:vector>
  </HeadingPairs>
  <TitlesOfParts>
    <vt:vector size="26" baseType="lpstr">
      <vt:lpstr>安全性（破壊）の照査</vt:lpstr>
      <vt:lpstr>疲労破壊の照査（曲げ)</vt:lpstr>
      <vt:lpstr>疲労破壊の照査（せん断)</vt:lpstr>
      <vt:lpstr>耐久性の照査</vt:lpstr>
      <vt:lpstr>復旧性の照査</vt:lpstr>
      <vt:lpstr>'安全性（破壊）の照査'!Print_Area</vt:lpstr>
      <vt:lpstr>耐久性の照査!Print_Area</vt:lpstr>
      <vt:lpstr>'疲労破壊の照査（せん断)'!Print_Area</vt:lpstr>
      <vt:lpstr>'疲労破壊の照査（曲げ)'!Print_Area</vt:lpstr>
      <vt:lpstr>復旧性の照査!Print_Area</vt:lpstr>
      <vt:lpstr>ρf使用</vt:lpstr>
      <vt:lpstr>'疲労破壊の照査（曲げ)'!ρf破壊</vt:lpstr>
      <vt:lpstr>ρf疲労</vt:lpstr>
      <vt:lpstr>起点側L1</vt:lpstr>
      <vt:lpstr>起点側L2</vt:lpstr>
      <vt:lpstr>起点側スパン</vt:lpstr>
      <vt:lpstr>軸距a1</vt:lpstr>
      <vt:lpstr>軸距a2</vt:lpstr>
      <vt:lpstr>軸重e</vt:lpstr>
      <vt:lpstr>軸重p</vt:lpstr>
      <vt:lpstr>'疲労破壊の照査（曲げ)'!車両長</vt:lpstr>
      <vt:lpstr>終点側L1</vt:lpstr>
      <vt:lpstr>終点側L2</vt:lpstr>
      <vt:lpstr>終点側スパン</vt:lpstr>
      <vt:lpstr>編成数</vt:lpstr>
      <vt:lpstr>列車載荷図</vt:lpstr>
    </vt:vector>
  </TitlesOfParts>
  <Company>東邦エンジニアリング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株式会社</dc:creator>
  <cp:lastModifiedBy>ささこう株式会社</cp:lastModifiedBy>
  <cp:lastPrinted>2022-08-09T04:02:39Z</cp:lastPrinted>
  <dcterms:created xsi:type="dcterms:W3CDTF">2008-08-20T13:08:43Z</dcterms:created>
  <dcterms:modified xsi:type="dcterms:W3CDTF">2022-08-09T04:21:52Z</dcterms:modified>
</cp:coreProperties>
</file>