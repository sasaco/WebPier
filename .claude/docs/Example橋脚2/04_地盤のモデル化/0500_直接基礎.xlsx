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2"/>
  <workbookPr codeName="ThisWorkbook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31e\AC\Temp\"/>
    </mc:Choice>
  </mc:AlternateContent>
  <xr:revisionPtr revIDLastSave="1" documentId="8_{41B7D529-90E6-4862-BCD4-1820C122AE0E}" xr6:coauthVersionLast="47" xr6:coauthVersionMax="47" xr10:uidLastSave="{E819A329-79F9-46F7-93C6-7C438711D650}"/>
  <bookViews>
    <workbookView xWindow="-60" yWindow="-60" windowWidth="15480" windowHeight="11640" tabRatio="818" xr2:uid="{00000000-000D-0000-FFFF-FFFF00000000}"/>
  </bookViews>
  <sheets>
    <sheet name="支持層" sheetId="44" r:id="rId1"/>
  </sheets>
  <definedNames>
    <definedName name="_xlnm._FilterDatabase" localSheetId="0" hidden="1">支持層!$A$1:$A$127</definedName>
    <definedName name="Kr短期">支持層!$U$125</definedName>
    <definedName name="Kr長期">支持層!$U$122</definedName>
    <definedName name="Ks短期">支持層!$V$95</definedName>
    <definedName name="Ks長期">支持層!$V$92</definedName>
    <definedName name="Kv短期">支持層!$V$64</definedName>
    <definedName name="Kv長期">支持層!$V$61</definedName>
    <definedName name="_xlnm.Print_Area" localSheetId="0">支持層!$B$2:$AI$127</definedName>
    <definedName name="基礎幅B">支持層!$U$44</definedName>
    <definedName name="基礎幅L">支持層!$Y$44</definedName>
    <definedName name="地盤の一覧表">支持層!$B$12:$AM$22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R10" i="44" l="1"/>
  <c r="AV9" i="44"/>
  <c r="AV8" i="44"/>
  <c r="AV10" i="44" s="1"/>
  <c r="AY10" i="44" s="1"/>
  <c r="AK35" i="44"/>
  <c r="E12" i="44"/>
  <c r="J47" i="44"/>
  <c r="A12" i="44"/>
  <c r="A13" i="44"/>
  <c r="AJ13" i="44"/>
  <c r="AJ14" i="44"/>
  <c r="AJ15" i="44"/>
  <c r="AJ16" i="44"/>
  <c r="AJ17" i="44"/>
  <c r="AJ18" i="44"/>
  <c r="AJ19" i="44"/>
  <c r="AJ20" i="44"/>
  <c r="AJ21" i="44"/>
  <c r="AJ22" i="44"/>
  <c r="A14" i="44"/>
  <c r="A15" i="44"/>
  <c r="A16" i="44"/>
  <c r="A17" i="44"/>
  <c r="A18" i="44"/>
  <c r="A19" i="44"/>
  <c r="A20" i="44"/>
  <c r="A21" i="44"/>
  <c r="A22" i="44"/>
  <c r="U41" i="44"/>
  <c r="P47" i="44"/>
  <c r="AC44" i="44"/>
  <c r="O61" i="44"/>
  <c r="O64" i="44"/>
  <c r="M47" i="44"/>
  <c r="M50" i="44"/>
  <c r="Q74" i="44"/>
  <c r="J77" i="44"/>
  <c r="J80" i="44"/>
  <c r="I108" i="44"/>
  <c r="M119" i="44"/>
  <c r="M108" i="44"/>
  <c r="I119" i="44"/>
  <c r="S119" i="44" s="1"/>
  <c r="O122" i="44" s="1"/>
  <c r="O125" i="44" s="1"/>
  <c r="J50" i="44"/>
  <c r="Y47" i="44"/>
  <c r="Y50" i="44"/>
  <c r="S108" i="44"/>
  <c r="O111" i="44"/>
  <c r="O114" i="44"/>
  <c r="O92" i="44"/>
  <c r="O95" i="44"/>
  <c r="U43" i="44"/>
  <c r="AC43" i="44"/>
  <c r="U47" i="44"/>
  <c r="U50" i="44"/>
  <c r="P50" i="44"/>
  <c r="AC50" i="44"/>
  <c r="M80" i="44"/>
  <c r="AC47" i="44"/>
  <c r="M77" i="44"/>
  <c r="J61" i="44"/>
  <c r="V61" i="44"/>
  <c r="J64" i="44"/>
  <c r="V64" i="44"/>
  <c r="J111" i="44"/>
  <c r="V77" i="44"/>
  <c r="J92" i="44"/>
  <c r="V92" i="44"/>
  <c r="J114" i="44"/>
  <c r="V80" i="44"/>
  <c r="J95" i="44"/>
  <c r="V95" i="44"/>
  <c r="J125" i="44"/>
  <c r="U125" i="44"/>
  <c r="U114" i="44"/>
  <c r="U111" i="44"/>
  <c r="J122" i="44"/>
  <c r="U122" i="44"/>
</calcChain>
</file>

<file path=xl/sharedStrings.xml><?xml version="1.0" encoding="utf-8"?>
<sst xmlns="http://schemas.openxmlformats.org/spreadsheetml/2006/main" count="219" uniqueCount="99">
  <si>
    <t>§4. 地盤のモデル化</t>
    <phoneticPr fontId="1"/>
  </si>
  <si>
    <t>4.1 地盤の諸数値の設計用値のまとめ</t>
    <phoneticPr fontId="1"/>
  </si>
  <si>
    <t>本橋脚の設計に用いる地盤の諸数値の設計用値を下表 に示す.</t>
    <rPh sb="22" eb="23">
      <t>シタ</t>
    </rPh>
    <phoneticPr fontId="1"/>
  </si>
  <si>
    <t>地盤の諸数値の設計用値のまとめ</t>
    <phoneticPr fontId="1"/>
  </si>
  <si>
    <t>層番</t>
    <rPh sb="0" eb="1">
      <t>ソウ</t>
    </rPh>
    <rPh sb="1" eb="2">
      <t>バン</t>
    </rPh>
    <phoneticPr fontId="1"/>
  </si>
  <si>
    <t>層厚
(m)</t>
    <rPh sb="0" eb="1">
      <t>ソウ</t>
    </rPh>
    <rPh sb="1" eb="2">
      <t>アツ</t>
    </rPh>
    <phoneticPr fontId="1"/>
  </si>
  <si>
    <t>土質区分</t>
    <rPh sb="0" eb="2">
      <t>ドシツ</t>
    </rPh>
    <rPh sb="2" eb="4">
      <t>クブン</t>
    </rPh>
    <phoneticPr fontId="1"/>
  </si>
  <si>
    <t>Ｎ値</t>
    <rPh sb="1" eb="2">
      <t>アタイ</t>
    </rPh>
    <phoneticPr fontId="1"/>
  </si>
  <si>
    <t>単位体積重量</t>
    <rPh sb="0" eb="2">
      <t>タンイ</t>
    </rPh>
    <rPh sb="2" eb="4">
      <t>タイセキ</t>
    </rPh>
    <rPh sb="4" eb="6">
      <t>ジュウリョウ</t>
    </rPh>
    <phoneticPr fontId="1"/>
  </si>
  <si>
    <t>内部摩擦角</t>
    <rPh sb="0" eb="2">
      <t>ナイブ</t>
    </rPh>
    <rPh sb="2" eb="4">
      <t>マサツ</t>
    </rPh>
    <rPh sb="4" eb="5">
      <t>カク</t>
    </rPh>
    <phoneticPr fontId="1"/>
  </si>
  <si>
    <t>粘着力</t>
    <rPh sb="0" eb="3">
      <t>ネンチャクリョク</t>
    </rPh>
    <phoneticPr fontId="1"/>
  </si>
  <si>
    <t>変形係数</t>
    <rPh sb="0" eb="2">
      <t>ヘンケイ</t>
    </rPh>
    <rPh sb="2" eb="4">
      <t>ケイスウ</t>
    </rPh>
    <phoneticPr fontId="1"/>
  </si>
  <si>
    <t>有効上載圧</t>
    <rPh sb="0" eb="2">
      <t>ユウコウ</t>
    </rPh>
    <rPh sb="2" eb="3">
      <t>ウエ</t>
    </rPh>
    <rPh sb="3" eb="4">
      <t>ノ</t>
    </rPh>
    <rPh sb="4" eb="5">
      <t>アツ</t>
    </rPh>
    <phoneticPr fontId="1"/>
  </si>
  <si>
    <t>湿潤</t>
    <rPh sb="0" eb="2">
      <t>シツジュン</t>
    </rPh>
    <phoneticPr fontId="1"/>
  </si>
  <si>
    <t>水中</t>
    <rPh sb="0" eb="2">
      <t>スイチュウ</t>
    </rPh>
    <phoneticPr fontId="1"/>
  </si>
  <si>
    <t>φd(°)</t>
    <phoneticPr fontId="1"/>
  </si>
  <si>
    <r>
      <t>c(kN/m</t>
    </r>
    <r>
      <rPr>
        <vertAlign val="superscript"/>
        <sz val="10"/>
        <rFont val="ＭＳ ゴシック"/>
        <family val="3"/>
        <charset val="128"/>
      </rPr>
      <t>2</t>
    </r>
    <r>
      <rPr>
        <sz val="10"/>
        <rFont val="ＭＳ ゴシック"/>
        <family val="3"/>
        <charset val="128"/>
      </rPr>
      <t>)</t>
    </r>
    <phoneticPr fontId="1"/>
  </si>
  <si>
    <r>
      <t>Ed(kN/m</t>
    </r>
    <r>
      <rPr>
        <vertAlign val="superscript"/>
        <sz val="10"/>
        <rFont val="ＭＳ ゴシック"/>
        <family val="3"/>
        <charset val="128"/>
      </rPr>
      <t>2</t>
    </r>
    <r>
      <rPr>
        <sz val="10"/>
        <rFont val="ＭＳ ゴシック"/>
        <family val="3"/>
        <charset val="128"/>
      </rPr>
      <t>)</t>
    </r>
    <phoneticPr fontId="1"/>
  </si>
  <si>
    <r>
      <t>σv(kN/m</t>
    </r>
    <r>
      <rPr>
        <vertAlign val="superscript"/>
        <sz val="10"/>
        <rFont val="ＭＳ ゴシック"/>
        <family val="3"/>
        <charset val="128"/>
      </rPr>
      <t>2</t>
    </r>
    <r>
      <rPr>
        <sz val="10"/>
        <rFont val="ＭＳ ゴシック"/>
        <family val="3"/>
        <charset val="128"/>
      </rPr>
      <t>)</t>
    </r>
    <phoneticPr fontId="1"/>
  </si>
  <si>
    <t>表層</t>
    <phoneticPr fontId="1"/>
  </si>
  <si>
    <t>支持層</t>
    <phoneticPr fontId="1"/>
  </si>
  <si>
    <t>砂礫</t>
    <rPh sb="0" eb="2">
      <t>サレキ</t>
    </rPh>
    <phoneticPr fontId="1"/>
  </si>
  <si>
    <t>支持層の支持力係数</t>
    <phoneticPr fontId="1"/>
  </si>
  <si>
    <r>
      <t>Ｎ</t>
    </r>
    <r>
      <rPr>
        <vertAlign val="subscript"/>
        <sz val="10"/>
        <color indexed="8"/>
        <rFont val="ＭＳ Ｐ明朝"/>
        <family val="1"/>
        <charset val="128"/>
      </rPr>
      <t>γ</t>
    </r>
    <r>
      <rPr>
        <sz val="10"/>
        <color indexed="8"/>
        <rFont val="ＭＳ Ｐ明朝"/>
        <family val="1"/>
        <charset val="128"/>
      </rPr>
      <t/>
    </r>
    <phoneticPr fontId="7"/>
  </si>
  <si>
    <t>=</t>
    <phoneticPr fontId="11"/>
  </si>
  <si>
    <t>,</t>
    <phoneticPr fontId="11"/>
  </si>
  <si>
    <r>
      <t>Ｎ</t>
    </r>
    <r>
      <rPr>
        <vertAlign val="subscript"/>
        <sz val="10"/>
        <color indexed="8"/>
        <rFont val="ＭＳ Ｐ明朝"/>
        <family val="1"/>
        <charset val="128"/>
      </rPr>
      <t>q</t>
    </r>
    <phoneticPr fontId="7"/>
  </si>
  <si>
    <t>4.2 地盤反力係数の算定</t>
    <phoneticPr fontId="1"/>
  </si>
  <si>
    <t>(1) フーチング底面の鉛直地盤ばね定数</t>
    <rPh sb="9" eb="11">
      <t>テイメン</t>
    </rPh>
    <rPh sb="12" eb="14">
      <t>エンチョク</t>
    </rPh>
    <rPh sb="14" eb="16">
      <t>ジバン</t>
    </rPh>
    <rPh sb="18" eb="20">
      <t>テイスウ</t>
    </rPh>
    <phoneticPr fontId="1"/>
  </si>
  <si>
    <t>1) フーチング底面の鉛直地盤反力係数</t>
    <rPh sb="8" eb="10">
      <t>テイメン</t>
    </rPh>
    <rPh sb="11" eb="13">
      <t>エンチョク</t>
    </rPh>
    <rPh sb="13" eb="15">
      <t>ジバン</t>
    </rPh>
    <rPh sb="15" eb="16">
      <t>ハン</t>
    </rPh>
    <rPh sb="16" eb="17">
      <t>リョク</t>
    </rPh>
    <rPh sb="17" eb="19">
      <t>ケイスウ</t>
    </rPh>
    <phoneticPr fontId="1"/>
  </si>
  <si>
    <t>【基礎標準 13.2.2.2】</t>
    <rPh sb="1" eb="3">
      <t>キソ</t>
    </rPh>
    <rPh sb="3" eb="5">
      <t>ヒョウジュン</t>
    </rPh>
    <phoneticPr fontId="1"/>
  </si>
  <si>
    <r>
      <t>k</t>
    </r>
    <r>
      <rPr>
        <vertAlign val="subscript"/>
        <sz val="10"/>
        <rFont val="ＭＳ 明朝"/>
        <family val="1"/>
        <charset val="128"/>
      </rPr>
      <t>v</t>
    </r>
    <phoneticPr fontId="1"/>
  </si>
  <si>
    <t>=</t>
  </si>
  <si>
    <r>
      <t>ρ</t>
    </r>
    <r>
      <rPr>
        <vertAlign val="subscript"/>
        <sz val="10"/>
        <rFont val="ＭＳ 明朝"/>
        <family val="1"/>
        <charset val="128"/>
      </rPr>
      <t>gk</t>
    </r>
    <r>
      <rPr>
        <sz val="10"/>
        <rFont val="ＭＳ 明朝"/>
        <family val="1"/>
        <charset val="128"/>
      </rPr>
      <t>E</t>
    </r>
    <r>
      <rPr>
        <vertAlign val="subscript"/>
        <sz val="10"/>
        <rFont val="ＭＳ 明朝"/>
        <family val="1"/>
        <charset val="128"/>
      </rPr>
      <t>d</t>
    </r>
    <r>
      <rPr>
        <sz val="10"/>
        <rFont val="ＭＳ 明朝"/>
        <family val="1"/>
        <charset val="128"/>
      </rPr>
      <t>B</t>
    </r>
    <r>
      <rPr>
        <vertAlign val="subscript"/>
        <sz val="10"/>
        <rFont val="ＭＳ 明朝"/>
        <family val="1"/>
        <charset val="128"/>
      </rPr>
      <t>ｖ</t>
    </r>
    <r>
      <rPr>
        <vertAlign val="superscript"/>
        <sz val="10"/>
        <rFont val="ＭＳ 明朝"/>
        <family val="1"/>
        <charset val="128"/>
      </rPr>
      <t>-1/2</t>
    </r>
    <phoneticPr fontId="1"/>
  </si>
  <si>
    <t>（砂質土）</t>
    <rPh sb="1" eb="2">
      <t>サ</t>
    </rPh>
    <rPh sb="2" eb="3">
      <t>シツ</t>
    </rPh>
    <rPh sb="3" eb="4">
      <t>ド</t>
    </rPh>
    <phoneticPr fontId="1"/>
  </si>
  <si>
    <r>
      <t>ρ</t>
    </r>
    <r>
      <rPr>
        <vertAlign val="subscript"/>
        <sz val="10"/>
        <rFont val="ＭＳ 明朝"/>
        <family val="1"/>
        <charset val="128"/>
      </rPr>
      <t>gk</t>
    </r>
    <r>
      <rPr>
        <sz val="10"/>
        <rFont val="ＭＳ 明朝"/>
        <family val="1"/>
        <charset val="128"/>
      </rPr>
      <t>E</t>
    </r>
    <r>
      <rPr>
        <vertAlign val="subscript"/>
        <sz val="10"/>
        <rFont val="ＭＳ 明朝"/>
        <family val="1"/>
        <charset val="128"/>
      </rPr>
      <t>d</t>
    </r>
    <r>
      <rPr>
        <sz val="10"/>
        <rFont val="ＭＳ 明朝"/>
        <family val="1"/>
        <charset val="128"/>
      </rPr>
      <t>B</t>
    </r>
    <r>
      <rPr>
        <vertAlign val="subscript"/>
        <sz val="10"/>
        <rFont val="ＭＳ 明朝"/>
        <family val="1"/>
        <charset val="128"/>
      </rPr>
      <t>ｖ</t>
    </r>
    <r>
      <rPr>
        <vertAlign val="superscript"/>
        <sz val="10"/>
        <rFont val="ＭＳ 明朝"/>
        <family val="1"/>
        <charset val="128"/>
      </rPr>
      <t>-3/4</t>
    </r>
    <phoneticPr fontId="1"/>
  </si>
  <si>
    <t>（砂質土，粘性土の互層）</t>
    <rPh sb="1" eb="2">
      <t>サ</t>
    </rPh>
    <rPh sb="2" eb="3">
      <t>シツ</t>
    </rPh>
    <rPh sb="3" eb="4">
      <t>ド</t>
    </rPh>
    <rPh sb="5" eb="7">
      <t>ネンセイ</t>
    </rPh>
    <rPh sb="7" eb="8">
      <t>ド</t>
    </rPh>
    <rPh sb="9" eb="10">
      <t>ゴ</t>
    </rPh>
    <rPh sb="10" eb="11">
      <t>ソウ</t>
    </rPh>
    <phoneticPr fontId="1"/>
  </si>
  <si>
    <r>
      <t>ρ</t>
    </r>
    <r>
      <rPr>
        <vertAlign val="subscript"/>
        <sz val="10"/>
        <rFont val="ＭＳ 明朝"/>
        <family val="1"/>
        <charset val="128"/>
      </rPr>
      <t>gk</t>
    </r>
    <r>
      <rPr>
        <sz val="10"/>
        <rFont val="ＭＳ 明朝"/>
        <family val="1"/>
        <charset val="128"/>
      </rPr>
      <t>E</t>
    </r>
    <r>
      <rPr>
        <vertAlign val="subscript"/>
        <sz val="10"/>
        <rFont val="ＭＳ 明朝"/>
        <family val="1"/>
        <charset val="128"/>
      </rPr>
      <t>d</t>
    </r>
    <r>
      <rPr>
        <sz val="10"/>
        <rFont val="ＭＳ 明朝"/>
        <family val="1"/>
        <charset val="128"/>
      </rPr>
      <t>B</t>
    </r>
    <r>
      <rPr>
        <vertAlign val="subscript"/>
        <sz val="10"/>
        <rFont val="ＭＳ 明朝"/>
        <family val="1"/>
        <charset val="128"/>
      </rPr>
      <t>ｖ</t>
    </r>
    <r>
      <rPr>
        <vertAlign val="superscript"/>
        <sz val="10"/>
        <rFont val="ＭＳ 明朝"/>
        <family val="1"/>
        <charset val="128"/>
      </rPr>
      <t>-1</t>
    </r>
    <phoneticPr fontId="1"/>
  </si>
  <si>
    <t>（粘性土）</t>
    <rPh sb="1" eb="3">
      <t>ネンセイ</t>
    </rPh>
    <rPh sb="3" eb="4">
      <t>ド</t>
    </rPh>
    <phoneticPr fontId="1"/>
  </si>
  <si>
    <r>
      <t>ここに、k</t>
    </r>
    <r>
      <rPr>
        <vertAlign val="subscript"/>
        <sz val="10"/>
        <rFont val="ＭＳ 明朝"/>
        <family val="1"/>
        <charset val="128"/>
      </rPr>
      <t>h</t>
    </r>
    <phoneticPr fontId="1"/>
  </si>
  <si>
    <t>：</t>
    <phoneticPr fontId="1"/>
  </si>
  <si>
    <r>
      <t>フーチング前面の水平地盤反力係数 (kN/m</t>
    </r>
    <r>
      <rPr>
        <vertAlign val="superscript"/>
        <sz val="10"/>
        <rFont val="ＭＳ 明朝"/>
        <family val="1"/>
        <charset val="128"/>
      </rPr>
      <t>3</t>
    </r>
    <r>
      <rPr>
        <sz val="10"/>
        <rFont val="ＭＳ 明朝"/>
        <family val="1"/>
        <charset val="128"/>
      </rPr>
      <t>)</t>
    </r>
    <rPh sb="5" eb="7">
      <t>ゼンメン</t>
    </rPh>
    <rPh sb="8" eb="10">
      <t>スイヘイ</t>
    </rPh>
    <phoneticPr fontId="1"/>
  </si>
  <si>
    <r>
      <t>ρ</t>
    </r>
    <r>
      <rPr>
        <vertAlign val="subscript"/>
        <sz val="10"/>
        <rFont val="ＭＳ 明朝"/>
        <family val="1"/>
        <charset val="128"/>
      </rPr>
      <t>gk</t>
    </r>
    <r>
      <rPr>
        <sz val="11"/>
        <rFont val="ＭＳ Ｐ明朝"/>
        <family val="1"/>
        <charset val="128"/>
      </rPr>
      <t/>
    </r>
    <phoneticPr fontId="1"/>
  </si>
  <si>
    <t>地盤反力係数に関する地盤修正係数</t>
    <rPh sb="0" eb="2">
      <t>ジバン</t>
    </rPh>
    <rPh sb="2" eb="3">
      <t>ハン</t>
    </rPh>
    <rPh sb="3" eb="4">
      <t>リョク</t>
    </rPh>
    <rPh sb="4" eb="6">
      <t>ケイスウ</t>
    </rPh>
    <rPh sb="7" eb="8">
      <t>カン</t>
    </rPh>
    <rPh sb="10" eb="12">
      <t>ジバン</t>
    </rPh>
    <rPh sb="12" eb="14">
      <t>シュウセイ</t>
    </rPh>
    <rPh sb="14" eb="16">
      <t>ケイスウ</t>
    </rPh>
    <phoneticPr fontId="1"/>
  </si>
  <si>
    <r>
      <t>E</t>
    </r>
    <r>
      <rPr>
        <vertAlign val="subscript"/>
        <sz val="10"/>
        <rFont val="ＭＳ 明朝"/>
        <family val="1"/>
        <charset val="128"/>
      </rPr>
      <t>d</t>
    </r>
    <phoneticPr fontId="1"/>
  </si>
  <si>
    <t xml:space="preserve">地盤の変形係数 </t>
    <phoneticPr fontId="1"/>
  </si>
  <si>
    <t>(=</t>
    <phoneticPr fontId="1"/>
  </si>
  <si>
    <r>
      <t>kN/m</t>
    </r>
    <r>
      <rPr>
        <vertAlign val="superscript"/>
        <sz val="10"/>
        <rFont val="ＭＳ 明朝"/>
        <family val="1"/>
        <charset val="128"/>
      </rPr>
      <t>2</t>
    </r>
    <r>
      <rPr>
        <sz val="10"/>
        <rFont val="ＭＳ 明朝"/>
        <family val="1"/>
        <charset val="128"/>
      </rPr>
      <t>)</t>
    </r>
    <phoneticPr fontId="1"/>
  </si>
  <si>
    <r>
      <t>B</t>
    </r>
    <r>
      <rPr>
        <vertAlign val="subscript"/>
        <sz val="10"/>
        <rFont val="ＭＳ 明朝"/>
        <family val="1"/>
        <charset val="128"/>
      </rPr>
      <t>v</t>
    </r>
    <phoneticPr fontId="1"/>
  </si>
  <si>
    <t>フーチング底面の換算幅 (m)</t>
    <rPh sb="5" eb="7">
      <t>テイメン</t>
    </rPh>
    <phoneticPr fontId="1"/>
  </si>
  <si>
    <r>
      <t>B</t>
    </r>
    <r>
      <rPr>
        <vertAlign val="subscript"/>
        <sz val="10"/>
        <rFont val="ＭＳ 明朝"/>
        <family val="1"/>
        <charset val="128"/>
      </rPr>
      <t>v</t>
    </r>
    <r>
      <rPr>
        <sz val="10"/>
        <rFont val="ＭＳ 明朝"/>
        <family val="1"/>
        <charset val="128"/>
      </rPr>
      <t xml:space="preserve"> =  √A</t>
    </r>
    <r>
      <rPr>
        <vertAlign val="subscript"/>
        <sz val="10"/>
        <rFont val="ＭＳ 明朝"/>
        <family val="1"/>
        <charset val="128"/>
      </rPr>
      <t>v</t>
    </r>
    <phoneticPr fontId="1"/>
  </si>
  <si>
    <t>=</t>
    <phoneticPr fontId="1"/>
  </si>
  <si>
    <t>m)</t>
    <phoneticPr fontId="1"/>
  </si>
  <si>
    <r>
      <t>A</t>
    </r>
    <r>
      <rPr>
        <vertAlign val="subscript"/>
        <sz val="10"/>
        <rFont val="ＭＳ 明朝"/>
        <family val="1"/>
        <charset val="128"/>
      </rPr>
      <t>v</t>
    </r>
    <phoneticPr fontId="1"/>
  </si>
  <si>
    <t>フーチング底面積</t>
    <rPh sb="5" eb="8">
      <t>テイメンセキ</t>
    </rPh>
    <phoneticPr fontId="1"/>
  </si>
  <si>
    <t>×</t>
    <phoneticPr fontId="1"/>
  </si>
  <si>
    <r>
      <t>m</t>
    </r>
    <r>
      <rPr>
        <vertAlign val="superscript"/>
        <sz val="10"/>
        <rFont val="ＭＳ 明朝"/>
        <family val="1"/>
        <charset val="128"/>
      </rPr>
      <t>2</t>
    </r>
    <r>
      <rPr>
        <sz val="10"/>
        <rFont val="ＭＳ 明朝"/>
        <family val="1"/>
        <charset val="128"/>
      </rPr>
      <t>)</t>
    </r>
    <phoneticPr fontId="1"/>
  </si>
  <si>
    <t>・長期</t>
    <rPh sb="1" eb="3">
      <t>チョウキ</t>
    </rPh>
    <phoneticPr fontId="1"/>
  </si>
  <si>
    <r>
      <t>(ρ</t>
    </r>
    <r>
      <rPr>
        <vertAlign val="subscript"/>
        <sz val="10"/>
        <rFont val="ＭＳ 明朝"/>
        <family val="1"/>
        <charset val="128"/>
      </rPr>
      <t>gk</t>
    </r>
    <r>
      <rPr>
        <sz val="10"/>
        <rFont val="ＭＳ 明朝"/>
        <family val="1"/>
        <charset val="128"/>
      </rPr>
      <t xml:space="preserve"> =</t>
    </r>
    <phoneticPr fontId="1"/>
  </si>
  <si>
    <t>)</t>
    <phoneticPr fontId="1"/>
  </si>
  <si>
    <t>×</t>
  </si>
  <si>
    <r>
      <t>kN/m</t>
    </r>
    <r>
      <rPr>
        <vertAlign val="superscript"/>
        <sz val="10"/>
        <rFont val="ＭＳ 明朝"/>
        <family val="1"/>
        <charset val="128"/>
      </rPr>
      <t>3</t>
    </r>
    <phoneticPr fontId="1"/>
  </si>
  <si>
    <t>・短期</t>
    <rPh sb="1" eb="3">
      <t>タンキ</t>
    </rPh>
    <phoneticPr fontId="1"/>
  </si>
  <si>
    <t>2) フーチング底面の鉛直地盤ばね定数</t>
    <rPh sb="8" eb="10">
      <t>テイメン</t>
    </rPh>
    <rPh sb="11" eb="13">
      <t>エンチョク</t>
    </rPh>
    <rPh sb="13" eb="15">
      <t>ジバン</t>
    </rPh>
    <rPh sb="17" eb="19">
      <t>テイスウ</t>
    </rPh>
    <phoneticPr fontId="1"/>
  </si>
  <si>
    <r>
      <t>K</t>
    </r>
    <r>
      <rPr>
        <vertAlign val="subscript"/>
        <sz val="10"/>
        <rFont val="ＭＳ 明朝"/>
        <family val="1"/>
        <charset val="128"/>
      </rPr>
      <t>v</t>
    </r>
    <phoneticPr fontId="1"/>
  </si>
  <si>
    <r>
      <t>k</t>
    </r>
    <r>
      <rPr>
        <vertAlign val="subscript"/>
        <sz val="10"/>
        <rFont val="ＭＳ 明朝"/>
        <family val="1"/>
        <charset val="128"/>
      </rPr>
      <t>v</t>
    </r>
    <r>
      <rPr>
        <sz val="10"/>
        <rFont val="ＭＳ 明朝"/>
        <family val="1"/>
        <charset val="128"/>
      </rPr>
      <t>A</t>
    </r>
    <r>
      <rPr>
        <vertAlign val="subscript"/>
        <sz val="10"/>
        <rFont val="ＭＳ 明朝"/>
        <family val="1"/>
        <charset val="128"/>
      </rPr>
      <t>v</t>
    </r>
    <phoneticPr fontId="1"/>
  </si>
  <si>
    <r>
      <t>ここに、K</t>
    </r>
    <r>
      <rPr>
        <vertAlign val="subscript"/>
        <sz val="10"/>
        <rFont val="ＭＳ 明朝"/>
        <family val="1"/>
        <charset val="128"/>
      </rPr>
      <t>v</t>
    </r>
    <phoneticPr fontId="1"/>
  </si>
  <si>
    <t>フーチング底面の鉛直地盤ばね定数 (kN/m)</t>
    <rPh sb="5" eb="7">
      <t>テイメン</t>
    </rPh>
    <rPh sb="8" eb="10">
      <t>エンチョク</t>
    </rPh>
    <rPh sb="10" eb="12">
      <t>ジバン</t>
    </rPh>
    <rPh sb="14" eb="16">
      <t>ジョウスウ</t>
    </rPh>
    <phoneticPr fontId="1"/>
  </si>
  <si>
    <r>
      <t>フーチング底面の鉛直地盤反力係数 (kN/m</t>
    </r>
    <r>
      <rPr>
        <vertAlign val="superscript"/>
        <sz val="10"/>
        <rFont val="ＭＳ 明朝"/>
        <family val="1"/>
        <charset val="128"/>
      </rPr>
      <t>3</t>
    </r>
    <r>
      <rPr>
        <sz val="10"/>
        <rFont val="ＭＳ 明朝"/>
        <family val="1"/>
        <charset val="128"/>
      </rPr>
      <t>)</t>
    </r>
    <phoneticPr fontId="1"/>
  </si>
  <si>
    <r>
      <t>フーチング底面積 (m</t>
    </r>
    <r>
      <rPr>
        <vertAlign val="superscript"/>
        <sz val="10"/>
        <rFont val="ＭＳ 明朝"/>
        <family val="1"/>
        <charset val="128"/>
      </rPr>
      <t>2</t>
    </r>
    <r>
      <rPr>
        <sz val="10"/>
        <rFont val="ＭＳ 明朝"/>
        <family val="1"/>
        <charset val="128"/>
      </rPr>
      <t>)</t>
    </r>
    <rPh sb="5" eb="8">
      <t>テイメンセキ</t>
    </rPh>
    <phoneticPr fontId="1"/>
  </si>
  <si>
    <t>kN/m</t>
    <phoneticPr fontId="1"/>
  </si>
  <si>
    <t xml:space="preserve"> (2) フーチング底面のせん断地盤ばね定数</t>
    <rPh sb="10" eb="12">
      <t>テイメン</t>
    </rPh>
    <rPh sb="15" eb="16">
      <t>ダン</t>
    </rPh>
    <rPh sb="16" eb="18">
      <t>ジバン</t>
    </rPh>
    <rPh sb="20" eb="22">
      <t>テイスウ</t>
    </rPh>
    <phoneticPr fontId="1"/>
  </si>
  <si>
    <t>1) フーチング底面のせん断地盤反力係数</t>
    <rPh sb="8" eb="10">
      <t>テイメン</t>
    </rPh>
    <rPh sb="13" eb="14">
      <t>ダン</t>
    </rPh>
    <rPh sb="14" eb="16">
      <t>ジバン</t>
    </rPh>
    <rPh sb="16" eb="17">
      <t>ハン</t>
    </rPh>
    <rPh sb="17" eb="18">
      <t>チカラ</t>
    </rPh>
    <rPh sb="18" eb="20">
      <t>ケイスウ</t>
    </rPh>
    <phoneticPr fontId="1"/>
  </si>
  <si>
    <r>
      <t>k</t>
    </r>
    <r>
      <rPr>
        <vertAlign val="subscript"/>
        <sz val="10"/>
        <rFont val="ＭＳ 明朝"/>
        <family val="1"/>
        <charset val="128"/>
      </rPr>
      <t>s</t>
    </r>
    <phoneticPr fontId="1"/>
  </si>
  <si>
    <r>
      <t>λk</t>
    </r>
    <r>
      <rPr>
        <vertAlign val="subscript"/>
        <sz val="10"/>
        <rFont val="ＭＳ 明朝"/>
        <family val="1"/>
        <charset val="128"/>
      </rPr>
      <t>v</t>
    </r>
    <phoneticPr fontId="1"/>
  </si>
  <si>
    <r>
      <t>ここに、k</t>
    </r>
    <r>
      <rPr>
        <vertAlign val="subscript"/>
        <sz val="10"/>
        <rFont val="ＭＳ 明朝"/>
        <family val="1"/>
        <charset val="128"/>
      </rPr>
      <t>s</t>
    </r>
    <phoneticPr fontId="1"/>
  </si>
  <si>
    <r>
      <t>フーチング底面のせん断地盤反力係数 (kN/m</t>
    </r>
    <r>
      <rPr>
        <vertAlign val="superscript"/>
        <sz val="10"/>
        <rFont val="ＭＳ 明朝"/>
        <family val="1"/>
        <charset val="128"/>
      </rPr>
      <t>3</t>
    </r>
    <r>
      <rPr>
        <sz val="10"/>
        <rFont val="ＭＳ 明朝"/>
        <family val="1"/>
        <charset val="128"/>
      </rPr>
      <t>)</t>
    </r>
    <rPh sb="5" eb="7">
      <t>テイメン</t>
    </rPh>
    <rPh sb="10" eb="11">
      <t>ダン</t>
    </rPh>
    <phoneticPr fontId="1"/>
  </si>
  <si>
    <t>λ</t>
    <phoneticPr fontId="1"/>
  </si>
  <si>
    <t>換算係数</t>
    <rPh sb="0" eb="2">
      <t>カンザン</t>
    </rPh>
    <rPh sb="2" eb="4">
      <t>ケイスウ</t>
    </rPh>
    <phoneticPr fontId="1"/>
  </si>
  <si>
    <t>（ =</t>
    <phoneticPr fontId="1"/>
  </si>
  <si>
    <t>とする）</t>
    <phoneticPr fontId="1"/>
  </si>
  <si>
    <t>2) フーチング底面のせん断地盤ばね定数</t>
    <rPh sb="8" eb="10">
      <t>テイメン</t>
    </rPh>
    <rPh sb="13" eb="14">
      <t>ダン</t>
    </rPh>
    <rPh sb="14" eb="16">
      <t>ジバン</t>
    </rPh>
    <rPh sb="18" eb="20">
      <t>テイスウ</t>
    </rPh>
    <phoneticPr fontId="1"/>
  </si>
  <si>
    <r>
      <t>K</t>
    </r>
    <r>
      <rPr>
        <vertAlign val="subscript"/>
        <sz val="10"/>
        <rFont val="ＭＳ 明朝"/>
        <family val="1"/>
        <charset val="128"/>
      </rPr>
      <t>s</t>
    </r>
    <phoneticPr fontId="1"/>
  </si>
  <si>
    <r>
      <t>k</t>
    </r>
    <r>
      <rPr>
        <vertAlign val="subscript"/>
        <sz val="10"/>
        <rFont val="ＭＳ 明朝"/>
        <family val="1"/>
        <charset val="128"/>
      </rPr>
      <t>s</t>
    </r>
    <r>
      <rPr>
        <sz val="10"/>
        <rFont val="ＭＳ 明朝"/>
        <family val="1"/>
        <charset val="128"/>
      </rPr>
      <t>A</t>
    </r>
    <r>
      <rPr>
        <vertAlign val="subscript"/>
        <sz val="10"/>
        <rFont val="ＭＳ 明朝"/>
        <family val="1"/>
        <charset val="128"/>
      </rPr>
      <t>v</t>
    </r>
    <phoneticPr fontId="1"/>
  </si>
  <si>
    <r>
      <t>ここに、K</t>
    </r>
    <r>
      <rPr>
        <vertAlign val="subscript"/>
        <sz val="10"/>
        <rFont val="ＭＳ 明朝"/>
        <family val="1"/>
        <charset val="128"/>
      </rPr>
      <t>s</t>
    </r>
    <phoneticPr fontId="1"/>
  </si>
  <si>
    <t>フーチング底面のせん断地盤ばね定数 (kN/m)</t>
    <rPh sb="5" eb="7">
      <t>テイメン</t>
    </rPh>
    <rPh sb="10" eb="11">
      <t>ダン</t>
    </rPh>
    <rPh sb="11" eb="13">
      <t>ジバン</t>
    </rPh>
    <rPh sb="15" eb="17">
      <t>ジョウスウ</t>
    </rPh>
    <phoneticPr fontId="1"/>
  </si>
  <si>
    <t xml:space="preserve"> (3) フーチング底面の回転地盤ばね定数</t>
    <rPh sb="10" eb="12">
      <t>テイメン</t>
    </rPh>
    <rPh sb="13" eb="15">
      <t>カイテン</t>
    </rPh>
    <rPh sb="15" eb="17">
      <t>ジバン</t>
    </rPh>
    <rPh sb="19" eb="21">
      <t>テイスウ</t>
    </rPh>
    <phoneticPr fontId="1"/>
  </si>
  <si>
    <r>
      <t>K</t>
    </r>
    <r>
      <rPr>
        <vertAlign val="subscript"/>
        <sz val="10"/>
        <rFont val="ＭＳ 明朝"/>
        <family val="1"/>
        <charset val="128"/>
      </rPr>
      <t>r</t>
    </r>
    <phoneticPr fontId="1"/>
  </si>
  <si>
    <r>
      <t>k</t>
    </r>
    <r>
      <rPr>
        <vertAlign val="subscript"/>
        <sz val="10"/>
        <rFont val="ＭＳ 明朝"/>
        <family val="1"/>
        <charset val="128"/>
      </rPr>
      <t>v</t>
    </r>
    <r>
      <rPr>
        <sz val="10"/>
        <rFont val="ＭＳ 明朝"/>
        <family val="1"/>
        <charset val="128"/>
      </rPr>
      <t>I</t>
    </r>
    <r>
      <rPr>
        <vertAlign val="subscript"/>
        <sz val="10"/>
        <rFont val="ＭＳ 明朝"/>
        <family val="1"/>
        <charset val="128"/>
      </rPr>
      <t>v</t>
    </r>
    <phoneticPr fontId="1"/>
  </si>
  <si>
    <r>
      <t>ここに、K</t>
    </r>
    <r>
      <rPr>
        <vertAlign val="subscript"/>
        <sz val="10"/>
        <rFont val="ＭＳ 明朝"/>
        <family val="1"/>
        <charset val="128"/>
      </rPr>
      <t>r</t>
    </r>
    <phoneticPr fontId="1"/>
  </si>
  <si>
    <t>フーチング底面の回転地盤ばね定数(kN/m)</t>
    <rPh sb="5" eb="7">
      <t>テイメン</t>
    </rPh>
    <rPh sb="8" eb="10">
      <t>カイテン</t>
    </rPh>
    <rPh sb="10" eb="12">
      <t>ジバン</t>
    </rPh>
    <rPh sb="14" eb="16">
      <t>ジョウスウ</t>
    </rPh>
    <phoneticPr fontId="1"/>
  </si>
  <si>
    <r>
      <t>フーチング底面の鉛直地盤反力係数(kN/m</t>
    </r>
    <r>
      <rPr>
        <vertAlign val="superscript"/>
        <sz val="10"/>
        <rFont val="ＭＳ 明朝"/>
        <family val="1"/>
        <charset val="128"/>
      </rPr>
      <t>3</t>
    </r>
    <r>
      <rPr>
        <sz val="10"/>
        <rFont val="ＭＳ 明朝"/>
        <family val="1"/>
        <charset val="128"/>
      </rPr>
      <t>)</t>
    </r>
    <phoneticPr fontId="1"/>
  </si>
  <si>
    <r>
      <t>I</t>
    </r>
    <r>
      <rPr>
        <vertAlign val="subscript"/>
        <sz val="10"/>
        <rFont val="ＭＳ 明朝"/>
        <family val="1"/>
        <charset val="128"/>
      </rPr>
      <t>v</t>
    </r>
    <phoneticPr fontId="1"/>
  </si>
  <si>
    <r>
      <t>フーチング底面の断面二次モーメント(m</t>
    </r>
    <r>
      <rPr>
        <vertAlign val="superscript"/>
        <sz val="10"/>
        <rFont val="ＭＳ 明朝"/>
        <family val="1"/>
        <charset val="128"/>
      </rPr>
      <t>4</t>
    </r>
    <r>
      <rPr>
        <sz val="10"/>
        <rFont val="ＭＳ 明朝"/>
        <family val="1"/>
        <charset val="128"/>
      </rPr>
      <t>)</t>
    </r>
    <rPh sb="5" eb="7">
      <t>テイメン</t>
    </rPh>
    <rPh sb="8" eb="10">
      <t>ダンメン</t>
    </rPh>
    <rPh sb="10" eb="12">
      <t>ニジ</t>
    </rPh>
    <phoneticPr fontId="1"/>
  </si>
  <si>
    <t>1) 線路方向</t>
    <rPh sb="3" eb="5">
      <t>センロ</t>
    </rPh>
    <rPh sb="5" eb="7">
      <t>ホウコウ</t>
    </rPh>
    <phoneticPr fontId="1"/>
  </si>
  <si>
    <r>
      <t xml:space="preserve">3 </t>
    </r>
    <r>
      <rPr>
        <sz val="10"/>
        <rFont val="ＭＳ 明朝"/>
        <family val="1"/>
        <charset val="128"/>
      </rPr>
      <t>/</t>
    </r>
    <phoneticPr fontId="1"/>
  </si>
  <si>
    <r>
      <t>m</t>
    </r>
    <r>
      <rPr>
        <vertAlign val="superscript"/>
        <sz val="10"/>
        <rFont val="ＭＳ 明朝"/>
        <family val="1"/>
        <charset val="128"/>
      </rPr>
      <t>4</t>
    </r>
    <phoneticPr fontId="1"/>
  </si>
  <si>
    <t>kN・m/rad</t>
    <phoneticPr fontId="1"/>
  </si>
  <si>
    <t>2) 線路直角方向</t>
    <rPh sb="3" eb="5">
      <t>センロ</t>
    </rPh>
    <rPh sb="5" eb="7">
      <t>チョッカク</t>
    </rPh>
    <rPh sb="7" eb="9">
      <t>ホウコウ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</si>
</sst>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00_ "/>
    <numFmt numFmtId="177" formatCode="0.0"/>
    <numFmt numFmtId="178" formatCode="0.000"/>
    <numFmt numFmtId="179" formatCode="0.000000"/>
    <numFmt numFmtId="180" formatCode="General&quot;m&quot;"/>
    <numFmt numFmtId="181" formatCode="?/?"/>
    <numFmt numFmtId="182" formatCode="0\ "/>
    <numFmt numFmtId="183" formatCode="0.0##"/>
    <numFmt numFmtId="184" formatCode="0.0_ "/>
    <numFmt numFmtId="185" formatCode="#,##0_ "/>
    <numFmt numFmtId="186" formatCode="0_);[Red]\(0\)"/>
  </numFmts>
  <fonts count="19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0"/>
      <name val="ＭＳ 明朝"/>
      <family val="1"/>
      <charset val="128"/>
    </font>
    <font>
      <sz val="10"/>
      <color indexed="10"/>
      <name val="ＭＳ 明朝"/>
      <family val="1"/>
      <charset val="128"/>
    </font>
    <font>
      <vertAlign val="subscript"/>
      <sz val="10"/>
      <name val="ＭＳ 明朝"/>
      <family val="1"/>
      <charset val="128"/>
    </font>
    <font>
      <vertAlign val="superscript"/>
      <sz val="10"/>
      <name val="ＭＳ 明朝"/>
      <family val="1"/>
      <charset val="128"/>
    </font>
    <font>
      <sz val="6"/>
      <name val="ＭＳ 明朝"/>
      <family val="1"/>
      <charset val="128"/>
    </font>
    <font>
      <sz val="10"/>
      <name val="ＭＳ Ｐ明朝"/>
      <family val="1"/>
      <charset val="128"/>
    </font>
    <font>
      <sz val="10"/>
      <name val="ＭＳ ゴシック"/>
      <family val="3"/>
      <charset val="128"/>
    </font>
    <font>
      <vertAlign val="superscript"/>
      <sz val="10"/>
      <name val="ＭＳ ゴシック"/>
      <family val="3"/>
      <charset val="128"/>
    </font>
    <font>
      <sz val="10.5"/>
      <color indexed="10"/>
      <name val="ＭＳ 明朝"/>
      <family val="1"/>
      <charset val="128"/>
    </font>
    <font>
      <sz val="10.5"/>
      <color indexed="8"/>
      <name val="ＭＳ 明朝"/>
      <family val="1"/>
      <charset val="128"/>
    </font>
    <font>
      <sz val="10"/>
      <color indexed="8"/>
      <name val="ＭＳ Ｐ明朝"/>
      <family val="1"/>
      <charset val="128"/>
    </font>
    <font>
      <vertAlign val="subscript"/>
      <sz val="10"/>
      <color indexed="8"/>
      <name val="ＭＳ Ｐ明朝"/>
      <family val="1"/>
      <charset val="128"/>
    </font>
    <font>
      <sz val="10"/>
      <color indexed="10"/>
      <name val="ＭＳ Ｐ明朝"/>
      <family val="1"/>
      <charset val="128"/>
    </font>
    <font>
      <sz val="10"/>
      <color indexed="10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0"/>
      <color rgb="FFFF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>
      <alignment vertical="center"/>
    </xf>
  </cellStyleXfs>
  <cellXfs count="96">
    <xf numFmtId="0" fontId="0" fillId="0" borderId="0" xfId="0"/>
    <xf numFmtId="0" fontId="9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180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83" fontId="3" fillId="0" borderId="0" xfId="0" applyNumberFormat="1" applyFont="1" applyAlignment="1">
      <alignment horizontal="center"/>
    </xf>
    <xf numFmtId="178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shrinkToFit="1"/>
    </xf>
    <xf numFmtId="177" fontId="3" fillId="0" borderId="0" xfId="0" applyNumberFormat="1" applyFont="1" applyAlignment="1">
      <alignment horizontal="center"/>
    </xf>
    <xf numFmtId="12" fontId="6" fillId="0" borderId="0" xfId="0" quotePrefix="1" applyNumberFormat="1" applyFont="1" applyAlignment="1">
      <alignment horizontal="left" shrinkToFit="1"/>
    </xf>
    <xf numFmtId="180" fontId="3" fillId="0" borderId="0" xfId="0" applyNumberFormat="1" applyFont="1" applyAlignment="1">
      <alignment horizontal="center" shrinkToFit="1"/>
    </xf>
    <xf numFmtId="181" fontId="3" fillId="0" borderId="0" xfId="0" applyNumberFormat="1" applyFont="1" applyAlignment="1">
      <alignment horizontal="center" shrinkToFit="1"/>
    </xf>
    <xf numFmtId="179" fontId="3" fillId="0" borderId="0" xfId="0" applyNumberFormat="1" applyFont="1"/>
    <xf numFmtId="179" fontId="3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186" fontId="8" fillId="0" borderId="0" xfId="0" applyNumberFormat="1" applyFont="1"/>
    <xf numFmtId="0" fontId="9" fillId="0" borderId="0" xfId="0" applyFont="1"/>
    <xf numFmtId="183" fontId="9" fillId="0" borderId="0" xfId="0" applyNumberFormat="1" applyFont="1" applyAlignment="1">
      <alignment horizontal="center"/>
    </xf>
    <xf numFmtId="180" fontId="9" fillId="0" borderId="0" xfId="0" applyNumberFormat="1" applyFont="1" applyAlignment="1">
      <alignment horizontal="center"/>
    </xf>
    <xf numFmtId="178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179" fontId="9" fillId="0" borderId="0" xfId="0" applyNumberFormat="1" applyFont="1"/>
    <xf numFmtId="185" fontId="3" fillId="0" borderId="0" xfId="0" applyNumberFormat="1" applyFont="1" applyAlignment="1">
      <alignment horizontal="right"/>
    </xf>
    <xf numFmtId="0" fontId="3" fillId="0" borderId="1" xfId="0" applyFont="1" applyBorder="1"/>
    <xf numFmtId="0" fontId="9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8" fillId="0" borderId="0" xfId="0" applyFont="1" applyAlignment="1">
      <alignment horizontal="center"/>
    </xf>
    <xf numFmtId="185" fontId="3" fillId="0" borderId="0" xfId="0" applyNumberFormat="1" applyFont="1" applyAlignment="1">
      <alignment horizontal="right"/>
    </xf>
    <xf numFmtId="17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78" fontId="3" fillId="0" borderId="0" xfId="0" applyNumberFormat="1" applyFont="1" applyAlignment="1">
      <alignment horizontal="center"/>
    </xf>
    <xf numFmtId="181" fontId="3" fillId="0" borderId="0" xfId="0" applyNumberFormat="1" applyFont="1" applyAlignment="1">
      <alignment horizontal="center" shrinkToFit="1"/>
    </xf>
    <xf numFmtId="12" fontId="6" fillId="0" borderId="0" xfId="0" quotePrefix="1" applyNumberFormat="1" applyFont="1" applyAlignment="1">
      <alignment horizontal="left" shrinkToFit="1"/>
    </xf>
    <xf numFmtId="177" fontId="3" fillId="0" borderId="0" xfId="0" applyNumberFormat="1" applyFont="1" applyAlignment="1">
      <alignment horizontal="center" shrinkToFit="1"/>
    </xf>
    <xf numFmtId="17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shrinkToFit="1"/>
    </xf>
    <xf numFmtId="184" fontId="16" fillId="0" borderId="5" xfId="0" applyNumberFormat="1" applyFont="1" applyBorder="1" applyAlignment="1">
      <alignment horizontal="right"/>
    </xf>
    <xf numFmtId="0" fontId="16" fillId="0" borderId="5" xfId="0" applyFont="1" applyBorder="1" applyAlignment="1">
      <alignment horizontal="right"/>
    </xf>
    <xf numFmtId="185" fontId="16" fillId="0" borderId="5" xfId="0" applyNumberFormat="1" applyFont="1" applyBorder="1" applyAlignment="1">
      <alignment horizontal="right"/>
    </xf>
    <xf numFmtId="185" fontId="16" fillId="0" borderId="7" xfId="0" applyNumberFormat="1" applyFont="1" applyBorder="1" applyAlignment="1">
      <alignment horizontal="right"/>
    </xf>
    <xf numFmtId="178" fontId="4" fillId="0" borderId="0" xfId="0" applyNumberFormat="1" applyFont="1" applyAlignment="1">
      <alignment horizontal="center"/>
    </xf>
    <xf numFmtId="0" fontId="9" fillId="2" borderId="8" xfId="0" applyFont="1" applyFill="1" applyBorder="1" applyAlignment="1">
      <alignment horizontal="center" vertical="center" shrinkToFit="1"/>
    </xf>
    <xf numFmtId="0" fontId="9" fillId="2" borderId="9" xfId="0" applyFont="1" applyFill="1" applyBorder="1" applyAlignment="1">
      <alignment horizontal="center" vertical="center" shrinkToFit="1"/>
    </xf>
    <xf numFmtId="0" fontId="9" fillId="2" borderId="5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/>
    </xf>
    <xf numFmtId="184" fontId="17" fillId="0" borderId="12" xfId="0" applyNumberFormat="1" applyFont="1" applyBorder="1" applyAlignment="1">
      <alignment horizontal="right"/>
    </xf>
    <xf numFmtId="184" fontId="17" fillId="0" borderId="13" xfId="0" applyNumberFormat="1" applyFont="1" applyBorder="1" applyAlignment="1">
      <alignment horizontal="right"/>
    </xf>
    <xf numFmtId="184" fontId="17" fillId="0" borderId="14" xfId="0" applyNumberFormat="1" applyFont="1" applyBorder="1" applyAlignment="1">
      <alignment horizontal="right"/>
    </xf>
    <xf numFmtId="184" fontId="16" fillId="0" borderId="11" xfId="0" applyNumberFormat="1" applyFont="1" applyBorder="1" applyAlignment="1">
      <alignment horizontal="right"/>
    </xf>
    <xf numFmtId="184" fontId="16" fillId="0" borderId="7" xfId="0" applyNumberFormat="1" applyFont="1" applyBorder="1" applyAlignment="1">
      <alignment horizontal="right"/>
    </xf>
    <xf numFmtId="184" fontId="17" fillId="0" borderId="11" xfId="0" applyNumberFormat="1" applyFont="1" applyBorder="1" applyAlignment="1">
      <alignment horizontal="right"/>
    </xf>
    <xf numFmtId="184" fontId="17" fillId="0" borderId="5" xfId="0" applyNumberFormat="1" applyFont="1" applyBorder="1" applyAlignment="1">
      <alignment horizontal="right"/>
    </xf>
    <xf numFmtId="184" fontId="17" fillId="0" borderId="7" xfId="0" applyNumberFormat="1" applyFont="1" applyBorder="1" applyAlignment="1">
      <alignment horizontal="right"/>
    </xf>
    <xf numFmtId="0" fontId="16" fillId="0" borderId="11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176" fontId="16" fillId="0" borderId="5" xfId="0" applyNumberFormat="1" applyFont="1" applyBorder="1" applyAlignment="1">
      <alignment horizontal="right"/>
    </xf>
    <xf numFmtId="176" fontId="16" fillId="0" borderId="6" xfId="0" applyNumberFormat="1" applyFont="1" applyBorder="1" applyAlignment="1">
      <alignment horizontal="center"/>
    </xf>
    <xf numFmtId="176" fontId="16" fillId="0" borderId="3" xfId="0" applyNumberFormat="1" applyFont="1" applyBorder="1" applyAlignment="1">
      <alignment horizontal="center"/>
    </xf>
    <xf numFmtId="176" fontId="16" fillId="0" borderId="4" xfId="0" applyNumberFormat="1" applyFont="1" applyBorder="1" applyAlignment="1">
      <alignment horizontal="center"/>
    </xf>
    <xf numFmtId="176" fontId="16" fillId="0" borderId="5" xfId="0" applyNumberFormat="1" applyFont="1" applyBorder="1" applyAlignment="1">
      <alignment horizontal="center"/>
    </xf>
    <xf numFmtId="0" fontId="16" fillId="0" borderId="13" xfId="0" applyFont="1" applyBorder="1" applyAlignment="1">
      <alignment horizontal="right"/>
    </xf>
    <xf numFmtId="185" fontId="16" fillId="0" borderId="13" xfId="0" applyNumberFormat="1" applyFont="1" applyBorder="1" applyAlignment="1">
      <alignment horizontal="right"/>
    </xf>
    <xf numFmtId="185" fontId="16" fillId="0" borderId="14" xfId="0" applyNumberFormat="1" applyFont="1" applyBorder="1" applyAlignment="1">
      <alignment horizontal="right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176" fontId="16" fillId="0" borderId="13" xfId="0" applyNumberFormat="1" applyFont="1" applyBorder="1" applyAlignment="1">
      <alignment horizontal="right"/>
    </xf>
    <xf numFmtId="176" fontId="16" fillId="0" borderId="13" xfId="0" applyNumberFormat="1" applyFont="1" applyBorder="1" applyAlignment="1">
      <alignment horizontal="center"/>
    </xf>
    <xf numFmtId="184" fontId="16" fillId="0" borderId="13" xfId="0" applyNumberFormat="1" applyFont="1" applyBorder="1" applyAlignment="1">
      <alignment horizontal="right"/>
    </xf>
    <xf numFmtId="0" fontId="9" fillId="2" borderId="10" xfId="0" applyFont="1" applyFill="1" applyBorder="1" applyAlignment="1">
      <alignment horizontal="center" vertical="center" shrinkToFit="1"/>
    </xf>
    <xf numFmtId="0" fontId="9" fillId="2" borderId="11" xfId="0" applyFont="1" applyFill="1" applyBorder="1" applyAlignment="1">
      <alignment horizontal="center" vertical="center" wrapText="1"/>
    </xf>
    <xf numFmtId="0" fontId="13" fillId="0" borderId="0" xfId="1" applyFont="1" applyAlignment="1">
      <alignment horizontal="center" vertical="center"/>
    </xf>
    <xf numFmtId="0" fontId="1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82" fontId="3" fillId="0" borderId="0" xfId="0" applyNumberFormat="1" applyFont="1" applyAlignment="1">
      <alignment horizontal="center"/>
    </xf>
    <xf numFmtId="176" fontId="3" fillId="0" borderId="0" xfId="0" applyNumberFormat="1" applyFont="1" applyAlignment="1">
      <alignment horizontal="right"/>
    </xf>
    <xf numFmtId="178" fontId="3" fillId="0" borderId="0" xfId="0" applyNumberFormat="1" applyFont="1" applyAlignment="1">
      <alignment horizontal="right"/>
    </xf>
    <xf numFmtId="0" fontId="16" fillId="0" borderId="6" xfId="0" applyFont="1" applyBorder="1" applyAlignment="1"/>
    <xf numFmtId="0" fontId="16" fillId="0" borderId="3" xfId="0" applyFont="1" applyBorder="1" applyAlignment="1"/>
    <xf numFmtId="0" fontId="16" fillId="0" borderId="4" xfId="0" applyFont="1" applyBorder="1" applyAlignment="1"/>
    <xf numFmtId="0" fontId="16" fillId="0" borderId="17" xfId="0" applyFont="1" applyBorder="1" applyAlignment="1"/>
    <xf numFmtId="0" fontId="16" fillId="0" borderId="15" xfId="0" applyFont="1" applyBorder="1" applyAlignment="1"/>
    <xf numFmtId="0" fontId="16" fillId="0" borderId="16" xfId="0" applyFont="1" applyBorder="1" applyAlignment="1"/>
  </cellXfs>
  <cellStyles count="2">
    <cellStyle name="標準" xfId="0" builtinId="0"/>
    <cellStyle name="標準_直接基礎地盤条件の計算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200025</xdr:colOff>
      <xdr:row>42</xdr:row>
      <xdr:rowOff>9525</xdr:rowOff>
    </xdr:from>
    <xdr:to>
      <xdr:col>23</xdr:col>
      <xdr:colOff>114300</xdr:colOff>
      <xdr:row>43</xdr:row>
      <xdr:rowOff>0</xdr:rowOff>
    </xdr:to>
    <xdr:sp macro="" textlink="">
      <xdr:nvSpPr>
        <xdr:cNvPr id="57792" name="Freeform 29">
          <a:extLst>
            <a:ext uri="{FF2B5EF4-FFF2-40B4-BE49-F238E27FC236}">
              <a16:creationId xmlns:a16="http://schemas.microsoft.com/office/drawing/2014/main" id="{40D1B1B9-E003-1DBC-25C5-835B8690EB1B}"/>
            </a:ext>
          </a:extLst>
        </xdr:cNvPr>
        <xdr:cNvSpPr>
          <a:spLocks/>
        </xdr:cNvSpPr>
      </xdr:nvSpPr>
      <xdr:spPr bwMode="auto">
        <a:xfrm>
          <a:off x="4552950" y="6496050"/>
          <a:ext cx="714375" cy="190500"/>
        </a:xfrm>
        <a:custGeom>
          <a:avLst/>
          <a:gdLst>
            <a:gd name="T0" fmla="*/ 0 w 17857"/>
            <a:gd name="T1" fmla="*/ 2147483646 h 10000"/>
            <a:gd name="T2" fmla="*/ 2147483646 w 17857"/>
            <a:gd name="T3" fmla="*/ 2147483646 h 10000"/>
            <a:gd name="T4" fmla="*/ 2147483646 w 17857"/>
            <a:gd name="T5" fmla="*/ 0 h 10000"/>
            <a:gd name="T6" fmla="*/ 2147483646 w 17857"/>
            <a:gd name="T7" fmla="*/ 0 h 10000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17857" h="10000">
              <a:moveTo>
                <a:pt x="0" y="7368"/>
              </a:moveTo>
              <a:lnTo>
                <a:pt x="769" y="10000"/>
              </a:lnTo>
              <a:cubicBezTo>
                <a:pt x="1025" y="6667"/>
                <a:pt x="1282" y="3333"/>
                <a:pt x="1538" y="0"/>
              </a:cubicBezTo>
              <a:lnTo>
                <a:pt x="17857" y="0"/>
              </a:lnTo>
            </a:path>
          </a:pathLst>
        </a:custGeom>
        <a:noFill/>
        <a:ln w="317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36</xdr:col>
      <xdr:colOff>142875</xdr:colOff>
      <xdr:row>22</xdr:row>
      <xdr:rowOff>180975</xdr:rowOff>
    </xdr:from>
    <xdr:to>
      <xdr:col>61</xdr:col>
      <xdr:colOff>161925</xdr:colOff>
      <xdr:row>32</xdr:row>
      <xdr:rowOff>190500</xdr:rowOff>
    </xdr:to>
    <xdr:pic>
      <xdr:nvPicPr>
        <xdr:cNvPr id="57793" name="図 1">
          <a:extLst>
            <a:ext uri="{FF2B5EF4-FFF2-40B4-BE49-F238E27FC236}">
              <a16:creationId xmlns:a16="http://schemas.microsoft.com/office/drawing/2014/main" id="{EE056E56-E7CD-B2C4-93D1-CD88995B7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6" r="3853" b="6805"/>
        <a:stretch>
          <a:fillRect/>
        </a:stretch>
      </xdr:blipFill>
      <xdr:spPr bwMode="auto">
        <a:xfrm rot="-60000">
          <a:off x="7896225" y="2781300"/>
          <a:ext cx="5019675" cy="1895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49</xdr:col>
      <xdr:colOff>44823</xdr:colOff>
      <xdr:row>30</xdr:row>
      <xdr:rowOff>179294</xdr:rowOff>
    </xdr:from>
    <xdr:to>
      <xdr:col>61</xdr:col>
      <xdr:colOff>156881</xdr:colOff>
      <xdr:row>31</xdr:row>
      <xdr:rowOff>145676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D881ADC-50D9-CFEA-B346-2429F9252A1B}"/>
            </a:ext>
          </a:extLst>
        </xdr:cNvPr>
        <xdr:cNvSpPr/>
      </xdr:nvSpPr>
      <xdr:spPr bwMode="auto">
        <a:xfrm>
          <a:off x="10477499" y="4303059"/>
          <a:ext cx="2532529" cy="168088"/>
        </a:xfrm>
        <a:prstGeom prst="rect">
          <a:avLst/>
        </a:prstGeom>
        <a:noFill/>
        <a:ln w="3175" cap="flat" cmpd="sng" algn="ctr">
          <a:solidFill>
            <a:srgbClr val="FF0000"/>
          </a:solidFill>
          <a:prstDash val="solid"/>
          <a:round/>
          <a:headEnd type="arrow" w="sm" len="sm"/>
          <a:tailEnd type="arrow" w="sm" len="sm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3175" cap="flat" cmpd="sng" algn="ctr">
          <a:solidFill>
            <a:srgbClr val="000000"/>
          </a:solidFill>
          <a:prstDash val="solid"/>
          <a:round/>
          <a:headEnd type="arrow" w="sm" len="sm"/>
          <a:tailEnd type="arrow" w="sm" len="sm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3175" cap="flat" cmpd="sng" algn="ctr">
          <a:solidFill>
            <a:srgbClr val="000000"/>
          </a:solidFill>
          <a:prstDash val="solid"/>
          <a:round/>
          <a:headEnd type="arrow" w="sm" len="sm"/>
          <a:tailEnd type="arrow" w="sm" len="sm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支持層Sheet" filterMode="1"/>
  <dimension ref="A3:BA127"/>
  <sheetViews>
    <sheetView tabSelected="1" view="pageBreakPreview" topLeftCell="A36" zoomScale="90" zoomScaleNormal="90" zoomScaleSheetLayoutView="90" workbookViewId="0">
      <selection activeCell="U45" sqref="U45"/>
    </sheetView>
  </sheetViews>
  <sheetFormatPr defaultColWidth="2.625" defaultRowHeight="15.75" customHeight="1"/>
  <cols>
    <col min="1" max="1" width="9.75" style="2" customWidth="1"/>
    <col min="2" max="2" width="2.75" style="2" customWidth="1"/>
    <col min="3" max="3" width="2.625" style="3" customWidth="1"/>
    <col min="4" max="4" width="2.625" style="2" customWidth="1"/>
    <col min="5" max="5" width="2.625" style="3" customWidth="1"/>
    <col min="6" max="10" width="2.625" style="2"/>
    <col min="11" max="11" width="2.625" style="2" customWidth="1"/>
    <col min="12" max="16384" width="2.625" style="2"/>
  </cols>
  <sheetData>
    <row r="3" spans="1:53" ht="15.75" customHeight="1">
      <c r="B3" s="1" t="s">
        <v>0</v>
      </c>
      <c r="C3" s="2"/>
      <c r="D3" s="3"/>
      <c r="E3" s="2"/>
    </row>
    <row r="4" spans="1:53" ht="15.75" customHeight="1">
      <c r="B4" s="3"/>
      <c r="C4" s="2"/>
      <c r="D4" s="3"/>
      <c r="E4" s="2"/>
    </row>
    <row r="5" spans="1:53" ht="15.75" customHeight="1">
      <c r="B5" s="3"/>
      <c r="C5" s="1" t="s">
        <v>1</v>
      </c>
      <c r="D5" s="3"/>
      <c r="E5" s="2"/>
    </row>
    <row r="6" spans="1:53" ht="15.75" customHeight="1">
      <c r="B6" s="3"/>
      <c r="C6" s="1"/>
      <c r="D6" s="3"/>
      <c r="E6" s="2"/>
    </row>
    <row r="7" spans="1:53" ht="15.75" customHeight="1">
      <c r="B7" s="3"/>
      <c r="C7" s="1"/>
      <c r="D7" s="3" t="s">
        <v>2</v>
      </c>
      <c r="E7" s="2"/>
    </row>
    <row r="8" spans="1:53" ht="15.75" customHeight="1">
      <c r="G8" s="3"/>
      <c r="I8" s="3"/>
      <c r="K8" s="3"/>
      <c r="M8" s="3"/>
      <c r="O8" s="3"/>
      <c r="Q8" s="3"/>
      <c r="S8" s="3"/>
      <c r="U8" s="3"/>
      <c r="W8" s="3"/>
      <c r="Y8" s="3"/>
      <c r="AA8" s="3"/>
      <c r="AC8" s="3"/>
      <c r="AE8" s="3"/>
      <c r="AR8" s="36">
        <v>1.08</v>
      </c>
      <c r="AS8" s="36"/>
      <c r="AT8" s="36">
        <v>18</v>
      </c>
      <c r="AU8" s="36"/>
      <c r="AV8" s="36">
        <f>AR8*AT8</f>
        <v>19.440000000000001</v>
      </c>
      <c r="AW8" s="36"/>
      <c r="AX8" s="36"/>
    </row>
    <row r="9" spans="1:53" ht="15.75" customHeight="1">
      <c r="B9" s="3"/>
      <c r="C9" s="1"/>
      <c r="D9" s="3"/>
      <c r="E9" s="2"/>
      <c r="R9" s="17" t="s">
        <v>3</v>
      </c>
      <c r="AR9" s="36">
        <v>2</v>
      </c>
      <c r="AS9" s="36"/>
      <c r="AT9" s="36">
        <v>9</v>
      </c>
      <c r="AU9" s="36"/>
      <c r="AV9" s="36">
        <f>AR9*AT9</f>
        <v>18</v>
      </c>
      <c r="AW9" s="36"/>
      <c r="AX9" s="36"/>
    </row>
    <row r="10" spans="1:53" ht="15.75" customHeight="1">
      <c r="B10" s="53" t="s">
        <v>4</v>
      </c>
      <c r="C10" s="54"/>
      <c r="D10" s="54"/>
      <c r="E10" s="57" t="s">
        <v>5</v>
      </c>
      <c r="F10" s="57"/>
      <c r="G10" s="57"/>
      <c r="H10" s="57"/>
      <c r="I10" s="57" t="s">
        <v>6</v>
      </c>
      <c r="J10" s="57"/>
      <c r="K10" s="57"/>
      <c r="L10" s="57"/>
      <c r="M10" s="57" t="s">
        <v>7</v>
      </c>
      <c r="N10" s="57"/>
      <c r="O10" s="57"/>
      <c r="P10" s="58" t="s">
        <v>8</v>
      </c>
      <c r="Q10" s="58"/>
      <c r="R10" s="58"/>
      <c r="S10" s="58"/>
      <c r="T10" s="58"/>
      <c r="U10" s="58"/>
      <c r="V10" s="58"/>
      <c r="W10" s="58"/>
      <c r="X10" s="57" t="s">
        <v>9</v>
      </c>
      <c r="Y10" s="57"/>
      <c r="Z10" s="57"/>
      <c r="AA10" s="57"/>
      <c r="AB10" s="48" t="s">
        <v>10</v>
      </c>
      <c r="AC10" s="48"/>
      <c r="AD10" s="48"/>
      <c r="AE10" s="48"/>
      <c r="AF10" s="48" t="s">
        <v>11</v>
      </c>
      <c r="AG10" s="48"/>
      <c r="AH10" s="48"/>
      <c r="AI10" s="49"/>
      <c r="AJ10" s="82" t="s">
        <v>12</v>
      </c>
      <c r="AK10" s="48"/>
      <c r="AL10" s="48"/>
      <c r="AM10" s="49"/>
      <c r="AR10" s="36">
        <f>SUM(AR8:AS9)</f>
        <v>3.08</v>
      </c>
      <c r="AS10" s="36"/>
      <c r="AV10" s="36">
        <f>SUM(AV8:AX9)</f>
        <v>37.44</v>
      </c>
      <c r="AW10" s="36"/>
      <c r="AX10" s="36"/>
      <c r="AY10" s="36">
        <f>AV10/AR10</f>
        <v>12.155844155844155</v>
      </c>
      <c r="AZ10" s="36"/>
      <c r="BA10" s="36"/>
    </row>
    <row r="11" spans="1:53" ht="15.75" customHeight="1">
      <c r="B11" s="55"/>
      <c r="C11" s="56"/>
      <c r="D11" s="56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0" t="s">
        <v>13</v>
      </c>
      <c r="Q11" s="50"/>
      <c r="R11" s="50"/>
      <c r="S11" s="50"/>
      <c r="T11" s="50" t="s">
        <v>14</v>
      </c>
      <c r="U11" s="50"/>
      <c r="V11" s="50"/>
      <c r="W11" s="50"/>
      <c r="X11" s="51" t="s">
        <v>15</v>
      </c>
      <c r="Y11" s="51"/>
      <c r="Z11" s="51"/>
      <c r="AA11" s="51"/>
      <c r="AB11" s="51" t="s">
        <v>16</v>
      </c>
      <c r="AC11" s="51"/>
      <c r="AD11" s="51"/>
      <c r="AE11" s="51"/>
      <c r="AF11" s="51" t="s">
        <v>17</v>
      </c>
      <c r="AG11" s="51"/>
      <c r="AH11" s="51"/>
      <c r="AI11" s="52"/>
      <c r="AJ11" s="83" t="s">
        <v>18</v>
      </c>
      <c r="AK11" s="51"/>
      <c r="AL11" s="51"/>
      <c r="AM11" s="52"/>
    </row>
    <row r="12" spans="1:53" ht="15.75" customHeight="1">
      <c r="A12" s="32" t="str">
        <f>IF(LEN(CONCATENATE(B12,E12,I12,M12,P12,T12,X12,Z12,AB12,AF12))=0,"×","")</f>
        <v/>
      </c>
      <c r="B12" s="67" t="s">
        <v>19</v>
      </c>
      <c r="C12" s="68"/>
      <c r="D12" s="68"/>
      <c r="E12" s="69">
        <f>1.08+2</f>
        <v>3.08</v>
      </c>
      <c r="F12" s="69"/>
      <c r="G12" s="69"/>
      <c r="H12" s="69"/>
      <c r="I12" s="73"/>
      <c r="J12" s="73"/>
      <c r="K12" s="73"/>
      <c r="L12" s="73"/>
      <c r="M12" s="44"/>
      <c r="N12" s="44"/>
      <c r="O12" s="44"/>
      <c r="P12" s="43">
        <v>18</v>
      </c>
      <c r="Q12" s="43"/>
      <c r="R12" s="43"/>
      <c r="S12" s="43"/>
      <c r="T12" s="43">
        <v>9</v>
      </c>
      <c r="U12" s="43"/>
      <c r="V12" s="43"/>
      <c r="W12" s="43"/>
      <c r="X12" s="90"/>
      <c r="Y12" s="91"/>
      <c r="Z12" s="91"/>
      <c r="AA12" s="92"/>
      <c r="AB12" s="44"/>
      <c r="AC12" s="44"/>
      <c r="AD12" s="44"/>
      <c r="AE12" s="44"/>
      <c r="AF12" s="45"/>
      <c r="AG12" s="45"/>
      <c r="AH12" s="45"/>
      <c r="AI12" s="46"/>
      <c r="AJ12" s="62">
        <v>0</v>
      </c>
      <c r="AK12" s="43"/>
      <c r="AL12" s="43"/>
      <c r="AM12" s="63"/>
    </row>
    <row r="13" spans="1:53" ht="15.75" customHeight="1">
      <c r="A13" s="32" t="str">
        <f>IF(LEN(CONCATENATE(B13,E13,I13,M13,P13,T13,X13,Z13,AB13,AF13))=0,"×","")</f>
        <v/>
      </c>
      <c r="B13" s="67" t="s">
        <v>20</v>
      </c>
      <c r="C13" s="68"/>
      <c r="D13" s="68"/>
      <c r="E13" s="69"/>
      <c r="F13" s="69"/>
      <c r="G13" s="69"/>
      <c r="H13" s="69"/>
      <c r="I13" s="70" t="s">
        <v>21</v>
      </c>
      <c r="J13" s="71"/>
      <c r="K13" s="71"/>
      <c r="L13" s="72"/>
      <c r="M13" s="44">
        <v>90</v>
      </c>
      <c r="N13" s="44"/>
      <c r="O13" s="44"/>
      <c r="P13" s="43">
        <v>19</v>
      </c>
      <c r="Q13" s="43"/>
      <c r="R13" s="43"/>
      <c r="S13" s="43"/>
      <c r="T13" s="43">
        <v>10</v>
      </c>
      <c r="U13" s="43"/>
      <c r="V13" s="43"/>
      <c r="W13" s="43"/>
      <c r="X13" s="90">
        <v>42.2</v>
      </c>
      <c r="Y13" s="91"/>
      <c r="Z13" s="91"/>
      <c r="AA13" s="92"/>
      <c r="AB13" s="44"/>
      <c r="AC13" s="44"/>
      <c r="AD13" s="44"/>
      <c r="AE13" s="44"/>
      <c r="AF13" s="45">
        <v>165760</v>
      </c>
      <c r="AG13" s="45"/>
      <c r="AH13" s="45"/>
      <c r="AI13" s="46"/>
      <c r="AJ13" s="64">
        <f>AJ12+E12*P12</f>
        <v>55.44</v>
      </c>
      <c r="AK13" s="65"/>
      <c r="AL13" s="65"/>
      <c r="AM13" s="66"/>
    </row>
    <row r="14" spans="1:53" ht="15.75" hidden="1" customHeight="1">
      <c r="A14" s="32" t="str">
        <f t="shared" ref="A14:A22" si="0">IF(LEN(CONCATENATE(B14,E14,I14,M14,P14,T14,X14,Z14,AB14,AF14))=0,"×","")</f>
        <v>×</v>
      </c>
      <c r="B14" s="67"/>
      <c r="C14" s="68"/>
      <c r="D14" s="68"/>
      <c r="E14" s="69"/>
      <c r="F14" s="69"/>
      <c r="G14" s="69"/>
      <c r="H14" s="69"/>
      <c r="I14" s="73"/>
      <c r="J14" s="73"/>
      <c r="K14" s="73"/>
      <c r="L14" s="73"/>
      <c r="M14" s="44"/>
      <c r="N14" s="44"/>
      <c r="O14" s="44"/>
      <c r="P14" s="43"/>
      <c r="Q14" s="43"/>
      <c r="R14" s="43"/>
      <c r="S14" s="43"/>
      <c r="T14" s="43"/>
      <c r="U14" s="43"/>
      <c r="V14" s="43"/>
      <c r="W14" s="43"/>
      <c r="X14" s="90"/>
      <c r="Y14" s="91"/>
      <c r="Z14" s="91"/>
      <c r="AA14" s="92"/>
      <c r="AB14" s="44"/>
      <c r="AC14" s="44"/>
      <c r="AD14" s="44"/>
      <c r="AE14" s="44"/>
      <c r="AF14" s="45"/>
      <c r="AG14" s="45"/>
      <c r="AH14" s="45"/>
      <c r="AI14" s="46"/>
      <c r="AJ14" s="64">
        <f t="shared" ref="AJ14:AJ22" si="1">AJ13+E13*P13</f>
        <v>55.44</v>
      </c>
      <c r="AK14" s="65"/>
      <c r="AL14" s="65"/>
      <c r="AM14" s="66"/>
    </row>
    <row r="15" spans="1:53" ht="15.75" hidden="1" customHeight="1">
      <c r="A15" s="32" t="str">
        <f t="shared" si="0"/>
        <v>×</v>
      </c>
      <c r="B15" s="67"/>
      <c r="C15" s="68"/>
      <c r="D15" s="68"/>
      <c r="E15" s="69"/>
      <c r="F15" s="69"/>
      <c r="G15" s="69"/>
      <c r="H15" s="69"/>
      <c r="I15" s="73"/>
      <c r="J15" s="73"/>
      <c r="K15" s="73"/>
      <c r="L15" s="73"/>
      <c r="M15" s="44"/>
      <c r="N15" s="44"/>
      <c r="O15" s="44"/>
      <c r="P15" s="43"/>
      <c r="Q15" s="43"/>
      <c r="R15" s="43"/>
      <c r="S15" s="43"/>
      <c r="T15" s="43"/>
      <c r="U15" s="43"/>
      <c r="V15" s="43"/>
      <c r="W15" s="43"/>
      <c r="X15" s="90"/>
      <c r="Y15" s="91"/>
      <c r="Z15" s="91"/>
      <c r="AA15" s="92"/>
      <c r="AB15" s="44"/>
      <c r="AC15" s="44"/>
      <c r="AD15" s="44"/>
      <c r="AE15" s="44"/>
      <c r="AF15" s="45"/>
      <c r="AG15" s="45"/>
      <c r="AH15" s="45"/>
      <c r="AI15" s="46"/>
      <c r="AJ15" s="64">
        <f t="shared" si="1"/>
        <v>55.44</v>
      </c>
      <c r="AK15" s="65"/>
      <c r="AL15" s="65"/>
      <c r="AM15" s="66"/>
    </row>
    <row r="16" spans="1:53" ht="15.75" hidden="1" customHeight="1">
      <c r="A16" s="32" t="str">
        <f t="shared" si="0"/>
        <v>×</v>
      </c>
      <c r="B16" s="67"/>
      <c r="C16" s="68"/>
      <c r="D16" s="68"/>
      <c r="E16" s="69"/>
      <c r="F16" s="69"/>
      <c r="G16" s="69"/>
      <c r="H16" s="69"/>
      <c r="I16" s="73"/>
      <c r="J16" s="73"/>
      <c r="K16" s="73"/>
      <c r="L16" s="73"/>
      <c r="M16" s="44"/>
      <c r="N16" s="44"/>
      <c r="O16" s="44"/>
      <c r="P16" s="43"/>
      <c r="Q16" s="43"/>
      <c r="R16" s="43"/>
      <c r="S16" s="43"/>
      <c r="T16" s="43"/>
      <c r="U16" s="43"/>
      <c r="V16" s="43"/>
      <c r="W16" s="43"/>
      <c r="X16" s="90"/>
      <c r="Y16" s="91"/>
      <c r="Z16" s="91"/>
      <c r="AA16" s="92"/>
      <c r="AB16" s="44"/>
      <c r="AC16" s="44"/>
      <c r="AD16" s="44"/>
      <c r="AE16" s="44"/>
      <c r="AF16" s="45"/>
      <c r="AG16" s="45"/>
      <c r="AH16" s="45"/>
      <c r="AI16" s="46"/>
      <c r="AJ16" s="64">
        <f t="shared" si="1"/>
        <v>55.44</v>
      </c>
      <c r="AK16" s="65"/>
      <c r="AL16" s="65"/>
      <c r="AM16" s="66"/>
    </row>
    <row r="17" spans="1:40" ht="15.75" hidden="1" customHeight="1">
      <c r="A17" s="32" t="str">
        <f t="shared" si="0"/>
        <v>×</v>
      </c>
      <c r="B17" s="67"/>
      <c r="C17" s="68"/>
      <c r="D17" s="68"/>
      <c r="E17" s="69"/>
      <c r="F17" s="69"/>
      <c r="G17" s="69"/>
      <c r="H17" s="69"/>
      <c r="I17" s="73"/>
      <c r="J17" s="73"/>
      <c r="K17" s="73"/>
      <c r="L17" s="73"/>
      <c r="M17" s="44"/>
      <c r="N17" s="44"/>
      <c r="O17" s="44"/>
      <c r="P17" s="43"/>
      <c r="Q17" s="43"/>
      <c r="R17" s="43"/>
      <c r="S17" s="43"/>
      <c r="T17" s="43"/>
      <c r="U17" s="43"/>
      <c r="V17" s="43"/>
      <c r="W17" s="43"/>
      <c r="X17" s="90"/>
      <c r="Y17" s="91"/>
      <c r="Z17" s="91"/>
      <c r="AA17" s="92"/>
      <c r="AB17" s="44"/>
      <c r="AC17" s="44"/>
      <c r="AD17" s="44"/>
      <c r="AE17" s="44"/>
      <c r="AF17" s="45"/>
      <c r="AG17" s="45"/>
      <c r="AH17" s="45"/>
      <c r="AI17" s="46"/>
      <c r="AJ17" s="64">
        <f t="shared" si="1"/>
        <v>55.44</v>
      </c>
      <c r="AK17" s="65"/>
      <c r="AL17" s="65"/>
      <c r="AM17" s="66"/>
    </row>
    <row r="18" spans="1:40" ht="15.75" hidden="1" customHeight="1">
      <c r="A18" s="32" t="str">
        <f t="shared" si="0"/>
        <v>×</v>
      </c>
      <c r="B18" s="67"/>
      <c r="C18" s="68"/>
      <c r="D18" s="68"/>
      <c r="E18" s="69"/>
      <c r="F18" s="69"/>
      <c r="G18" s="69"/>
      <c r="H18" s="69"/>
      <c r="I18" s="73"/>
      <c r="J18" s="73"/>
      <c r="K18" s="73"/>
      <c r="L18" s="73"/>
      <c r="M18" s="44"/>
      <c r="N18" s="44"/>
      <c r="O18" s="44"/>
      <c r="P18" s="43"/>
      <c r="Q18" s="43"/>
      <c r="R18" s="43"/>
      <c r="S18" s="43"/>
      <c r="T18" s="43"/>
      <c r="U18" s="43"/>
      <c r="V18" s="43"/>
      <c r="W18" s="43"/>
      <c r="X18" s="90"/>
      <c r="Y18" s="91"/>
      <c r="Z18" s="91"/>
      <c r="AA18" s="92"/>
      <c r="AB18" s="44"/>
      <c r="AC18" s="44"/>
      <c r="AD18" s="44"/>
      <c r="AE18" s="44"/>
      <c r="AF18" s="45"/>
      <c r="AG18" s="45"/>
      <c r="AH18" s="45"/>
      <c r="AI18" s="46"/>
      <c r="AJ18" s="64">
        <f t="shared" si="1"/>
        <v>55.44</v>
      </c>
      <c r="AK18" s="65"/>
      <c r="AL18" s="65"/>
      <c r="AM18" s="66"/>
    </row>
    <row r="19" spans="1:40" ht="15.75" hidden="1" customHeight="1">
      <c r="A19" s="32" t="str">
        <f t="shared" si="0"/>
        <v>×</v>
      </c>
      <c r="B19" s="67"/>
      <c r="C19" s="68"/>
      <c r="D19" s="68"/>
      <c r="E19" s="69"/>
      <c r="F19" s="69"/>
      <c r="G19" s="69"/>
      <c r="H19" s="69"/>
      <c r="I19" s="73"/>
      <c r="J19" s="73"/>
      <c r="K19" s="73"/>
      <c r="L19" s="73"/>
      <c r="M19" s="44"/>
      <c r="N19" s="44"/>
      <c r="O19" s="44"/>
      <c r="P19" s="43"/>
      <c r="Q19" s="43"/>
      <c r="R19" s="43"/>
      <c r="S19" s="43"/>
      <c r="T19" s="43"/>
      <c r="U19" s="43"/>
      <c r="V19" s="43"/>
      <c r="W19" s="43"/>
      <c r="X19" s="90"/>
      <c r="Y19" s="91"/>
      <c r="Z19" s="91"/>
      <c r="AA19" s="92"/>
      <c r="AB19" s="44"/>
      <c r="AC19" s="44"/>
      <c r="AD19" s="44"/>
      <c r="AE19" s="44"/>
      <c r="AF19" s="45"/>
      <c r="AG19" s="45"/>
      <c r="AH19" s="45"/>
      <c r="AI19" s="46"/>
      <c r="AJ19" s="64">
        <f t="shared" si="1"/>
        <v>55.44</v>
      </c>
      <c r="AK19" s="65"/>
      <c r="AL19" s="65"/>
      <c r="AM19" s="66"/>
    </row>
    <row r="20" spans="1:40" ht="15.75" hidden="1" customHeight="1">
      <c r="A20" s="32" t="str">
        <f t="shared" si="0"/>
        <v>×</v>
      </c>
      <c r="B20" s="67"/>
      <c r="C20" s="68"/>
      <c r="D20" s="68"/>
      <c r="E20" s="69"/>
      <c r="F20" s="69"/>
      <c r="G20" s="69"/>
      <c r="H20" s="69"/>
      <c r="I20" s="73"/>
      <c r="J20" s="73"/>
      <c r="K20" s="73"/>
      <c r="L20" s="73"/>
      <c r="M20" s="44"/>
      <c r="N20" s="44"/>
      <c r="O20" s="44"/>
      <c r="P20" s="43"/>
      <c r="Q20" s="43"/>
      <c r="R20" s="43"/>
      <c r="S20" s="43"/>
      <c r="T20" s="43"/>
      <c r="U20" s="43"/>
      <c r="V20" s="43"/>
      <c r="W20" s="43"/>
      <c r="X20" s="90"/>
      <c r="Y20" s="91"/>
      <c r="Z20" s="91"/>
      <c r="AA20" s="92"/>
      <c r="AB20" s="44"/>
      <c r="AC20" s="44"/>
      <c r="AD20" s="44"/>
      <c r="AE20" s="44"/>
      <c r="AF20" s="45"/>
      <c r="AG20" s="45"/>
      <c r="AH20" s="45"/>
      <c r="AI20" s="46"/>
      <c r="AJ20" s="64">
        <f t="shared" si="1"/>
        <v>55.44</v>
      </c>
      <c r="AK20" s="65"/>
      <c r="AL20" s="65"/>
      <c r="AM20" s="66"/>
    </row>
    <row r="21" spans="1:40" ht="15.75" hidden="1" customHeight="1">
      <c r="A21" s="32" t="str">
        <f t="shared" si="0"/>
        <v>×</v>
      </c>
      <c r="B21" s="67"/>
      <c r="C21" s="68"/>
      <c r="D21" s="68"/>
      <c r="E21" s="69"/>
      <c r="F21" s="69"/>
      <c r="G21" s="69"/>
      <c r="H21" s="69"/>
      <c r="I21" s="73"/>
      <c r="J21" s="73"/>
      <c r="K21" s="73"/>
      <c r="L21" s="73"/>
      <c r="M21" s="44"/>
      <c r="N21" s="44"/>
      <c r="O21" s="44"/>
      <c r="P21" s="43"/>
      <c r="Q21" s="43"/>
      <c r="R21" s="43"/>
      <c r="S21" s="43"/>
      <c r="T21" s="43"/>
      <c r="U21" s="43"/>
      <c r="V21" s="43"/>
      <c r="W21" s="43"/>
      <c r="X21" s="90"/>
      <c r="Y21" s="91"/>
      <c r="Z21" s="91"/>
      <c r="AA21" s="92"/>
      <c r="AB21" s="44"/>
      <c r="AC21" s="44"/>
      <c r="AD21" s="44"/>
      <c r="AE21" s="44"/>
      <c r="AF21" s="45"/>
      <c r="AG21" s="45"/>
      <c r="AH21" s="45"/>
      <c r="AI21" s="46"/>
      <c r="AJ21" s="64">
        <f t="shared" si="1"/>
        <v>55.44</v>
      </c>
      <c r="AK21" s="65"/>
      <c r="AL21" s="65"/>
      <c r="AM21" s="66"/>
    </row>
    <row r="22" spans="1:40" ht="15.75" hidden="1" customHeight="1">
      <c r="A22" s="32" t="str">
        <f t="shared" si="0"/>
        <v>×</v>
      </c>
      <c r="B22" s="77"/>
      <c r="C22" s="78"/>
      <c r="D22" s="78"/>
      <c r="E22" s="79"/>
      <c r="F22" s="79"/>
      <c r="G22" s="79"/>
      <c r="H22" s="79"/>
      <c r="I22" s="80"/>
      <c r="J22" s="80"/>
      <c r="K22" s="80"/>
      <c r="L22" s="80"/>
      <c r="M22" s="74"/>
      <c r="N22" s="74"/>
      <c r="O22" s="74"/>
      <c r="P22" s="81"/>
      <c r="Q22" s="81"/>
      <c r="R22" s="81"/>
      <c r="S22" s="81"/>
      <c r="T22" s="81"/>
      <c r="U22" s="81"/>
      <c r="V22" s="81"/>
      <c r="W22" s="81"/>
      <c r="X22" s="93"/>
      <c r="Y22" s="94"/>
      <c r="Z22" s="94"/>
      <c r="AA22" s="95"/>
      <c r="AB22" s="74"/>
      <c r="AC22" s="74"/>
      <c r="AD22" s="74"/>
      <c r="AE22" s="74"/>
      <c r="AF22" s="75"/>
      <c r="AG22" s="75"/>
      <c r="AH22" s="75"/>
      <c r="AI22" s="76"/>
      <c r="AJ22" s="59">
        <f t="shared" si="1"/>
        <v>55.44</v>
      </c>
      <c r="AK22" s="60"/>
      <c r="AL22" s="60"/>
      <c r="AM22" s="61"/>
    </row>
    <row r="23" spans="1:40" ht="15.75" customHeight="1">
      <c r="B23" s="29"/>
      <c r="C23" s="30"/>
      <c r="D23" s="29"/>
      <c r="E23" s="30"/>
      <c r="F23" s="29"/>
      <c r="G23" s="30"/>
      <c r="H23" s="29"/>
      <c r="I23" s="30"/>
      <c r="J23" s="29"/>
      <c r="K23" s="30"/>
      <c r="L23" s="29"/>
      <c r="M23" s="30"/>
      <c r="N23" s="29"/>
      <c r="O23" s="30"/>
      <c r="P23" s="29"/>
      <c r="Q23" s="30"/>
      <c r="R23" s="29"/>
      <c r="S23" s="30"/>
      <c r="T23" s="29"/>
      <c r="U23" s="30"/>
      <c r="V23" s="29"/>
      <c r="W23" s="30"/>
      <c r="X23" s="29"/>
      <c r="Y23" s="30"/>
      <c r="Z23" s="29"/>
      <c r="AA23" s="30"/>
      <c r="AB23" s="29"/>
      <c r="AC23" s="30"/>
      <c r="AD23" s="29"/>
      <c r="AE23" s="30"/>
      <c r="AF23" s="29"/>
      <c r="AG23" s="30"/>
      <c r="AH23" s="29"/>
      <c r="AI23" s="30"/>
      <c r="AJ23" s="31"/>
      <c r="AK23" s="31"/>
      <c r="AL23" s="31"/>
      <c r="AM23" s="31"/>
    </row>
    <row r="24" spans="1:40" ht="15.75" customHeight="1">
      <c r="E24" s="6" t="s">
        <v>22</v>
      </c>
    </row>
    <row r="25" spans="1:40" s="18" customFormat="1" ht="7.5" customHeight="1">
      <c r="I25" s="21"/>
      <c r="J25" s="21"/>
    </row>
    <row r="26" spans="1:40" s="18" customFormat="1" ht="15" customHeight="1">
      <c r="F26" s="84" t="s">
        <v>23</v>
      </c>
      <c r="G26" s="84"/>
      <c r="H26" s="19" t="s">
        <v>24</v>
      </c>
      <c r="I26" s="85">
        <v>150</v>
      </c>
      <c r="J26" s="85"/>
      <c r="K26" s="20" t="s">
        <v>25</v>
      </c>
      <c r="L26" s="84" t="s">
        <v>26</v>
      </c>
      <c r="M26" s="84"/>
      <c r="N26" s="19" t="s">
        <v>24</v>
      </c>
      <c r="O26" s="85">
        <v>85</v>
      </c>
      <c r="P26" s="85"/>
    </row>
    <row r="29" spans="1:40" ht="15.75" customHeight="1">
      <c r="C29" s="4"/>
      <c r="D29" s="1" t="s">
        <v>27</v>
      </c>
      <c r="E29" s="2"/>
    </row>
    <row r="30" spans="1:40" ht="15.75" customHeight="1">
      <c r="C30" s="4"/>
    </row>
    <row r="31" spans="1:40" ht="15.75" customHeight="1">
      <c r="E31" s="22" t="s">
        <v>28</v>
      </c>
      <c r="AL31" s="5"/>
      <c r="AM31" s="5"/>
      <c r="AN31" s="5"/>
    </row>
    <row r="32" spans="1:40" ht="15.75" customHeight="1">
      <c r="C32" s="4"/>
    </row>
    <row r="33" spans="3:49" ht="15.75" customHeight="1">
      <c r="E33" s="2"/>
      <c r="F33" s="22" t="s">
        <v>29</v>
      </c>
      <c r="T33" s="22" t="s">
        <v>30</v>
      </c>
      <c r="AL33" s="5"/>
      <c r="AM33" s="5"/>
      <c r="AN33" s="5"/>
    </row>
    <row r="34" spans="3:49" ht="15.75" customHeight="1">
      <c r="E34" s="2"/>
      <c r="F34" s="3"/>
      <c r="H34" s="3"/>
      <c r="I34" s="3"/>
      <c r="J34" s="3"/>
      <c r="L34" s="3"/>
      <c r="M34" s="3"/>
      <c r="N34" s="3"/>
      <c r="O34" s="3"/>
      <c r="P34" s="3"/>
      <c r="Q34" s="3"/>
      <c r="AK34" s="6"/>
      <c r="AL34" s="5"/>
      <c r="AM34" s="5"/>
      <c r="AN34" s="5"/>
    </row>
    <row r="35" spans="3:49" ht="15.75" customHeight="1">
      <c r="G35" s="2" t="s">
        <v>31</v>
      </c>
      <c r="H35" s="2" t="s">
        <v>32</v>
      </c>
      <c r="I35" s="86">
        <v>6.9</v>
      </c>
      <c r="J35" s="86"/>
      <c r="K35" s="6" t="s">
        <v>33</v>
      </c>
      <c r="P35" s="3" t="s">
        <v>34</v>
      </c>
      <c r="AJ35" s="5"/>
      <c r="AK35" s="6" t="str">
        <f>VLOOKUP("支持層",B12:L22,8,FALSE)</f>
        <v>砂礫</v>
      </c>
      <c r="AL35" s="5"/>
    </row>
    <row r="36" spans="3:49" ht="15.75" customHeight="1">
      <c r="C36" s="4"/>
      <c r="G36" s="2" t="s">
        <v>31</v>
      </c>
      <c r="H36" s="2" t="s">
        <v>32</v>
      </c>
      <c r="I36" s="86">
        <v>5.0999999999999996</v>
      </c>
      <c r="J36" s="86"/>
      <c r="K36" s="6" t="s">
        <v>35</v>
      </c>
      <c r="P36" s="3" t="s">
        <v>36</v>
      </c>
      <c r="AK36" s="33">
        <v>1</v>
      </c>
      <c r="AR36" s="3"/>
    </row>
    <row r="37" spans="3:49" ht="15.75" customHeight="1">
      <c r="C37" s="4"/>
      <c r="G37" s="2" t="s">
        <v>31</v>
      </c>
      <c r="H37" s="2" t="s">
        <v>32</v>
      </c>
      <c r="I37" s="86">
        <v>3.8</v>
      </c>
      <c r="J37" s="86"/>
      <c r="K37" s="6" t="s">
        <v>37</v>
      </c>
      <c r="P37" s="3" t="s">
        <v>38</v>
      </c>
      <c r="AR37" s="3"/>
    </row>
    <row r="38" spans="3:49" ht="15.75" customHeight="1">
      <c r="H38" s="6"/>
      <c r="AL38" s="5"/>
      <c r="AM38" s="5"/>
      <c r="AN38" s="5"/>
    </row>
    <row r="39" spans="3:49" ht="15.75" customHeight="1">
      <c r="E39" s="2"/>
      <c r="G39" s="3"/>
      <c r="J39" s="4" t="s">
        <v>39</v>
      </c>
      <c r="K39" s="2" t="s">
        <v>40</v>
      </c>
      <c r="L39" s="6" t="s">
        <v>41</v>
      </c>
      <c r="AN39" s="5"/>
      <c r="AO39" s="5"/>
      <c r="AP39" s="5"/>
    </row>
    <row r="40" spans="3:49" ht="15.75" customHeight="1">
      <c r="C40" s="4"/>
      <c r="E40" s="2"/>
      <c r="G40" s="3"/>
      <c r="J40" s="4" t="s">
        <v>42</v>
      </c>
      <c r="K40" s="2" t="s">
        <v>40</v>
      </c>
      <c r="L40" s="3" t="s">
        <v>43</v>
      </c>
      <c r="AV40" s="3"/>
    </row>
    <row r="41" spans="3:49" ht="15.75" customHeight="1">
      <c r="C41" s="4"/>
      <c r="E41" s="2"/>
      <c r="G41" s="3"/>
      <c r="J41" s="4" t="s">
        <v>44</v>
      </c>
      <c r="K41" s="2" t="s">
        <v>40</v>
      </c>
      <c r="L41" s="3" t="s">
        <v>45</v>
      </c>
      <c r="M41" s="3"/>
      <c r="N41" s="3"/>
      <c r="O41" s="3"/>
      <c r="P41" s="3"/>
      <c r="Q41" s="3"/>
      <c r="T41" s="8" t="s">
        <v>46</v>
      </c>
      <c r="U41" s="87">
        <f>VLOOKUP("支持層",B12:AI22,31,FALSE)</f>
        <v>165760</v>
      </c>
      <c r="V41" s="87"/>
      <c r="W41" s="87"/>
      <c r="X41" s="87"/>
      <c r="Y41" s="3" t="s">
        <v>47</v>
      </c>
      <c r="AW41" s="3"/>
    </row>
    <row r="42" spans="3:49" ht="15.75" customHeight="1">
      <c r="C42" s="4"/>
      <c r="E42" s="2"/>
      <c r="G42" s="3"/>
      <c r="J42" s="4" t="s">
        <v>48</v>
      </c>
      <c r="K42" s="2" t="s">
        <v>40</v>
      </c>
      <c r="L42" s="6" t="s">
        <v>49</v>
      </c>
      <c r="AV42" s="3"/>
    </row>
    <row r="43" spans="3:49" ht="15.75" customHeight="1">
      <c r="C43" s="4"/>
      <c r="E43" s="2"/>
      <c r="G43" s="3"/>
      <c r="K43" s="6" t="s">
        <v>50</v>
      </c>
      <c r="T43" s="8" t="s">
        <v>46</v>
      </c>
      <c r="U43" s="89">
        <f>AC44</f>
        <v>63</v>
      </c>
      <c r="V43" s="89"/>
      <c r="W43" s="89"/>
      <c r="X43" s="89"/>
      <c r="AB43" s="2" t="s">
        <v>51</v>
      </c>
      <c r="AC43" s="89">
        <f>ROUND(SQRT(U43),3)</f>
        <v>7.9370000000000003</v>
      </c>
      <c r="AD43" s="89"/>
      <c r="AE43" s="89"/>
      <c r="AF43" s="89"/>
      <c r="AG43" s="2" t="s">
        <v>52</v>
      </c>
      <c r="AT43" s="3"/>
    </row>
    <row r="44" spans="3:49" ht="15.75" customHeight="1">
      <c r="C44" s="4"/>
      <c r="E44" s="2"/>
      <c r="G44" s="3"/>
      <c r="K44" s="2" t="s">
        <v>53</v>
      </c>
      <c r="L44" s="2" t="s">
        <v>40</v>
      </c>
      <c r="M44" s="6" t="s">
        <v>54</v>
      </c>
      <c r="T44" s="8" t="s">
        <v>46</v>
      </c>
      <c r="U44" s="47">
        <v>7</v>
      </c>
      <c r="V44" s="47"/>
      <c r="W44" s="47"/>
      <c r="X44" s="2" t="s">
        <v>55</v>
      </c>
      <c r="Y44" s="47">
        <v>9</v>
      </c>
      <c r="Z44" s="47"/>
      <c r="AA44" s="47"/>
      <c r="AB44" s="2" t="s">
        <v>51</v>
      </c>
      <c r="AC44" s="88">
        <f>ROUND(Y44*U44,3)</f>
        <v>63</v>
      </c>
      <c r="AD44" s="88"/>
      <c r="AE44" s="88"/>
      <c r="AF44" s="88"/>
      <c r="AG44" s="3" t="s">
        <v>56</v>
      </c>
      <c r="AV44" s="3"/>
    </row>
    <row r="45" spans="3:49" ht="15.75" customHeight="1">
      <c r="C45" s="4"/>
      <c r="E45" s="2"/>
      <c r="G45" s="3"/>
      <c r="AV45" s="3"/>
    </row>
    <row r="46" spans="3:49" ht="15.75" customHeight="1">
      <c r="C46" s="2"/>
      <c r="E46" s="2"/>
      <c r="G46" s="3" t="s">
        <v>57</v>
      </c>
      <c r="J46" s="3"/>
      <c r="K46" s="4" t="s">
        <v>58</v>
      </c>
      <c r="L46" s="40">
        <v>0.5</v>
      </c>
      <c r="M46" s="40"/>
      <c r="N46" s="6" t="s">
        <v>59</v>
      </c>
    </row>
    <row r="47" spans="3:49" ht="15.75" customHeight="1">
      <c r="C47" s="2"/>
      <c r="F47" s="3"/>
      <c r="H47" s="2" t="s">
        <v>31</v>
      </c>
      <c r="I47" s="2" t="s">
        <v>32</v>
      </c>
      <c r="J47" s="42">
        <f>CHOOSE(AK36,I35,I36,I37)</f>
        <v>6.9</v>
      </c>
      <c r="K47" s="42"/>
      <c r="L47" s="2" t="s">
        <v>60</v>
      </c>
      <c r="M47" s="41">
        <f>L46</f>
        <v>0.5</v>
      </c>
      <c r="N47" s="41"/>
      <c r="O47" s="2" t="s">
        <v>60</v>
      </c>
      <c r="P47" s="36">
        <f>U41</f>
        <v>165760</v>
      </c>
      <c r="Q47" s="36"/>
      <c r="R47" s="36"/>
      <c r="S47" s="36"/>
      <c r="T47" s="2" t="s">
        <v>60</v>
      </c>
      <c r="U47" s="37">
        <f>AC43</f>
        <v>7.9370000000000003</v>
      </c>
      <c r="V47" s="37"/>
      <c r="W47" s="37"/>
      <c r="X47" s="37"/>
      <c r="Y47" s="39">
        <f>CHOOSE(AK36,-0.5,-0.75,-1)</f>
        <v>-0.5</v>
      </c>
      <c r="Z47" s="39"/>
      <c r="AA47" s="12"/>
      <c r="AB47" s="2" t="s">
        <v>32</v>
      </c>
      <c r="AC47" s="36">
        <f>ROUND(J47*M47*P47*U47^Y47,0)</f>
        <v>202988</v>
      </c>
      <c r="AD47" s="36"/>
      <c r="AE47" s="36"/>
      <c r="AF47" s="36"/>
      <c r="AG47" s="6" t="s">
        <v>61</v>
      </c>
    </row>
    <row r="48" spans="3:49" ht="15.75" customHeight="1">
      <c r="C48" s="2"/>
      <c r="F48" s="3"/>
      <c r="J48" s="10"/>
      <c r="K48" s="10"/>
      <c r="M48" s="11"/>
      <c r="N48" s="11"/>
      <c r="U48" s="9"/>
      <c r="V48" s="9"/>
      <c r="W48" s="9"/>
      <c r="X48" s="9"/>
      <c r="Y48" s="12"/>
      <c r="Z48" s="12"/>
      <c r="AA48" s="12"/>
      <c r="AG48" s="6"/>
    </row>
    <row r="49" spans="3:45" ht="15.75" customHeight="1">
      <c r="C49" s="2"/>
      <c r="F49" s="3"/>
      <c r="G49" s="3" t="s">
        <v>62</v>
      </c>
      <c r="J49" s="3"/>
      <c r="K49" s="4" t="s">
        <v>58</v>
      </c>
      <c r="L49" s="40">
        <v>1</v>
      </c>
      <c r="M49" s="40"/>
      <c r="N49" s="6" t="s">
        <v>59</v>
      </c>
      <c r="AR49" s="10"/>
      <c r="AS49" s="10"/>
    </row>
    <row r="50" spans="3:45" ht="15.75" customHeight="1">
      <c r="C50" s="2"/>
      <c r="F50" s="3"/>
      <c r="H50" s="2" t="s">
        <v>31</v>
      </c>
      <c r="I50" s="2" t="s">
        <v>32</v>
      </c>
      <c r="J50" s="42">
        <f>J47</f>
        <v>6.9</v>
      </c>
      <c r="K50" s="42"/>
      <c r="L50" s="2" t="s">
        <v>60</v>
      </c>
      <c r="M50" s="41">
        <f>L49</f>
        <v>1</v>
      </c>
      <c r="N50" s="41"/>
      <c r="O50" s="2" t="s">
        <v>60</v>
      </c>
      <c r="P50" s="36">
        <f>P47</f>
        <v>165760</v>
      </c>
      <c r="Q50" s="36"/>
      <c r="R50" s="36"/>
      <c r="S50" s="36"/>
      <c r="T50" s="2" t="s">
        <v>60</v>
      </c>
      <c r="U50" s="37">
        <f>U47</f>
        <v>7.9370000000000003</v>
      </c>
      <c r="V50" s="37"/>
      <c r="W50" s="37"/>
      <c r="X50" s="37"/>
      <c r="Y50" s="39">
        <f>Y47</f>
        <v>-0.5</v>
      </c>
      <c r="Z50" s="39"/>
      <c r="AA50" s="12"/>
      <c r="AB50" s="2" t="s">
        <v>32</v>
      </c>
      <c r="AC50" s="36">
        <f>ROUND(J50*M50*P50*U50^Y50,0)</f>
        <v>405976</v>
      </c>
      <c r="AD50" s="36"/>
      <c r="AE50" s="36"/>
      <c r="AF50" s="36"/>
      <c r="AG50" s="6" t="s">
        <v>61</v>
      </c>
    </row>
    <row r="51" spans="3:45" ht="15.75" customHeight="1">
      <c r="C51" s="2"/>
      <c r="E51" s="6"/>
      <c r="G51" s="3"/>
      <c r="H51" s="6"/>
      <c r="M51" s="8"/>
      <c r="N51" s="3"/>
      <c r="O51" s="3"/>
      <c r="P51" s="3"/>
    </row>
    <row r="52" spans="3:45" ht="15.75" customHeight="1">
      <c r="C52" s="2"/>
      <c r="E52" s="6"/>
      <c r="G52" s="3"/>
      <c r="H52" s="6"/>
      <c r="M52" s="8"/>
      <c r="N52" s="3"/>
      <c r="O52" s="3"/>
      <c r="P52" s="3"/>
    </row>
    <row r="53" spans="3:45" s="17" customFormat="1" ht="15.75" customHeight="1">
      <c r="F53" s="22" t="s">
        <v>63</v>
      </c>
      <c r="H53" s="22"/>
      <c r="I53" s="1"/>
      <c r="N53" s="23"/>
      <c r="O53" s="22"/>
      <c r="P53" s="22"/>
      <c r="Q53" s="22"/>
      <c r="T53" s="22" t="s">
        <v>30</v>
      </c>
    </row>
    <row r="54" spans="3:45" ht="15.75" customHeight="1">
      <c r="C54" s="2"/>
      <c r="E54" s="2"/>
      <c r="G54" s="3"/>
      <c r="H54" s="3"/>
      <c r="N54" s="11"/>
      <c r="P54" s="9"/>
      <c r="R54" s="12"/>
      <c r="T54" s="3"/>
      <c r="U54" s="3"/>
      <c r="V54" s="6"/>
      <c r="AL54" s="3"/>
    </row>
    <row r="55" spans="3:45" ht="15.75" customHeight="1">
      <c r="C55" s="2"/>
      <c r="E55" s="2"/>
      <c r="F55" s="6"/>
      <c r="H55" s="2" t="s">
        <v>64</v>
      </c>
      <c r="I55" s="2" t="s">
        <v>32</v>
      </c>
      <c r="J55" s="3" t="s">
        <v>65</v>
      </c>
    </row>
    <row r="56" spans="3:45" ht="15.75" customHeight="1">
      <c r="C56" s="2"/>
      <c r="E56" s="2"/>
      <c r="F56" s="6"/>
      <c r="J56" s="4" t="s">
        <v>66</v>
      </c>
      <c r="K56" s="2" t="s">
        <v>40</v>
      </c>
      <c r="L56" s="6" t="s">
        <v>67</v>
      </c>
    </row>
    <row r="57" spans="3:45" ht="15.75" customHeight="1">
      <c r="C57" s="2"/>
      <c r="E57" s="2"/>
      <c r="F57" s="6"/>
      <c r="J57" s="4" t="s">
        <v>31</v>
      </c>
      <c r="K57" s="2" t="s">
        <v>40</v>
      </c>
      <c r="L57" s="6" t="s">
        <v>68</v>
      </c>
    </row>
    <row r="58" spans="3:45" ht="15.75" customHeight="1">
      <c r="C58" s="2"/>
      <c r="E58" s="2"/>
      <c r="F58" s="6"/>
      <c r="J58" s="4" t="s">
        <v>53</v>
      </c>
      <c r="K58" s="2" t="s">
        <v>40</v>
      </c>
      <c r="L58" s="6" t="s">
        <v>69</v>
      </c>
    </row>
    <row r="59" spans="3:45" ht="15.75" customHeight="1">
      <c r="C59" s="2"/>
      <c r="E59" s="2"/>
      <c r="F59" s="6"/>
      <c r="L59" s="6"/>
    </row>
    <row r="60" spans="3:45" ht="15.75" customHeight="1">
      <c r="D60" s="3"/>
      <c r="E60" s="2"/>
      <c r="F60" s="3"/>
      <c r="G60" s="3" t="s">
        <v>57</v>
      </c>
      <c r="AM60" s="5"/>
      <c r="AN60" s="13"/>
      <c r="AO60" s="5"/>
    </row>
    <row r="61" spans="3:45" ht="15.75" customHeight="1">
      <c r="D61" s="3"/>
      <c r="E61" s="2"/>
      <c r="F61" s="3"/>
      <c r="H61" s="2" t="s">
        <v>64</v>
      </c>
      <c r="I61" s="2" t="s">
        <v>32</v>
      </c>
      <c r="J61" s="36">
        <f>AC47</f>
        <v>202988</v>
      </c>
      <c r="K61" s="36"/>
      <c r="L61" s="36"/>
      <c r="M61" s="36"/>
      <c r="N61" s="2" t="s">
        <v>60</v>
      </c>
      <c r="O61" s="37">
        <f>AC44</f>
        <v>63</v>
      </c>
      <c r="P61" s="37"/>
      <c r="Q61" s="37"/>
      <c r="R61" s="37"/>
      <c r="U61" s="2" t="s">
        <v>32</v>
      </c>
      <c r="V61" s="34">
        <f>ROUND(J61*O61,0)</f>
        <v>12788244</v>
      </c>
      <c r="W61" s="34"/>
      <c r="X61" s="34"/>
      <c r="Y61" s="34"/>
      <c r="Z61" s="34"/>
      <c r="AA61" s="6" t="s">
        <v>70</v>
      </c>
    </row>
    <row r="62" spans="3:45" ht="15.75" customHeight="1">
      <c r="D62" s="3"/>
      <c r="E62" s="2"/>
      <c r="F62" s="3"/>
      <c r="P62" s="9"/>
      <c r="V62" s="3"/>
      <c r="W62" s="3"/>
      <c r="X62" s="3"/>
      <c r="AA62" s="6"/>
    </row>
    <row r="63" spans="3:45" ht="15.75" customHeight="1">
      <c r="D63" s="3"/>
      <c r="E63" s="2"/>
      <c r="F63" s="3"/>
      <c r="G63" s="3" t="s">
        <v>62</v>
      </c>
    </row>
    <row r="64" spans="3:45" ht="15.75" customHeight="1">
      <c r="D64" s="3"/>
      <c r="E64" s="2"/>
      <c r="F64" s="3"/>
      <c r="H64" s="2" t="s">
        <v>64</v>
      </c>
      <c r="I64" s="2" t="s">
        <v>32</v>
      </c>
      <c r="J64" s="36">
        <f>AC50</f>
        <v>405976</v>
      </c>
      <c r="K64" s="36"/>
      <c r="L64" s="36"/>
      <c r="M64" s="36"/>
      <c r="N64" s="2" t="s">
        <v>60</v>
      </c>
      <c r="O64" s="37">
        <f>O61</f>
        <v>63</v>
      </c>
      <c r="P64" s="37"/>
      <c r="Q64" s="37"/>
      <c r="R64" s="37"/>
      <c r="U64" s="2" t="s">
        <v>32</v>
      </c>
      <c r="V64" s="34">
        <f>ROUND(J64*O64,0)</f>
        <v>25576488</v>
      </c>
      <c r="W64" s="34"/>
      <c r="X64" s="34"/>
      <c r="Y64" s="34"/>
      <c r="Z64" s="34"/>
      <c r="AA64" s="6" t="s">
        <v>70</v>
      </c>
    </row>
    <row r="65" spans="3:41" ht="15.75" customHeight="1">
      <c r="D65" s="3"/>
      <c r="E65" s="2"/>
      <c r="F65" s="3"/>
      <c r="W65" s="3"/>
      <c r="X65" s="3"/>
      <c r="Y65" s="6"/>
    </row>
    <row r="66" spans="3:41" ht="15.75" customHeight="1">
      <c r="D66" s="3"/>
      <c r="E66" s="2"/>
      <c r="F66" s="3"/>
      <c r="M66" s="9"/>
      <c r="V66" s="3"/>
      <c r="W66" s="3"/>
      <c r="X66" s="3"/>
      <c r="Y66" s="6"/>
    </row>
    <row r="67" spans="3:41" ht="15.75" customHeight="1">
      <c r="D67" s="3"/>
      <c r="E67" s="22" t="s">
        <v>71</v>
      </c>
      <c r="F67" s="3"/>
      <c r="AM67" s="5"/>
      <c r="AN67" s="5"/>
      <c r="AO67" s="5"/>
    </row>
    <row r="68" spans="3:41" ht="15.75" customHeight="1">
      <c r="D68" s="3"/>
      <c r="F68" s="3"/>
      <c r="AM68" s="5"/>
      <c r="AN68" s="5"/>
      <c r="AO68" s="5"/>
    </row>
    <row r="69" spans="3:41" s="17" customFormat="1" ht="15.75" customHeight="1">
      <c r="C69" s="22"/>
      <c r="D69" s="22"/>
      <c r="F69" s="22" t="s">
        <v>72</v>
      </c>
      <c r="V69" s="22" t="s">
        <v>30</v>
      </c>
      <c r="AM69" s="24"/>
      <c r="AN69" s="24"/>
      <c r="AO69" s="24"/>
    </row>
    <row r="70" spans="3:41" ht="15.75" customHeight="1">
      <c r="D70" s="3"/>
      <c r="E70" s="2"/>
      <c r="F70" s="3"/>
      <c r="H70" s="3"/>
      <c r="I70" s="3"/>
      <c r="J70" s="3"/>
      <c r="K70" s="3"/>
      <c r="M70" s="3"/>
      <c r="N70" s="3"/>
      <c r="O70" s="3"/>
      <c r="P70" s="3"/>
      <c r="Q70" s="3"/>
      <c r="R70" s="3"/>
    </row>
    <row r="71" spans="3:41" ht="15.75" customHeight="1">
      <c r="C71" s="2"/>
      <c r="E71" s="2"/>
      <c r="F71" s="6"/>
      <c r="H71" s="2" t="s">
        <v>73</v>
      </c>
      <c r="I71" s="2" t="s">
        <v>32</v>
      </c>
      <c r="J71" s="6" t="s">
        <v>74</v>
      </c>
    </row>
    <row r="72" spans="3:41" ht="15.75" customHeight="1">
      <c r="C72" s="2"/>
      <c r="E72" s="2"/>
      <c r="F72" s="6"/>
      <c r="I72" s="6"/>
    </row>
    <row r="73" spans="3:41" ht="15.75" customHeight="1">
      <c r="C73" s="2"/>
      <c r="E73" s="2"/>
      <c r="F73" s="6"/>
      <c r="J73" s="4" t="s">
        <v>75</v>
      </c>
      <c r="K73" s="2" t="s">
        <v>40</v>
      </c>
      <c r="L73" s="6" t="s">
        <v>76</v>
      </c>
    </row>
    <row r="74" spans="3:41" ht="15.75" customHeight="1">
      <c r="C74" s="2"/>
      <c r="E74" s="2"/>
      <c r="F74" s="6"/>
      <c r="J74" s="4" t="s">
        <v>77</v>
      </c>
      <c r="K74" s="2" t="s">
        <v>40</v>
      </c>
      <c r="L74" s="6" t="s">
        <v>78</v>
      </c>
      <c r="P74" s="4" t="s">
        <v>79</v>
      </c>
      <c r="Q74" s="38">
        <f>1/3</f>
        <v>0.33333333333333331</v>
      </c>
      <c r="R74" s="38"/>
      <c r="S74" s="6" t="s">
        <v>80</v>
      </c>
    </row>
    <row r="75" spans="3:41" ht="15.75" customHeight="1">
      <c r="C75" s="2"/>
      <c r="E75" s="2"/>
      <c r="F75" s="6"/>
      <c r="J75" s="4"/>
      <c r="L75" s="6"/>
      <c r="M75" s="4"/>
      <c r="N75" s="14"/>
      <c r="O75" s="3"/>
    </row>
    <row r="76" spans="3:41" ht="15.75" customHeight="1">
      <c r="D76" s="3"/>
      <c r="E76" s="2"/>
      <c r="F76" s="3"/>
      <c r="G76" s="3" t="s">
        <v>57</v>
      </c>
    </row>
    <row r="77" spans="3:41" ht="15.75" customHeight="1">
      <c r="D77" s="3"/>
      <c r="E77" s="2"/>
      <c r="F77" s="3"/>
      <c r="H77" s="2" t="s">
        <v>73</v>
      </c>
      <c r="I77" s="2" t="s">
        <v>32</v>
      </c>
      <c r="J77" s="38">
        <f>1/3</f>
        <v>0.33333333333333331</v>
      </c>
      <c r="K77" s="38"/>
      <c r="L77" s="2" t="s">
        <v>60</v>
      </c>
      <c r="M77" s="36">
        <f>AC47</f>
        <v>202988</v>
      </c>
      <c r="N77" s="36"/>
      <c r="O77" s="36"/>
      <c r="P77" s="36"/>
      <c r="U77" s="2" t="s">
        <v>32</v>
      </c>
      <c r="V77" s="36">
        <f>ROUND(J77*M77,0)</f>
        <v>67663</v>
      </c>
      <c r="W77" s="36"/>
      <c r="X77" s="36"/>
      <c r="Y77" s="36"/>
      <c r="Z77" s="6" t="s">
        <v>61</v>
      </c>
    </row>
    <row r="78" spans="3:41" ht="15.75" customHeight="1">
      <c r="D78" s="3"/>
      <c r="E78" s="2"/>
      <c r="F78" s="3"/>
      <c r="J78" s="14"/>
      <c r="V78" s="3"/>
      <c r="W78" s="3"/>
      <c r="Z78" s="6"/>
    </row>
    <row r="79" spans="3:41" ht="15.75" customHeight="1">
      <c r="D79" s="3"/>
      <c r="E79" s="2"/>
      <c r="F79" s="3"/>
      <c r="G79" s="3" t="s">
        <v>62</v>
      </c>
    </row>
    <row r="80" spans="3:41" ht="15.75" customHeight="1">
      <c r="D80" s="3"/>
      <c r="E80" s="2"/>
      <c r="F80" s="3"/>
      <c r="H80" s="2" t="s">
        <v>73</v>
      </c>
      <c r="I80" s="2" t="s">
        <v>32</v>
      </c>
      <c r="J80" s="38">
        <f>1/3</f>
        <v>0.33333333333333331</v>
      </c>
      <c r="K80" s="38"/>
      <c r="L80" s="2" t="s">
        <v>60</v>
      </c>
      <c r="M80" s="36">
        <f>AC50</f>
        <v>405976</v>
      </c>
      <c r="N80" s="36"/>
      <c r="O80" s="36"/>
      <c r="P80" s="36"/>
      <c r="U80" s="2" t="s">
        <v>32</v>
      </c>
      <c r="V80" s="36">
        <f>ROUND(J80*M80,0)</f>
        <v>135325</v>
      </c>
      <c r="W80" s="36"/>
      <c r="X80" s="36"/>
      <c r="Y80" s="36"/>
      <c r="Z80" s="6" t="s">
        <v>61</v>
      </c>
    </row>
    <row r="81" spans="3:27" ht="15.75" customHeight="1">
      <c r="C81" s="2"/>
      <c r="E81" s="2"/>
      <c r="F81" s="6"/>
      <c r="H81" s="3"/>
      <c r="I81" s="6"/>
      <c r="N81" s="8"/>
      <c r="O81" s="3"/>
      <c r="P81" s="3"/>
      <c r="Q81" s="3"/>
    </row>
    <row r="82" spans="3:27" ht="15.75" customHeight="1">
      <c r="C82" s="2"/>
      <c r="E82" s="2"/>
      <c r="F82" s="6"/>
      <c r="H82" s="3"/>
      <c r="I82" s="6"/>
      <c r="N82" s="8"/>
      <c r="O82" s="3"/>
      <c r="P82" s="3"/>
      <c r="Q82" s="3"/>
    </row>
    <row r="83" spans="3:27" s="17" customFormat="1" ht="15.75" customHeight="1">
      <c r="F83" s="22" t="s">
        <v>81</v>
      </c>
      <c r="H83" s="22"/>
      <c r="I83" s="1"/>
      <c r="N83" s="23"/>
      <c r="O83" s="22"/>
      <c r="P83" s="22"/>
      <c r="Q83" s="22"/>
      <c r="V83" s="22" t="s">
        <v>30</v>
      </c>
    </row>
    <row r="84" spans="3:27" ht="15.75" customHeight="1">
      <c r="D84" s="3"/>
      <c r="E84" s="2"/>
      <c r="F84" s="3"/>
      <c r="H84" s="3"/>
      <c r="I84" s="3"/>
      <c r="J84" s="3"/>
      <c r="K84" s="3"/>
      <c r="M84" s="3"/>
      <c r="N84" s="3"/>
      <c r="O84" s="3"/>
      <c r="P84" s="3"/>
      <c r="Q84" s="3"/>
      <c r="R84" s="3"/>
    </row>
    <row r="85" spans="3:27" ht="15.75" customHeight="1">
      <c r="C85" s="2"/>
      <c r="E85" s="2"/>
      <c r="F85" s="6"/>
      <c r="H85" s="2" t="s">
        <v>82</v>
      </c>
      <c r="I85" s="2" t="s">
        <v>32</v>
      </c>
      <c r="J85" s="3" t="s">
        <v>83</v>
      </c>
    </row>
    <row r="86" spans="3:27" ht="15.75" customHeight="1">
      <c r="C86" s="2"/>
      <c r="E86" s="2"/>
      <c r="F86" s="6"/>
      <c r="I86" s="6"/>
    </row>
    <row r="87" spans="3:27" ht="15.75" customHeight="1">
      <c r="C87" s="2"/>
      <c r="E87" s="2"/>
      <c r="F87" s="6"/>
      <c r="J87" s="4" t="s">
        <v>84</v>
      </c>
      <c r="K87" s="2" t="s">
        <v>40</v>
      </c>
      <c r="L87" s="6" t="s">
        <v>85</v>
      </c>
    </row>
    <row r="88" spans="3:27" ht="15.75" customHeight="1">
      <c r="C88" s="2"/>
      <c r="E88" s="2"/>
      <c r="F88" s="6"/>
      <c r="J88" s="4" t="s">
        <v>73</v>
      </c>
      <c r="K88" s="2" t="s">
        <v>40</v>
      </c>
      <c r="L88" s="6" t="s">
        <v>76</v>
      </c>
    </row>
    <row r="89" spans="3:27" ht="15.75" customHeight="1">
      <c r="C89" s="2"/>
      <c r="E89" s="2"/>
      <c r="F89" s="6"/>
      <c r="J89" s="4" t="s">
        <v>53</v>
      </c>
      <c r="K89" s="2" t="s">
        <v>40</v>
      </c>
      <c r="L89" s="6" t="s">
        <v>69</v>
      </c>
    </row>
    <row r="90" spans="3:27" ht="15.75" customHeight="1">
      <c r="C90" s="2"/>
      <c r="E90" s="2"/>
      <c r="F90" s="6"/>
      <c r="J90" s="4"/>
      <c r="L90" s="6"/>
    </row>
    <row r="91" spans="3:27" ht="15.75" customHeight="1">
      <c r="D91" s="3"/>
      <c r="E91" s="2"/>
      <c r="F91" s="3"/>
      <c r="G91" s="3" t="s">
        <v>57</v>
      </c>
    </row>
    <row r="92" spans="3:27" ht="15.75" customHeight="1">
      <c r="D92" s="3"/>
      <c r="E92" s="2"/>
      <c r="F92" s="3"/>
      <c r="H92" s="2" t="s">
        <v>82</v>
      </c>
      <c r="I92" s="2" t="s">
        <v>32</v>
      </c>
      <c r="J92" s="36">
        <f>V77</f>
        <v>67663</v>
      </c>
      <c r="K92" s="36"/>
      <c r="L92" s="36"/>
      <c r="M92" s="36"/>
      <c r="N92" s="2" t="s">
        <v>60</v>
      </c>
      <c r="O92" s="37">
        <f>AC44</f>
        <v>63</v>
      </c>
      <c r="P92" s="37"/>
      <c r="Q92" s="37"/>
      <c r="R92" s="37"/>
      <c r="U92" s="2" t="s">
        <v>32</v>
      </c>
      <c r="V92" s="34">
        <f>ROUND(J92*O92,0)</f>
        <v>4262769</v>
      </c>
      <c r="W92" s="34"/>
      <c r="X92" s="34"/>
      <c r="Y92" s="34"/>
      <c r="Z92" s="34"/>
      <c r="AA92" s="6" t="s">
        <v>70</v>
      </c>
    </row>
    <row r="93" spans="3:27" ht="15.75" customHeight="1">
      <c r="D93" s="3"/>
      <c r="E93" s="2"/>
      <c r="F93" s="3"/>
      <c r="O93" s="9"/>
      <c r="P93" s="9"/>
      <c r="Q93" s="9"/>
      <c r="R93" s="9"/>
      <c r="V93" s="28"/>
      <c r="W93" s="28"/>
      <c r="X93" s="28"/>
      <c r="Y93" s="28"/>
      <c r="Z93" s="28"/>
      <c r="AA93" s="6"/>
    </row>
    <row r="94" spans="3:27" ht="15.75" customHeight="1">
      <c r="D94" s="3"/>
      <c r="E94" s="2"/>
      <c r="F94" s="3"/>
      <c r="G94" s="3" t="s">
        <v>62</v>
      </c>
    </row>
    <row r="95" spans="3:27" ht="15.75" customHeight="1">
      <c r="D95" s="3"/>
      <c r="E95" s="2"/>
      <c r="F95" s="3"/>
      <c r="H95" s="2" t="s">
        <v>82</v>
      </c>
      <c r="I95" s="2" t="s">
        <v>32</v>
      </c>
      <c r="J95" s="36">
        <f>V80</f>
        <v>135325</v>
      </c>
      <c r="K95" s="36"/>
      <c r="L95" s="36"/>
      <c r="M95" s="36"/>
      <c r="N95" s="2" t="s">
        <v>60</v>
      </c>
      <c r="O95" s="37">
        <f>O92</f>
        <v>63</v>
      </c>
      <c r="P95" s="37"/>
      <c r="Q95" s="37"/>
      <c r="R95" s="37"/>
      <c r="U95" s="2" t="s">
        <v>32</v>
      </c>
      <c r="V95" s="34">
        <f>ROUND(J95*O95,0)</f>
        <v>8525475</v>
      </c>
      <c r="W95" s="34"/>
      <c r="X95" s="34"/>
      <c r="Y95" s="34"/>
      <c r="Z95" s="34"/>
      <c r="AA95" s="6" t="s">
        <v>70</v>
      </c>
    </row>
    <row r="96" spans="3:27" ht="15.75" customHeight="1">
      <c r="D96" s="3"/>
      <c r="E96" s="2"/>
      <c r="F96" s="3"/>
    </row>
    <row r="97" spans="3:41" ht="15.75" customHeight="1">
      <c r="D97" s="3"/>
      <c r="E97" s="2"/>
      <c r="F97" s="3"/>
      <c r="AO97" s="5"/>
    </row>
    <row r="98" spans="3:41" s="17" customFormat="1" ht="15.75" customHeight="1">
      <c r="C98" s="22"/>
      <c r="D98" s="22"/>
      <c r="E98" s="22" t="s">
        <v>86</v>
      </c>
      <c r="F98" s="22"/>
      <c r="S98" s="22" t="s">
        <v>30</v>
      </c>
      <c r="AM98" s="24"/>
      <c r="AN98" s="24"/>
      <c r="AO98" s="24"/>
    </row>
    <row r="99" spans="3:41" ht="15.75" customHeight="1">
      <c r="D99" s="3"/>
      <c r="E99" s="2"/>
      <c r="F99" s="3"/>
      <c r="G99" s="3"/>
    </row>
    <row r="100" spans="3:41" ht="15.75" customHeight="1">
      <c r="C100" s="2"/>
      <c r="E100" s="2"/>
      <c r="F100" s="6"/>
      <c r="H100" s="2" t="s">
        <v>87</v>
      </c>
      <c r="I100" s="2" t="s">
        <v>32</v>
      </c>
      <c r="J100" s="3" t="s">
        <v>88</v>
      </c>
    </row>
    <row r="101" spans="3:41" ht="15.75" customHeight="1">
      <c r="C101" s="2"/>
      <c r="E101" s="2"/>
      <c r="F101" s="6"/>
      <c r="I101" s="6"/>
    </row>
    <row r="102" spans="3:41" ht="15.75" customHeight="1">
      <c r="C102" s="2"/>
      <c r="E102" s="2"/>
      <c r="F102" s="6"/>
      <c r="J102" s="4" t="s">
        <v>89</v>
      </c>
      <c r="K102" s="2" t="s">
        <v>40</v>
      </c>
      <c r="L102" s="6" t="s">
        <v>90</v>
      </c>
    </row>
    <row r="103" spans="3:41" ht="15.75" customHeight="1">
      <c r="C103" s="2"/>
      <c r="E103" s="2"/>
      <c r="F103" s="6"/>
      <c r="J103" s="4" t="s">
        <v>31</v>
      </c>
      <c r="K103" s="2" t="s">
        <v>40</v>
      </c>
      <c r="L103" s="6" t="s">
        <v>91</v>
      </c>
    </row>
    <row r="104" spans="3:41" ht="15.75" customHeight="1">
      <c r="C104" s="2"/>
      <c r="E104" s="2"/>
      <c r="F104" s="6"/>
      <c r="J104" s="4" t="s">
        <v>92</v>
      </c>
      <c r="K104" s="2" t="s">
        <v>40</v>
      </c>
      <c r="L104" s="6" t="s">
        <v>93</v>
      </c>
    </row>
    <row r="105" spans="3:41" ht="15.75" customHeight="1">
      <c r="C105" s="2"/>
      <c r="E105" s="2"/>
      <c r="F105" s="6"/>
      <c r="J105" s="6"/>
    </row>
    <row r="106" spans="3:41" s="17" customFormat="1" ht="15.75" customHeight="1">
      <c r="C106" s="22"/>
      <c r="D106" s="22"/>
      <c r="F106" s="22" t="s">
        <v>94</v>
      </c>
      <c r="G106" s="22"/>
      <c r="L106" s="25"/>
      <c r="M106" s="25"/>
      <c r="O106" s="25"/>
      <c r="P106" s="25"/>
      <c r="Q106" s="26"/>
      <c r="T106" s="27"/>
      <c r="U106" s="27"/>
      <c r="V106" s="27"/>
    </row>
    <row r="107" spans="3:41" ht="15.75" customHeight="1">
      <c r="D107" s="3"/>
      <c r="E107" s="2"/>
      <c r="F107" s="3"/>
      <c r="G107" s="3"/>
    </row>
    <row r="108" spans="3:41" ht="15.75" customHeight="1">
      <c r="D108" s="3"/>
      <c r="E108" s="2"/>
      <c r="F108" s="3"/>
      <c r="G108" s="2" t="s">
        <v>92</v>
      </c>
      <c r="H108" s="2" t="s">
        <v>51</v>
      </c>
      <c r="I108" s="37">
        <f>Y44</f>
        <v>9</v>
      </c>
      <c r="J108" s="37"/>
      <c r="K108" s="37"/>
      <c r="L108" s="2" t="s">
        <v>60</v>
      </c>
      <c r="M108" s="37">
        <f>U44</f>
        <v>7</v>
      </c>
      <c r="N108" s="37"/>
      <c r="O108" s="37"/>
      <c r="P108" s="7" t="s">
        <v>95</v>
      </c>
      <c r="Q108" s="2">
        <v>12</v>
      </c>
      <c r="R108" s="2" t="s">
        <v>51</v>
      </c>
      <c r="S108" s="35">
        <f>ROUND(I108*M108^3/Q108,6)</f>
        <v>257.25</v>
      </c>
      <c r="T108" s="35"/>
      <c r="U108" s="35"/>
      <c r="V108" s="35"/>
      <c r="W108" s="35"/>
      <c r="X108" s="2" t="s">
        <v>96</v>
      </c>
    </row>
    <row r="109" spans="3:41" ht="15.75" customHeight="1">
      <c r="D109" s="3"/>
      <c r="E109" s="2"/>
      <c r="F109" s="3"/>
      <c r="I109" s="9"/>
      <c r="J109" s="9"/>
      <c r="K109" s="9"/>
      <c r="M109" s="9"/>
      <c r="N109" s="9"/>
      <c r="O109" s="9"/>
      <c r="P109" s="7"/>
      <c r="S109" s="16"/>
      <c r="T109" s="16"/>
      <c r="U109" s="16"/>
      <c r="V109" s="16"/>
      <c r="W109" s="16"/>
    </row>
    <row r="110" spans="3:41" ht="15.75" customHeight="1">
      <c r="D110" s="3"/>
      <c r="E110" s="2"/>
      <c r="F110" s="3"/>
      <c r="G110" s="3" t="s">
        <v>57</v>
      </c>
    </row>
    <row r="111" spans="3:41" ht="15.75" customHeight="1">
      <c r="D111" s="3"/>
      <c r="E111" s="2"/>
      <c r="F111" s="3"/>
      <c r="H111" s="2" t="s">
        <v>87</v>
      </c>
      <c r="I111" s="2" t="s">
        <v>32</v>
      </c>
      <c r="J111" s="36">
        <f>M77</f>
        <v>202988</v>
      </c>
      <c r="K111" s="36"/>
      <c r="L111" s="36"/>
      <c r="M111" s="36"/>
      <c r="N111" s="2" t="s">
        <v>60</v>
      </c>
      <c r="O111" s="35">
        <f>S108</f>
        <v>257.25</v>
      </c>
      <c r="P111" s="35"/>
      <c r="Q111" s="35"/>
      <c r="R111" s="35"/>
      <c r="S111" s="35"/>
      <c r="T111" s="2" t="s">
        <v>32</v>
      </c>
      <c r="U111" s="34">
        <f>ROUND(J111*O111,0)</f>
        <v>52218663</v>
      </c>
      <c r="V111" s="34"/>
      <c r="W111" s="34"/>
      <c r="X111" s="34"/>
      <c r="Y111" s="34"/>
      <c r="Z111" s="6" t="s">
        <v>97</v>
      </c>
    </row>
    <row r="112" spans="3:41" ht="15.75" customHeight="1">
      <c r="D112" s="3"/>
      <c r="E112" s="2"/>
      <c r="F112" s="3"/>
      <c r="M112" s="16"/>
      <c r="N112" s="16"/>
      <c r="O112" s="16"/>
      <c r="U112" s="3"/>
      <c r="V112" s="3"/>
      <c r="W112" s="3"/>
      <c r="Z112" s="6"/>
    </row>
    <row r="113" spans="3:26" ht="15.75" customHeight="1">
      <c r="D113" s="3"/>
      <c r="E113" s="2"/>
      <c r="F113" s="3"/>
      <c r="G113" s="3" t="s">
        <v>62</v>
      </c>
    </row>
    <row r="114" spans="3:26" ht="15.75" customHeight="1">
      <c r="D114" s="3"/>
      <c r="E114" s="2"/>
      <c r="F114" s="3"/>
      <c r="H114" s="2" t="s">
        <v>87</v>
      </c>
      <c r="I114" s="2" t="s">
        <v>32</v>
      </c>
      <c r="J114" s="36">
        <f>M80</f>
        <v>405976</v>
      </c>
      <c r="K114" s="36"/>
      <c r="L114" s="36"/>
      <c r="M114" s="36"/>
      <c r="N114" s="2" t="s">
        <v>60</v>
      </c>
      <c r="O114" s="35">
        <f>O111</f>
        <v>257.25</v>
      </c>
      <c r="P114" s="35"/>
      <c r="Q114" s="35"/>
      <c r="R114" s="35"/>
      <c r="S114" s="35"/>
      <c r="T114" s="2" t="s">
        <v>32</v>
      </c>
      <c r="U114" s="34">
        <f>ROUND(J114*O114,0)</f>
        <v>104437326</v>
      </c>
      <c r="V114" s="34"/>
      <c r="W114" s="34"/>
      <c r="X114" s="34"/>
      <c r="Y114" s="34"/>
      <c r="Z114" s="6" t="s">
        <v>97</v>
      </c>
    </row>
    <row r="115" spans="3:26" ht="15.75" customHeight="1">
      <c r="D115" s="3"/>
      <c r="E115" s="2"/>
      <c r="F115" s="3"/>
      <c r="G115" s="3"/>
    </row>
    <row r="116" spans="3:26" ht="15.75" customHeight="1">
      <c r="D116" s="3"/>
      <c r="E116" s="2"/>
      <c r="F116" s="3"/>
      <c r="G116" s="3"/>
    </row>
    <row r="117" spans="3:26" s="17" customFormat="1" ht="15.75" customHeight="1">
      <c r="C117" s="22"/>
      <c r="D117" s="22"/>
      <c r="F117" s="22" t="s">
        <v>98</v>
      </c>
      <c r="G117" s="22"/>
      <c r="L117" s="25"/>
      <c r="M117" s="25"/>
      <c r="O117" s="25"/>
      <c r="P117" s="25"/>
      <c r="Q117" s="26"/>
      <c r="T117" s="27"/>
      <c r="U117" s="27"/>
      <c r="V117" s="27"/>
    </row>
    <row r="118" spans="3:26" ht="15.75" customHeight="1">
      <c r="D118" s="3"/>
      <c r="E118" s="2"/>
      <c r="F118" s="3"/>
      <c r="G118" s="3"/>
      <c r="U118" s="15"/>
      <c r="V118" s="15"/>
    </row>
    <row r="119" spans="3:26" ht="15.75" customHeight="1">
      <c r="D119" s="3"/>
      <c r="E119" s="2"/>
      <c r="F119" s="3"/>
      <c r="G119" s="2" t="s">
        <v>92</v>
      </c>
      <c r="H119" s="2" t="s">
        <v>51</v>
      </c>
      <c r="I119" s="37">
        <f>M108</f>
        <v>7</v>
      </c>
      <c r="J119" s="37"/>
      <c r="K119" s="37"/>
      <c r="L119" s="2" t="s">
        <v>60</v>
      </c>
      <c r="M119" s="37">
        <f>I108</f>
        <v>9</v>
      </c>
      <c r="N119" s="37"/>
      <c r="O119" s="37"/>
      <c r="P119" s="7" t="s">
        <v>95</v>
      </c>
      <c r="Q119" s="2">
        <v>12</v>
      </c>
      <c r="R119" s="2" t="s">
        <v>51</v>
      </c>
      <c r="S119" s="35">
        <f>ROUND(I119*M119^3/Q119,6)</f>
        <v>425.25</v>
      </c>
      <c r="T119" s="35"/>
      <c r="U119" s="35"/>
      <c r="V119" s="35"/>
      <c r="W119" s="35"/>
      <c r="X119" s="2" t="s">
        <v>96</v>
      </c>
    </row>
    <row r="120" spans="3:26" ht="15.75" customHeight="1">
      <c r="D120" s="3"/>
      <c r="E120" s="2"/>
      <c r="F120" s="3"/>
      <c r="G120" s="3"/>
      <c r="L120" s="9"/>
      <c r="M120" s="9"/>
      <c r="O120" s="9"/>
      <c r="P120" s="9"/>
      <c r="Q120" s="7"/>
      <c r="T120" s="15"/>
      <c r="U120" s="15"/>
      <c r="V120" s="15"/>
    </row>
    <row r="121" spans="3:26" ht="15.75" customHeight="1">
      <c r="D121" s="3"/>
      <c r="E121" s="2"/>
      <c r="F121" s="3"/>
      <c r="G121" s="3" t="s">
        <v>57</v>
      </c>
    </row>
    <row r="122" spans="3:26" ht="15.75" customHeight="1">
      <c r="D122" s="3"/>
      <c r="E122" s="2"/>
      <c r="F122" s="3"/>
      <c r="H122" s="2" t="s">
        <v>87</v>
      </c>
      <c r="I122" s="2" t="s">
        <v>32</v>
      </c>
      <c r="J122" s="36">
        <f>J111</f>
        <v>202988</v>
      </c>
      <c r="K122" s="36"/>
      <c r="L122" s="36"/>
      <c r="M122" s="36"/>
      <c r="N122" s="2" t="s">
        <v>60</v>
      </c>
      <c r="O122" s="35">
        <f>S119</f>
        <v>425.25</v>
      </c>
      <c r="P122" s="35"/>
      <c r="Q122" s="35"/>
      <c r="R122" s="35"/>
      <c r="S122" s="35"/>
      <c r="T122" s="2" t="s">
        <v>32</v>
      </c>
      <c r="U122" s="34">
        <f>ROUND(J122*O122,0)</f>
        <v>86320647</v>
      </c>
      <c r="V122" s="34"/>
      <c r="W122" s="34"/>
      <c r="X122" s="34"/>
      <c r="Y122" s="34"/>
      <c r="Z122" s="6" t="s">
        <v>97</v>
      </c>
    </row>
    <row r="123" spans="3:26" ht="15.75" customHeight="1">
      <c r="D123" s="3"/>
      <c r="E123" s="2"/>
      <c r="F123" s="3"/>
      <c r="M123" s="16"/>
      <c r="N123" s="16"/>
      <c r="O123" s="16"/>
      <c r="U123" s="3"/>
      <c r="V123" s="3"/>
      <c r="W123" s="3"/>
      <c r="Z123" s="6"/>
    </row>
    <row r="124" spans="3:26" ht="15.75" customHeight="1">
      <c r="D124" s="3"/>
      <c r="E124" s="2"/>
      <c r="F124" s="3"/>
      <c r="G124" s="3" t="s">
        <v>62</v>
      </c>
    </row>
    <row r="125" spans="3:26" ht="15.75" customHeight="1">
      <c r="D125" s="3"/>
      <c r="E125" s="2"/>
      <c r="F125" s="3"/>
      <c r="H125" s="2" t="s">
        <v>87</v>
      </c>
      <c r="I125" s="2" t="s">
        <v>32</v>
      </c>
      <c r="J125" s="36">
        <f>J114</f>
        <v>405976</v>
      </c>
      <c r="K125" s="36"/>
      <c r="L125" s="36"/>
      <c r="M125" s="36"/>
      <c r="N125" s="2" t="s">
        <v>60</v>
      </c>
      <c r="O125" s="35">
        <f>O122</f>
        <v>425.25</v>
      </c>
      <c r="P125" s="35"/>
      <c r="Q125" s="35"/>
      <c r="R125" s="35"/>
      <c r="S125" s="35"/>
      <c r="T125" s="2" t="s">
        <v>32</v>
      </c>
      <c r="U125" s="34">
        <f>ROUND(J125*O125,0)</f>
        <v>172641294</v>
      </c>
      <c r="V125" s="34"/>
      <c r="W125" s="34"/>
      <c r="X125" s="34"/>
      <c r="Y125" s="34"/>
      <c r="Z125" s="6" t="s">
        <v>97</v>
      </c>
    </row>
    <row r="126" spans="3:26" ht="15.75" customHeight="1">
      <c r="D126" s="3"/>
      <c r="E126" s="2"/>
      <c r="F126" s="3"/>
      <c r="G126" s="3"/>
    </row>
    <row r="127" spans="3:26" ht="15.75" customHeight="1">
      <c r="F127" s="3"/>
    </row>
  </sheetData>
  <autoFilter ref="A1:A127" xr:uid="{00000000-0009-0000-0000-000000000000}">
    <filterColumn colId="0">
      <customFilters and="1">
        <customFilter operator="notEqual" val="×"/>
      </customFilters>
    </filterColumn>
  </autoFilter>
  <dataConsolidate/>
  <mergeCells count="209">
    <mergeCell ref="AV10:AX10"/>
    <mergeCell ref="AY10:BA10"/>
    <mergeCell ref="AR10:AS10"/>
    <mergeCell ref="AR8:AS8"/>
    <mergeCell ref="AR9:AS9"/>
    <mergeCell ref="AT8:AU8"/>
    <mergeCell ref="AT9:AU9"/>
    <mergeCell ref="AV8:AX8"/>
    <mergeCell ref="AV9:AX9"/>
    <mergeCell ref="F26:G26"/>
    <mergeCell ref="I26:J26"/>
    <mergeCell ref="L26:M26"/>
    <mergeCell ref="O26:P26"/>
    <mergeCell ref="I37:J37"/>
    <mergeCell ref="I35:J35"/>
    <mergeCell ref="I36:J36"/>
    <mergeCell ref="AC50:AF50"/>
    <mergeCell ref="U47:X47"/>
    <mergeCell ref="U50:X50"/>
    <mergeCell ref="P50:S50"/>
    <mergeCell ref="U41:X41"/>
    <mergeCell ref="P47:S47"/>
    <mergeCell ref="AC44:AF44"/>
    <mergeCell ref="AC43:AF43"/>
    <mergeCell ref="U43:X43"/>
    <mergeCell ref="AC47:AF47"/>
    <mergeCell ref="AJ10:AM10"/>
    <mergeCell ref="AJ11:AM11"/>
    <mergeCell ref="AJ13:AM13"/>
    <mergeCell ref="AJ14:AM14"/>
    <mergeCell ref="Z20:AA20"/>
    <mergeCell ref="Z21:AA21"/>
    <mergeCell ref="Z22:AA22"/>
    <mergeCell ref="T20:W20"/>
    <mergeCell ref="T21:W21"/>
    <mergeCell ref="X20:Y20"/>
    <mergeCell ref="X21:Y21"/>
    <mergeCell ref="X22:Y22"/>
    <mergeCell ref="T22:W22"/>
    <mergeCell ref="B22:D22"/>
    <mergeCell ref="E22:H22"/>
    <mergeCell ref="I22:L22"/>
    <mergeCell ref="M22:O22"/>
    <mergeCell ref="P22:S22"/>
    <mergeCell ref="AJ16:AM16"/>
    <mergeCell ref="AJ17:AM17"/>
    <mergeCell ref="AJ18:AM18"/>
    <mergeCell ref="AJ19:AM19"/>
    <mergeCell ref="B20:D20"/>
    <mergeCell ref="E20:H20"/>
    <mergeCell ref="P20:S20"/>
    <mergeCell ref="B21:D21"/>
    <mergeCell ref="E21:H21"/>
    <mergeCell ref="I21:L21"/>
    <mergeCell ref="M21:O21"/>
    <mergeCell ref="P21:S21"/>
    <mergeCell ref="I20:L20"/>
    <mergeCell ref="M20:O20"/>
    <mergeCell ref="B19:D19"/>
    <mergeCell ref="E19:H19"/>
    <mergeCell ref="I19:L19"/>
    <mergeCell ref="M19:O19"/>
    <mergeCell ref="B18:D18"/>
    <mergeCell ref="E18:H18"/>
    <mergeCell ref="I18:L18"/>
    <mergeCell ref="M18:O18"/>
    <mergeCell ref="B16:D16"/>
    <mergeCell ref="B17:D17"/>
    <mergeCell ref="E17:H17"/>
    <mergeCell ref="I17:L17"/>
    <mergeCell ref="M17:O17"/>
    <mergeCell ref="E16:H16"/>
    <mergeCell ref="B12:D12"/>
    <mergeCell ref="E12:H12"/>
    <mergeCell ref="I12:L12"/>
    <mergeCell ref="B15:D15"/>
    <mergeCell ref="E15:H15"/>
    <mergeCell ref="I15:L15"/>
    <mergeCell ref="I16:L16"/>
    <mergeCell ref="M16:O16"/>
    <mergeCell ref="B13:D13"/>
    <mergeCell ref="E13:H13"/>
    <mergeCell ref="I13:L13"/>
    <mergeCell ref="M13:O13"/>
    <mergeCell ref="AJ21:AM21"/>
    <mergeCell ref="AB21:AE21"/>
    <mergeCell ref="P13:S13"/>
    <mergeCell ref="T13:W13"/>
    <mergeCell ref="P14:S14"/>
    <mergeCell ref="X14:Y14"/>
    <mergeCell ref="Z14:AA14"/>
    <mergeCell ref="Z13:AA13"/>
    <mergeCell ref="AB14:AE14"/>
    <mergeCell ref="T14:W14"/>
    <mergeCell ref="Z15:AA15"/>
    <mergeCell ref="B14:D14"/>
    <mergeCell ref="E14:H14"/>
    <mergeCell ref="I14:L14"/>
    <mergeCell ref="M14:O14"/>
    <mergeCell ref="M15:O15"/>
    <mergeCell ref="AB16:AE16"/>
    <mergeCell ref="P16:S16"/>
    <mergeCell ref="T16:W16"/>
    <mergeCell ref="T15:W15"/>
    <mergeCell ref="AJ22:AM22"/>
    <mergeCell ref="AJ12:AM12"/>
    <mergeCell ref="AF16:AI16"/>
    <mergeCell ref="AJ20:AM20"/>
    <mergeCell ref="AF15:AI15"/>
    <mergeCell ref="AF19:AI19"/>
    <mergeCell ref="AF21:AI21"/>
    <mergeCell ref="AJ15:AM15"/>
    <mergeCell ref="AF13:AI13"/>
    <mergeCell ref="AF17:AI17"/>
    <mergeCell ref="AF22:AI22"/>
    <mergeCell ref="B10:D11"/>
    <mergeCell ref="E10:H11"/>
    <mergeCell ref="I10:L11"/>
    <mergeCell ref="T11:W11"/>
    <mergeCell ref="X11:AA11"/>
    <mergeCell ref="AB11:AE11"/>
    <mergeCell ref="M10:O11"/>
    <mergeCell ref="P10:W10"/>
    <mergeCell ref="X10:AA10"/>
    <mergeCell ref="AB10:AE10"/>
    <mergeCell ref="L46:M46"/>
    <mergeCell ref="AF10:AI10"/>
    <mergeCell ref="P11:S11"/>
    <mergeCell ref="AF11:AI11"/>
    <mergeCell ref="AF18:AI18"/>
    <mergeCell ref="AB20:AE20"/>
    <mergeCell ref="AF20:AI20"/>
    <mergeCell ref="X12:Y12"/>
    <mergeCell ref="X13:Y13"/>
    <mergeCell ref="AF12:AI12"/>
    <mergeCell ref="AB12:AE12"/>
    <mergeCell ref="M12:O12"/>
    <mergeCell ref="T12:W12"/>
    <mergeCell ref="AB15:AE15"/>
    <mergeCell ref="X15:Y15"/>
    <mergeCell ref="X16:Y16"/>
    <mergeCell ref="P15:S15"/>
    <mergeCell ref="AB17:AE17"/>
    <mergeCell ref="Z17:AA17"/>
    <mergeCell ref="AB18:AE18"/>
    <mergeCell ref="P19:S19"/>
    <mergeCell ref="T19:W19"/>
    <mergeCell ref="AB19:AE19"/>
    <mergeCell ref="Z18:AA18"/>
    <mergeCell ref="Z12:AA12"/>
    <mergeCell ref="Z16:AA16"/>
    <mergeCell ref="P17:S17"/>
    <mergeCell ref="T17:W17"/>
    <mergeCell ref="X17:Y17"/>
    <mergeCell ref="P12:S12"/>
    <mergeCell ref="AB13:AE13"/>
    <mergeCell ref="AF14:AI14"/>
    <mergeCell ref="U44:W44"/>
    <mergeCell ref="Y44:AA44"/>
    <mergeCell ref="P18:S18"/>
    <mergeCell ref="T18:W18"/>
    <mergeCell ref="X18:Y18"/>
    <mergeCell ref="X19:Y19"/>
    <mergeCell ref="Z19:AA19"/>
    <mergeCell ref="AB22:AE22"/>
    <mergeCell ref="Y47:Z47"/>
    <mergeCell ref="Y50:Z50"/>
    <mergeCell ref="J77:K77"/>
    <mergeCell ref="O61:R61"/>
    <mergeCell ref="O64:R64"/>
    <mergeCell ref="J61:M61"/>
    <mergeCell ref="L49:M49"/>
    <mergeCell ref="M47:N47"/>
    <mergeCell ref="M50:N50"/>
    <mergeCell ref="J47:K47"/>
    <mergeCell ref="J50:K50"/>
    <mergeCell ref="V61:Z61"/>
    <mergeCell ref="O122:S122"/>
    <mergeCell ref="O125:S125"/>
    <mergeCell ref="V80:Y80"/>
    <mergeCell ref="O92:R92"/>
    <mergeCell ref="O95:R95"/>
    <mergeCell ref="V92:Z92"/>
    <mergeCell ref="I119:K119"/>
    <mergeCell ref="M119:O119"/>
    <mergeCell ref="J92:M92"/>
    <mergeCell ref="J95:M95"/>
    <mergeCell ref="Q74:R74"/>
    <mergeCell ref="M77:P77"/>
    <mergeCell ref="J80:K80"/>
    <mergeCell ref="M80:P80"/>
    <mergeCell ref="I108:K108"/>
    <mergeCell ref="M108:O108"/>
    <mergeCell ref="V77:Y77"/>
    <mergeCell ref="J64:M64"/>
    <mergeCell ref="V64:Z64"/>
    <mergeCell ref="V95:Z95"/>
    <mergeCell ref="O114:S114"/>
    <mergeCell ref="S119:W119"/>
    <mergeCell ref="J122:M122"/>
    <mergeCell ref="J125:M125"/>
    <mergeCell ref="U111:Y111"/>
    <mergeCell ref="U114:Y114"/>
    <mergeCell ref="U122:Y122"/>
    <mergeCell ref="U125:Y125"/>
    <mergeCell ref="J114:M114"/>
    <mergeCell ref="S108:W108"/>
    <mergeCell ref="O111:S111"/>
    <mergeCell ref="J111:M111"/>
  </mergeCells>
  <phoneticPr fontId="1"/>
  <pageMargins left="0.98425196850393704" right="0.19685039370078741" top="0.98425196850393704" bottom="0.59055118110236227" header="0.51181102362204722" footer="0.51181102362204722"/>
  <pageSetup paperSize="9" orientation="portrait" r:id="rId1"/>
  <headerFooter alignWithMargins="0"/>
  <rowBreaks count="2" manualBreakCount="2">
    <brk id="51" min="1" max="34" man="1"/>
    <brk id="96" min="1" max="34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versions xmlns="http://schemas.microsoft.com/SolverFoundationForExcel/Version">
  <addinversion>3.1</addinversion>
</versions>
</file>

<file path=customXml/itemProps1.xml><?xml version="1.0" encoding="utf-8"?>
<ds:datastoreItem xmlns:ds="http://schemas.openxmlformats.org/officeDocument/2006/customXml" ds:itemID="{EF0D2D51-D6CB-455B-AB10-44EB87E31B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（株）トーニチコンサルタント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社長室</dc:creator>
  <cp:keywords/>
  <dc:description/>
  <cp:lastModifiedBy>永坂 亮介</cp:lastModifiedBy>
  <cp:revision/>
  <dcterms:created xsi:type="dcterms:W3CDTF">1997-12-09T00:45:52Z</dcterms:created>
  <dcterms:modified xsi:type="dcterms:W3CDTF">2022-08-05T13:53:06Z</dcterms:modified>
  <cp:category/>
  <cp:contentStatus/>
</cp:coreProperties>
</file>